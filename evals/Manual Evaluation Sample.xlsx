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_of_Science_20251015 " sheetId="1" r:id="rId5"/>
    <sheet state="visible" name="Openalex" sheetId="2" r:id="rId6"/>
    <sheet state="visible" name="Dimensions" sheetId="3" r:id="rId7"/>
    <sheet state="visible" name="sample_20250925" sheetId="4" r:id="rId8"/>
  </sheets>
  <definedNames>
    <definedName hidden="1" localSheetId="0" name="_xlnm._FilterDatabase">'Web_of_Science_20251015 '!$A$1:$H$1001</definedName>
    <definedName hidden="1" localSheetId="1" name="_xlnm._FilterDatabase">Openalex!$D$1:$G$101</definedName>
    <definedName hidden="1" localSheetId="2" name="_xlnm._FilterDatabase">Dimensions!$H$1:$H$1003</definedName>
    <definedName hidden="1" localSheetId="3" name="_xlnm._FilterDatabase">sample_20250925!$G$1:$G$1003</definedName>
  </definedNames>
  <calcPr/>
</workbook>
</file>

<file path=xl/sharedStrings.xml><?xml version="1.0" encoding="utf-8"?>
<sst xmlns="http://schemas.openxmlformats.org/spreadsheetml/2006/main" count="12405" uniqueCount="5426">
  <si>
    <t>title</t>
  </si>
  <si>
    <t>DOI</t>
  </si>
  <si>
    <t>display_names</t>
  </si>
  <si>
    <t>OA_URLs</t>
  </si>
  <si>
    <t>Number of Funders Indicated by Paper</t>
  </si>
  <si>
    <t>Number of Correct Matches</t>
  </si>
  <si>
    <t>Number of Wrong Matches</t>
  </si>
  <si>
    <t>Coder</t>
  </si>
  <si>
    <t>Avg. Recall</t>
  </si>
  <si>
    <t>Avg error rate</t>
  </si>
  <si>
    <t>Hit rate</t>
  </si>
  <si>
    <t>Avg. Precision</t>
  </si>
  <si>
    <t>Paper level recall</t>
  </si>
  <si>
    <t>Paper level error rate</t>
  </si>
  <si>
    <t>Paper level hit rate</t>
  </si>
  <si>
    <t>Paper level precision</t>
  </si>
  <si>
    <t>Paper is complete hit</t>
  </si>
  <si>
    <t>Integral-Type Fractional Equations with a Proportional Riemann-Liouville Derivative</t>
  </si>
  <si>
    <t>https://doi.org/10.1155/2021/9990439</t>
  </si>
  <si>
    <t>Prince Sultan University; PSU</t>
  </si>
  <si>
    <t>https://openalex.org/funders/f4320327702</t>
  </si>
  <si>
    <t>Jacob</t>
  </si>
  <si>
    <t>Meta-analysis of day treatment and contingency-management dismantling research: Birmingham homeless cocaine studies (1990-2006)</t>
  </si>
  <si>
    <t>https://doi.org/10.1037/0022-006X.75.5.823</t>
  </si>
  <si>
    <t>National Institute on Alcohol Abuse and Alcoholism; NIH National Institute on Alcohol Abuse and Alcoholism; The National Institute on Alcohol Abuse and Alcoholism; NIAAA; National Institute on Alcohol Abuse &amp; Alcoholism || National Institute on Drug Abuse; NIDA; The National Institute on Drug Abuse; Instituto Nacional sobre el Abuso de Drogas; Instituto Nacional sobre el Abuso de Drogas de Estados Unidos || National Institute on Alcohol Abuse and Alcoholism; NIH National Institute on Alcohol Abuse and Alcoholism; The National Institute on Alcohol Abuse and Alcoholism; NIAAA; National Institute on Alcohol Abuse &amp; Alcoholism || National Institute on Drug Abuse; NIDA; The National Institute on Drug Abuse; Instituto Nacional sobre el Abuso de Drogas; Instituto Nacional sobre el Abuso de Drogas de Estados Unidos</t>
  </si>
  <si>
    <t>https://openalex.org/funders/f4320337347 || https://openalex.org/funders/f4320337330</t>
  </si>
  <si>
    <t>Recall</t>
  </si>
  <si>
    <t>Error rate</t>
  </si>
  <si>
    <t>Complete hits</t>
  </si>
  <si>
    <t>Precision</t>
  </si>
  <si>
    <t>MR Imaging-guided Percutaneous Cryoablation of the Prostate in an Animal Model: In Vivo Imaging of Cryoablation-induced Tissue Necrosis with Immediate Histopathologic Correlation</t>
  </si>
  <si>
    <t>https://doi.org/10.1016/j.jvir.2008.10.030</t>
  </si>
  <si>
    <t>National Center for Research Resources; NCRR || National Cancer Institute; NCI; Instituto Nacional del Cáncer || National Center for Research Resources; NCRR</t>
  </si>
  <si>
    <t>https://openalex.org/funders/f4320337351 || https://openalex.org/funders/f4320337375</t>
  </si>
  <si>
    <t>Enzymatic Hydrolysis of Softwood Derived Paper Sludge by an In Vitro Recombinant Cellulase Cocktail for the Production of Fermentable Sugars</t>
  </si>
  <si>
    <t>https://doi.org/10.3390/catal10070775</t>
  </si>
  <si>
    <t>Department of Science and Technology, Republic of South Africa; DST || National Research Foundation; NRF || Rhodes University; RU; ru.ac.za; Rhodes University College || Universiteit Stellenbosch; Stellenbosch University; US</t>
  </si>
  <si>
    <t>https://openalex.org/funders/f4320320671 || https://openalex.org/funders/f4320322663 || https://openalex.org/funders/f4320320691 || https://openalex.org/funders/f4320320683</t>
  </si>
  <si>
    <t>Metal nanoparticle-doped epoxy resin to suppress surface charge accumulation on insulators under DC voltage</t>
  </si>
  <si>
    <t>https://doi.org/10.1088/1361-6528/ab8b91</t>
  </si>
  <si>
    <t>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</t>
  </si>
  <si>
    <t>https://openalex.org/funders/f4320335777</t>
  </si>
  <si>
    <t>IJCARS-IPCAI 2021 Special Issue: Information Processing for Computer-Assisted Interventions, 12th International Conference 2021-Part 1</t>
  </si>
  <si>
    <t>https://doi.org/10.1007/s11548-021-02401-5</t>
  </si>
  <si>
    <t>German Rectors' Conference; HRK; Westdeutsche Rektorenkonferenz; Hochschulrektorenkonferenz</t>
  </si>
  <si>
    <t>https://openalex.org/institutions/i4210095069</t>
  </si>
  <si>
    <t>Identification and partial characterization of a Salp15 homolog from Ixodes ricinus</t>
  </si>
  <si>
    <t>https://doi.org/10.1016/j.ttbdis.2013.12.004</t>
  </si>
  <si>
    <t>European Commission; Europeiska kommissionen; Ευρωπαϊκής Επιτροπής; Comisia Europeană; Europese Commissie; Euroopa Komisjoni; Eiropas Komisiju; Euroopan komission; Europskoj komisiji; EU; Choimisiúin Eorpaigh; EU-Kommissionen; Evropski komisiji; EC; Comisión Europea; Europos Komisijos; Europäische Kommission; La Commissione europea; Evropské komise; Comissão Europeia; Európskej komisii; Европейската комисия; Európai Bizottságról; Komisja Europejska; Commissione europea; European Union; Commission européenne</t>
  </si>
  <si>
    <t>https://openalex.org/funders/f4320320300</t>
  </si>
  <si>
    <t>Discovery of platelet-type 12-human lipoxygenase selective inhibitors by high-throughput screening of structurally diverse libraries</t>
  </si>
  <si>
    <t>https://doi.org/10.1016/j.bmc.2007.08.015</t>
  </si>
  <si>
    <t>National Cancer Institute; NCI; Instituto Nacional del Cáncer || National Institute of General Medical Sciences; NIGMS; U.S. National Institute of General Medical Sciences || National Cancer Institute; NCI; Instituto Nacional del Cáncer || National Institute of General Medical Sciences; NIGMS; U.S. National Institute of General Medical Sciences</t>
  </si>
  <si>
    <t>https://openalex.org/funders/f4320337351 || https://openalex.org/funders/f4320337354</t>
  </si>
  <si>
    <t>Constructing mentally ill inmates: nurses' discursive practices in corrections</t>
  </si>
  <si>
    <t>https://doi.org/10.1111/j.1440-1800.2011.00526.x</t>
  </si>
  <si>
    <t>Canadian Institutes of Health Research; CIHR; IRSC; Instituts de Recherche en Santé du Canada</t>
  </si>
  <si>
    <t>https://openalex.org/funders/f4320334506</t>
  </si>
  <si>
    <t>An in vivo study on bone formation behavior of microporous granular calcium phosphate</t>
  </si>
  <si>
    <t>https://doi.org/10.1039/c7bm00162b</t>
  </si>
  <si>
    <t>Coordenação de Aperfeiçoamento de Pessoal de Nível Superior; Coordination for the Improvement of Higher Education Personnel; CAPES; Brazilian Federal Agency for the Support and Evaluation of Graduate Education || Ministerio de Economía y Competitividad; MINECO; MEC; Ministry of Economy and Competitiveness</t>
  </si>
  <si>
    <t>https://openalex.org/funders/f4320321091 || https://openalex.org/funders/f4320321837</t>
  </si>
  <si>
    <t>Self-directedly assembled porphyrin thin films with high photoactivity</t>
  </si>
  <si>
    <t>https://doi.org/10.1039/c5ra17015j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</si>
  <si>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Shanghai Municipal Education Commission; Education Commission of Shanghai Municipality; 上海市教育委员会</t>
  </si>
  <si>
    <t>https://openalex.org/funders/f4320321881 || https://openalex.org/funders/f4320321001</t>
  </si>
  <si>
    <t>Human Schlafen 5 (SLFN5) Is a Regulator of Motility and Invasiveness of Renal Cell Carcinoma Cells</t>
  </si>
  <si>
    <t>https://doi.org/10.1128/MCB.00019-15</t>
  </si>
  <si>
    <t>National Institutes of Health; US National Institutes of Health; Institutos Nacionales de la Salud; NIH || U.S. Department of Veterans Affairs; United States Department of Veterans Affairs; Veterans Affairs; Veterans Affairs Department; Department of Veterans Affairs; US Department of Veterans Affairs; VA; U.S. Dept. of Veterans Affairs; USDVA || National Cancer Institute; NCI; Instituto Nacional del Cáncer || National Center for Advancing Translational Sciences; NCATS; NIH-NCATS; NIH's National Center for Advancing Translational; NCATS NIH || U.S. Department of Veterans Affairs; United States Department of Veterans Affairs; Veterans Affairs; Veterans Affairs Department; Department of Veterans Affairs; US Department of Veterans Affairs; VA; U.S. Dept. of Veterans Affairs; USDVA</t>
  </si>
  <si>
    <t>https://openalex.org/funders/f4320332161 || https://openalex.org/funders/f4320337351 || https://openalex.org/funders/f4320306127 || https://openalex.org/funders/f4320337472</t>
  </si>
  <si>
    <t>STRUCTURAL ELUCIDATION OF A NEUTRAL WATER-SOLUBLE a-D-GLUCAN FROM THE FUNGUS OF HERICIUM ERINACEUS</t>
  </si>
  <si>
    <t>https://doi.org/10.1111/j.1745-4514.2010.00492.x</t>
  </si>
  <si>
    <t>NOT MATCHED || Natural Science Foundation of Zhejiang Province; Zhejiang Natural Science Foundation; ZJNSF; 浙江省自然科学基金根据国; Zhejiang Provincial Natural Science Foundation</t>
  </si>
  <si>
    <t>https://openalex.org/funders/f4320338464</t>
  </si>
  <si>
    <t>Localization of Free and Bound Metal Species through X-Ray Synchrotron Fluorescence Microscopy in the Rodent Brain and Their Relation to Behavior</t>
  </si>
  <si>
    <t>https://doi.org/10.3390/brainsci9040074</t>
  </si>
  <si>
    <t>U.S. Department of Energy; US Department of Energy; DOE; United States Department of Energy; Department of Energy; USDOE; Energy Department; ENERGY.GOV; USADOE; US DOE || U.S. Department of Energy; US Department of Energy; DOE; United States Department of Energy; Department of Energy; USDOE; Energy Department; ENERGY.GOV; USADOE; US DOE</t>
  </si>
  <si>
    <t>https://openalex.org/funders/f4320306084</t>
  </si>
  <si>
    <t>Establishment, Persistence, and Reactivation of Latent HIV-1 Infection in Renal Epithelial Cells</t>
  </si>
  <si>
    <t>https://doi.org/10.1128/jvi.00624-22</t>
  </si>
  <si>
    <t>National Institute of Diabetes and Digestive and Kidney Diseases; NIH\/National Institute of Diabetes, Digestive &amp; Kidney Diseases; NIH National Institute of Diabetes and Digestive and Kidney Diseases; NIDDK; National Institute of Diabetes &amp; Digestive &amp; Kidney Diseases</t>
  </si>
  <si>
    <t>https://openalex.org/funders/f4320337357</t>
  </si>
  <si>
    <t>Parallel ddRAD and Genome Skimming Analyses Reveal a Radiative and Reticulate Evolutionary History of the Temperate Bamboos</t>
  </si>
  <si>
    <t>https://doi.org/10.1093/sysbio/syaa076</t>
  </si>
  <si>
    <t>Chinese Academy of Sciences; CAS; 中国科学院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NOT MATCHED || University of Chinese Academy of Sciences; 中国科学院大学; University of the Chinese Academy of Sciences; UCAS; Graduate University of Chinese Academy of Sciences</t>
  </si>
  <si>
    <t>https://openalex.org/funders/f4320321133 || https://openalex.org/funders/f4320326972 || https://openalex.org/funders/f4320321001</t>
  </si>
  <si>
    <t>Casting a Black Gandhi: Martin Luther King Jr., American Pacifists and the Global Dynamics of Race</t>
  </si>
  <si>
    <t>https://doi.org/10.1017/S0021875819000033</t>
  </si>
  <si>
    <t>Arts and Humanities Research Council; AHRC || Economic and Social Research Council; ESRC || Arts and Humanities Research Council; AHRC</t>
  </si>
  <si>
    <t>https://openalex.org/funders/f4320334609 || https://openalex.org/funders/f4320334630</t>
  </si>
  <si>
    <t>Synthesis of 2-Vinylbenzofurans via the Copper-Catalyzed Multicomponent Reactions Involving an Oxa-Michael/Arylation/Vinylation Cascade</t>
  </si>
  <si>
    <t>https://doi.org/10.1021/ol502506g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</si>
  <si>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Education Department of Jiangxi Province; Department of Education, Jiangxi Province; Jiangxi Provincial Education Department; 江西省教育厅; Department of Education of Jiangxi Province; Jiangxi Provincial Department of Education</t>
  </si>
  <si>
    <t>https://openalex.org/funders/f4320325626 || https://openalex.org/funders/f4320321001</t>
  </si>
  <si>
    <t>A thermosensitive molecularly imprinted poly-NIPAM coated MWCNTs/TiO2 photocatalyst for the preferential removal of pendimethalin pesticide from wastewater</t>
  </si>
  <si>
    <t>https://doi.org/10.1016/j.jphotochem.2020.112802</t>
  </si>
  <si>
    <t>Shahid Beheshti University; دانشگاه شهید بهشتی; SBU</t>
  </si>
  <si>
    <t>https://openalex.org/funders/f4320319808</t>
  </si>
  <si>
    <t>Renal Cell Carcinoma in the Era of Precision Medicine: From Molecular Pathology to Tissue-Based Biomarkers</t>
  </si>
  <si>
    <t>https://doi.org/10.1200/JCO.2018.79.2259</t>
  </si>
  <si>
    <t>National Institutes of Health; US National Institutes of Health; Institutos Nacionales de la Salud; NIH || Memorial Sloan-Kettering Cancer Center; MSK Cancer Center; Memorial Sloan Kettering Cancer Center; MSKCC; MSK; Memorial Sloan Kettering || Society of Memorial Sloan Kettering; Society of MSK || National Cancer Institute; NCI; Instituto Nacional del Cáncer</t>
  </si>
  <si>
    <t>https://openalex.org/funders/f4320332161 || https://openalex.org/funders/f4320309468 || https://openalex.org/funders/f4320313397 || https://openalex.org/funders/f4320337351</t>
  </si>
  <si>
    <t>CAIR-1/BAG-3 modulates cell adhesion and migration by downregulating activity of focal adhesion proteins</t>
  </si>
  <si>
    <t>https://doi.org/10.1016/j.yexcr.2006.05.023</t>
  </si>
  <si>
    <t>National Cancer Institute; NCI; Instituto Nacional del Cáncer || National Institutes of Health; US National Institutes of Health; Institutos Nacionales de la Salud; NIH</t>
  </si>
  <si>
    <t>https://openalex.org/funders/f4320332161 || https://openalex.org/funders/f4320337351</t>
  </si>
  <si>
    <t>Non-Markovian Exciton-Phonon Interactions in Core-Shell Colloidal Quantum Dots at Femtosecond Timescales</t>
  </si>
  <si>
    <t>https://doi.org/10.1103/PhysRevLett.123.057403</t>
  </si>
  <si>
    <t>U.S. Department of Energy; US Department of Energy; DOE; United States Department of Energy; Department of Energy; USDOE; Energy Department; ENERGY.GOV; USADOE; US DOE || Conselho Nacional de Desenvolvimento Científico e Tecnológico; National Council for Scientific and Technological Development; Brazilian National Council for Research and Development; CNPq || Fundação de Amparo à Pesquisa do Estado de São Paulo; São Paulo Research Foundation; Foundation for Research Support of the State of São Paulo; FAPESP; State of São Paulo Research Foundation</t>
  </si>
  <si>
    <t>https://openalex.org/funders/f4320306084 || https://openalex.org/funders/f4320322025 || https://openalex.org/funders/f4320320997</t>
  </si>
  <si>
    <t>Nrf2 augments skeletal muscle regeneration after ischaemia-reperfusion injury</t>
  </si>
  <si>
    <t>https://doi.org/10.1002/path.4418</t>
  </si>
  <si>
    <t>NOT MATCHED || NOT MATCHED || Deutsche Forschungsgemeinschaft; German Research Association; DFG; German Research Foundation</t>
  </si>
  <si>
    <t>https://openalex.org/funders/f4320320879</t>
  </si>
  <si>
    <t>INVESTMENT ACTIVITY OF NATURAL MONOPOLIES OF SARATOV REGION: PROBLEMS AND SOLUTIONS</t>
  </si>
  <si>
    <t>https://doi.org/10.15405/epsbs.2019.03.02.216</t>
  </si>
  <si>
    <t>Russian Foundation for Basic Research; RFBR; РФФИ; Российский Фонд Фундаментальных Исследований || NOT MATCHED</t>
  </si>
  <si>
    <t>https://openalex.org/funders/f4320321079</t>
  </si>
  <si>
    <t>Mathematical Modelling and Electrical Analog Equivalent of the Human Cardiovascular System</t>
  </si>
  <si>
    <t>https://doi.org/10.1007/s10558-010-9093-0</t>
  </si>
  <si>
    <t>Iran University of Science and Technology; Iran University of Science &amp; Technology; IUST || NOT MATCHED</t>
  </si>
  <si>
    <t>https://openalex.org/funders/f4320324096</t>
  </si>
  <si>
    <t>Characterizing Serpinb2 as a Modulator of TCDD-Induced Suppression of the B Cell</t>
  </si>
  <si>
    <t>https://doi.org/10.1021/acs.chemrestox.8b00225</t>
  </si>
  <si>
    <t>National Institute of Environmental Health Sciences; The National Institute of Environmental Health Sciences; NIH National Institute of Environmental Health Sciences; NIEHS || Michigan State University; Michigan State University Spartans; MSU || National Institute of Environmental Health Sciences; The National Institute of Environmental Health Sciences; NIH National Institute of Environmental Health Sciences; NIEHS || National Institute of Environmental Health Sciences; The National Institute of Environmental Health Sciences; NIH National Institute of Environmental Health Sciences; NIEHS</t>
  </si>
  <si>
    <t>https://openalex.org/funders/f4320337361 || https://openalex.org/funders/f4320310016</t>
  </si>
  <si>
    <t>Targeting vulnerable households in urban Burkina Faso: effectiveness of geographical criteria but not of proxy-means testing</t>
  </si>
  <si>
    <t>https://doi.org/10.1093/heapol/czv104</t>
  </si>
  <si>
    <t>World Food Programme; WFP; Programa Mundial de Alimentos; Programma Alimentare Mondiale; Programme Alimentaire Mondial || Institut de Recherche pour le Développement; IRD; Institute for development research IRD; French Research Institute for Development; Instituto de Investigación por el Desarrollo; Institute for development research; French National Research Institute for Sustainable Development</t>
  </si>
  <si>
    <t>https://openalex.org/institutions/i1295768896 || https://openalex.org/funders/f4320313932</t>
  </si>
  <si>
    <t>Onset of remission and relapse in depression: Testing operational criteria through course description in a second Dublin cohort of first-admission participants</t>
  </si>
  <si>
    <t>https://doi.org/10.1016/j.jad.2010.02.107</t>
  </si>
  <si>
    <t>St. Patrick's Hospital; St. Patrick's University Hospital || Trinity College, University of Oxford; Trinity College</t>
  </si>
  <si>
    <t>https://openalex.org/funders/f4320334671 || https://openalex.org/institutions/i4210122413</t>
  </si>
  <si>
    <t>Preparative isolation and purification of capsaicinoids from Capsicum frutescens using high-speed counter-current chromatography</t>
  </si>
  <si>
    <t>https://doi.org/10.1016/j.seppur.2008.10.005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</si>
  <si>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NOT MATCHED</t>
  </si>
  <si>
    <t>https://openalex.org/funders/f4320321001</t>
  </si>
  <si>
    <t>Clinical and ultrasonographic differences between cattle and buffaloes with various sequelae of traumatic reticuloperitonitis</t>
  </si>
  <si>
    <t>https://doi.org/10.17221/128/2009-VETMED</t>
  </si>
  <si>
    <t>Ministry of Higher Education; Ministry of Higher Education, Egypt; MOHE; Egyptian Ministry of Higher Education</t>
  </si>
  <si>
    <t>https://openalex.org/funders/f4320321147</t>
  </si>
  <si>
    <t>Influence of grain type and oil concentration of dried corn distillers' grain with solubles on ruminal fermentation and in vitro gas production in cattle fed high-concentrate diets</t>
  </si>
  <si>
    <t>https://doi.org/10.1139/cjas-2018-0036</t>
  </si>
  <si>
    <t>North Dakota Corn Utilization Council; North Dakota Corn; NDCUC; North Dakota Corn Council; ND Corn Council</t>
  </si>
  <si>
    <t>https://openalex.org/funders/f4320318963</t>
  </si>
  <si>
    <t>IIx myosin heavy chain promoter regulation cannot be characterized in vivo by direct gene transfer</t>
  </si>
  <si>
    <t>https://doi.org/10.1152/ajpcell.00221.2007</t>
  </si>
  <si>
    <t>National Institute of Arthritis and Musculoskeletal and Skin Diseases; NIAMS; Instituto Nacional de Artritis y Enfermedades Musculoesqueléticas y de la Piel; NIH\/National Institute of Arthritis and Musculoskeletal and Skin Diseases; National Institute of Arthritis &amp; Musculoskeletal &amp; Skin Diseases; The National Institute of Arthritis and Musculoskeletal and Skin Diseases; NIH National Institute of Arthritis and Musculoskeletal and Skin Diseases || National Institute of Arthritis and Musculoskeletal and Skin Diseases; NIAMS; Instituto Nacional de Artritis y Enfermedades Musculoesqueléticas y de la Piel; NIH\/National Institute of Arthritis and Musculoskeletal and Skin Diseases; National Institute of Arthritis &amp; Musculoskeletal &amp; Skin Diseases; The National Institute of Arthritis and Musculoskeletal and Skin Diseases; NIH National Institute of Arthritis and Musculoskeletal and Skin Diseases</t>
  </si>
  <si>
    <t>https://openalex.org/funders/f4320337362</t>
  </si>
  <si>
    <t>Crash responses under multiple impacts and residual properties of CFRP and aluminum tubes</t>
  </si>
  <si>
    <t>https://doi.org/10.1016/j.compstruct.2018.04.001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</si>
  <si>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NOT MATCHED || Natural Science Foundation of Guangdong Province; Guangdong Natural Science Foundation; Guangdong Provincial Natural Science Foundation; Natural Science Foundation of Guangdong || Natural Science Foundation of Hunan Province; Hunan Provincial Natural Science Foundation || China Postdoctoral Science Foundation || NOT MATCHED</t>
  </si>
  <si>
    <t>https://openalex.org/funders/f4320322843 || https://openalex.org/funders/f4320321921 || https://openalex.org/funders/f4320321001 || https://openalex.org/funders/f4320321543</t>
  </si>
  <si>
    <t>Inactivation of a pathogenic NDM-1-positive Escherichia coli strain and the resistance gene bla(NDM-1) by TiO2/UVA photocatalysis</t>
  </si>
  <si>
    <t>https://doi.org/10.1016/j.scitotenv.2022.157369</t>
  </si>
  <si>
    <t>Government of Jiangsu Province; Jiangsu Province || NOT MATCHED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</t>
  </si>
  <si>
    <t>https://openalex.org/funders/f4320321001 || https://openalex.org/funders/f4320321605</t>
  </si>
  <si>
    <t>Comparison of phase-shifting techniques for in vivo full-range, high-speed Fourier-domain optical coherence tomography</t>
  </si>
  <si>
    <t>https://doi.org/10.1117/1.3494556</t>
  </si>
  <si>
    <t>National Eye Institute; NIH\/National Eye Institute; The National Eye Institute; NEI; Instituto Nacional del Ojo || Research to Prevent Blindness; Research to Prevent Blindness, Inc; Research To Prevent Blindness, Inc.; RESEARCH TO PREVENT BLINDNESS INC; RPB || National Eye Institute; NIH\/National Eye Institute; The National Eye Institute; NEI; Instituto Nacional del Ojo</t>
  </si>
  <si>
    <t>https://openalex.org/funders/f4320337350 || https://openalex.org/funders/f4320306811</t>
  </si>
  <si>
    <t>Experience and Outcome of Children with Severe Acute Malnutrition Using Locally Prepared Therapeutic Diet</t>
  </si>
  <si>
    <t>https://doi.org/10.1007/s12098-015-1818-z</t>
  </si>
  <si>
    <t>UNICEF; United Nations Children's Emergency Fund</t>
  </si>
  <si>
    <t>https://openalex.org/funders/f4320309209</t>
  </si>
  <si>
    <t>Analysis of EV Charging Coordination Efficiency in Presence of Cheating Customers</t>
  </si>
  <si>
    <t>https://doi.org/10.1109/ACCESS.2021.3128399</t>
  </si>
  <si>
    <t>Qatar National Library; QNL; مكتبة قطر الوطنية; Qatar National Library, Doha, Qatar || NOT MATCHED</t>
  </si>
  <si>
    <t>https://openalex.org/funders/f4320334468</t>
  </si>
  <si>
    <t>Inhibitory Effects of Garcinia cambogia Extract on CYP2B6 Enzyme Activity</t>
  </si>
  <si>
    <t>https://doi.org/10.1055/s-0043-104934</t>
  </si>
  <si>
    <t>National Research Foundation of Korea; NRF; 한국연구재단이 창의적 연구와</t>
  </si>
  <si>
    <t>https://openalex.org/funders/f4320322120</t>
  </si>
  <si>
    <t>Preparation of platinum- and silver-incorporated TiO2 coatings in thin-film photoreactor for the photocatalytic decomposition of o-cresol</t>
  </si>
  <si>
    <t>https://doi.org/10.1080/09593330.2011.556670</t>
  </si>
  <si>
    <t>Ministry of Science and Technology, Taiwan; Ministry of Science and Technology of Taiwan; MOST; Ministry of Science and Technology, R.O.C. (Taiwan)</t>
  </si>
  <si>
    <t>https://openalex.org/funders/f4320322795</t>
  </si>
  <si>
    <t>Nitrogen Dioxide Sensing Using Multilayer Structure of Reduced Graphene Oxide and alpha-Fe2O3</t>
  </si>
  <si>
    <t>https://doi.org/10.3390/s21031011</t>
  </si>
  <si>
    <t>Narodowym Centrum Nauki; NCN; National Science Centre; National Science Centre, Poland || Narodowe Centrum Nauki; National Science Centre; NCN</t>
  </si>
  <si>
    <t>https://openalex.org/funders/f4320322511 || https://openalex.org/funders/f4320322650</t>
  </si>
  <si>
    <t>Infestation of Lithodes santolla (Decapoda: Lithodidae) by Pseudione tuberculata (Isopoda: Bopyridae) in San Jorge Gulf, Southwestern Atlantic Ocean</t>
  </si>
  <si>
    <t>https://doi.org/10.1080/17451000903478327</t>
  </si>
  <si>
    <t>Consejo Nacional de Investigaciones Científicas y Técnicas; National Scientific and Technical Research Council; CONICET</t>
  </si>
  <si>
    <t>https://openalex.org/funders/f4320321594</t>
  </si>
  <si>
    <t>A novel lateral shearing interferometer and its anti-vibration characteristic for on-machine precision surface measurement</t>
  </si>
  <si>
    <t>https://doi.org/10.1016/j.ijleo.2016.03.064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</si>
  <si>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Program for Changjiang Scholars and Innovative Research Team in University; 长江学者和创新团队发展计划资助资助; Program for Yangtze River Scholars and Innovative Research Team in University || Natural Science Foundation of Hubei Province; Hubei Provincial Natural Science Foundation</t>
  </si>
  <si>
    <t>https://openalex.org/funders/f4320338204 || https://openalex.org/funders/f4320321001 || https://openalex.org/funders/f4320322186</t>
  </si>
  <si>
    <t>Development of antimigraine transdermal delivery systems of pizotifen malate</t>
  </si>
  <si>
    <t>https://doi.org/10.1016/j.ijpharm.2015.07.033</t>
  </si>
  <si>
    <t>NOT MATCHED || Universidad Cardenal Herrera CEU; CEU-UCH; Universidad CEU Cardenal Herrera; CEU Cardenal Herrera University; CEU Universidad Cardenal Herrera; Cardenal Herrera CEU University; Universitat CEU Cardenal Herrera</t>
  </si>
  <si>
    <t>https://openalex.org/institutions/i2800982320</t>
  </si>
  <si>
    <t>Elasmobranch capture by commercial small-scale fisheries in the Bijagos Archipelago, Guinea Bissau</t>
  </si>
  <si>
    <t>https://doi.org/10.1016/j.fishres.2015.03.018</t>
  </si>
  <si>
    <t>NOT MATCHED || University College London; UCL || Parkes Foundation</t>
  </si>
  <si>
    <t>https://openalex.org/funders/f4320311462 || https://openalex.org/funders/f4320320286</t>
  </si>
  <si>
    <t>Mechanisms of Se(IV) Co-precipitation with Ferrihydrite at Acidic and Alkaline Conditions and Its Behavior during Aging</t>
  </si>
  <si>
    <t>https://doi.org/10.1021/acs.est.8b00462</t>
  </si>
  <si>
    <t>Nuclear Safety Research Association; 公益財団法人原子力安全研究協会; 原子力安全研究協会 || Nuclear Waste Management Organization; Société de Gestion des Déchets Nucléaires; NWMO</t>
  </si>
  <si>
    <t>https://openalex.org/institutions/i4406743227 || https://openalex.org/funders/f4320313659</t>
  </si>
  <si>
    <t>Neural activity, neural connectivity, and the processing of emotionally valenced information in older adults: links with life satisfaction</t>
  </si>
  <si>
    <t>https://doi.org/10.3758/s13415-011-0039-9</t>
  </si>
  <si>
    <t>National Institute on Aging; The National Institute on Aging; NIA; NIH NATIONAL INSTITUTE ON AGING; U.S. National Institute on Aging || National Institute on Aging; The National Institute on Aging; NIA; NIH NATIONAL INSTITUTE ON AGING; U.S. National Institute on Aging</t>
  </si>
  <si>
    <t>https://openalex.org/funders/f4320337337</t>
  </si>
  <si>
    <t>On the Non-trivial Origin of Atomic-Scale Patterns in Friction Force Microscopy</t>
  </si>
  <si>
    <t>https://doi.org/10.1007/s11249-018-1127-6</t>
  </si>
  <si>
    <t>European Research Council; ERC || Nederlandse Organisatie voor Wetenschappelijk Onderzoek; Dutch Research Council; Dutch National Scientific Foundation; Dutch National Science Foundation; NWO; Netherlands Organisation for Scientific Research</t>
  </si>
  <si>
    <t>https://openalex.org/funders/f4320321800 || https://openalex.org/funders/f4320334678</t>
  </si>
  <si>
    <t>Multicoil Shimming of the Mouse Brain</t>
  </si>
  <si>
    <t>https://doi.org/10.1002/mrm.22850</t>
  </si>
  <si>
    <t>National Institutes of Health; US National Institutes of Health; Institutos Nacionales de la Salud; NIH || National Cancer Institute; NCI; Instituto Nacional del Cáncer || National Institute of Biomedical Imaging and Bioengineering; NIH National Institute of Biomedical Imaging &amp; Bioengineering; National Institute of Biomedical Imaging &amp; Bioengineering; The National Institute of Biomedical Imaging and Bioengineering; NIH National Institute of Biomedical Imaging and Bioengineering; Instituto Nacional de Imágenes Biomédicas y Bioingeniería; NIBIB || National Institute of Neurological Disorders and Stroke; National Institute of Neurological Disorders &amp; Stroke; NIH\/National Institute of Neurological Disorders and Stroke; The National Institute of Neurological Disorders and Stroke; Instituto Nacional de Trastornos Neurológicos y Accidentes Cerebrovasculares; NIH National Institute of Neurological Disorders and Stroke; NINDS</t>
  </si>
  <si>
    <t>https://openalex.org/funders/f4320332161 || https://openalex.org/funders/f4320337351 || https://openalex.org/funders/f4320337359 || https://openalex.org/funders/f4320337363</t>
  </si>
  <si>
    <t>The Suggestion of Revised Criteria for Endoscopic Resection of Differentiated-Type Submucosal Gastric Cancer</t>
  </si>
  <si>
    <t>https://doi.org/10.1245/s10434-019-08102-3</t>
  </si>
  <si>
    <t>Professional identity research in the health professions-a scoping review</t>
  </si>
  <si>
    <t>https://doi.org/10.1007/s10459-022-10171-1</t>
  </si>
  <si>
    <t>Research Triangle Park Foundation; RTP || Council of Australasian University Librarians; CAUL; Council of Australian University Librarians</t>
  </si>
  <si>
    <t>https://openalex.org/institutions/i1309191912 || https://openalex.org/institutions/i3009606475</t>
  </si>
  <si>
    <t>Preparation of hexagonal and amorphous chromium oxyhydroxides by facile hydrolysis of K x CrO y</t>
  </si>
  <si>
    <t>https://doi.org/10.1016/S1003-6326(20)65305-5</t>
  </si>
  <si>
    <t>NOT MATCHED || Chongqing University of Arts and Sciences; CUAS || Natural Science Foundation of Chongqing; Chonqing Natural Science Foundation; Municipal Natural Science Foundation of Chongqing; Natural Science Foundation of Chongqing Municipality; 重庆市自然科学基金 || Chongqing Municipal Education Commission; Chongqing Municipality Education Commission; Education Commission of Chongqing Municipality; 重庆市教育委员会; CQMEC</t>
  </si>
  <si>
    <t>https://openalex.org/funders/f4320321551 || https://openalex.org/funders/f4320324805 || https://openalex.org/funders/f4320323172</t>
  </si>
  <si>
    <t>The Riemann-Hilbert Approach and N-Soliton Solutions of a Four-Component Nonlinear Schrodinger Equation</t>
  </si>
  <si>
    <t>https://doi.org/10.4208/eajam.100620.170920</t>
  </si>
  <si>
    <t>Fundamental Research Funds for the Central Universities; Fundamental Research Funds for the Central Universities of China; Fundamental Research Fund for the Central Universities</t>
  </si>
  <si>
    <t>https://openalex.org/funders/f4320335787</t>
  </si>
  <si>
    <t>Parental Life Span and Polygenic Risk Score of Longevity Are Associated With White Matter Hyperintensities</t>
  </si>
  <si>
    <t>https://doi.org/10.1093/gerona/glab323</t>
  </si>
  <si>
    <t>National Health and Medical Research Council; NHMRC || NOT MATCHED || Australian Government; Federal Government; Commonwealth Government of Australia; Commonwealth Government; Government of Australia</t>
  </si>
  <si>
    <t>https://openalex.org/funders/f4320315885 || https://openalex.org/funders/f4320334705</t>
  </si>
  <si>
    <t>Developing Concentration Index of Industrial and Occupational Accidents: The Case of European Countries</t>
  </si>
  <si>
    <t>https://doi.org/10.1016/j.shaw.2020.05.003</t>
  </si>
  <si>
    <t>Ministry of Education; 교육부; MOE; Ministry of Education of the Republic of Korea || National Research Foundation of Korea; NRF; 한국연구재단이 창의적 연구와</t>
  </si>
  <si>
    <t>https://openalex.org/funders/f4320321408 || https://openalex.org/funders/f4320322120</t>
  </si>
  <si>
    <t>Analysis of the Fee-to-Tax Reform on Water Resources in China</t>
  </si>
  <si>
    <t>https://doi.org/10.3389/fenrg.2021.752592</t>
  </si>
  <si>
    <t>Guangdong Office of Philosophy and Social Science; Planning Office of Philosophy and Social Science of Guangdong Province; 广东省哲学社会科学; 广东省哲学社会科学规划领导小组办公室; GDPPLGOPSS; Guangdong Planning Office of Philosophy and Social Science; Guangdong Provincial Planning Office of Philosophy and Social Science</t>
  </si>
  <si>
    <t>https://openalex.org/funders/f4320326679</t>
  </si>
  <si>
    <t>SNP Function Portal: a web database for exploring the function implication of SNP alleles</t>
  </si>
  <si>
    <t>https://doi.org/10.1093/bioinformatics/btl241</t>
  </si>
  <si>
    <t>National Institute on Drug Abuse; NIDA; The National Institute on Drug Abuse; Instituto Nacional sobre el Abuso de Drogas; Instituto Nacional sobre el Abuso de Drogas de Estados Unidos || National Institute on Drug Abuse; NIDA; The National Institute on Drug Abuse; Instituto Nacional sobre el Abuso de Drogas; Instituto Nacional sobre el Abuso de Drogas de Estados Unidos</t>
  </si>
  <si>
    <t>https://openalex.org/funders/f4320337347</t>
  </si>
  <si>
    <t>List-Based OMP and an Enhanced Model for DOA Estimation With Nonuniform Arrays</t>
  </si>
  <si>
    <t>https://doi.org/10.1109/TAES.2021.3087836</t>
  </si>
  <si>
    <t>Pontifícia Universidade Católica do Rio de Janeiro; PUC-Rio; Pontifical Catholic University of Rio de Janeiro || Conselho Nacional de Desenvolvimento Científico e Tecnológico; National Council for Scientific and Technological Development; Brazilian National Council for Research and Development; CNPq || Fundação Carlos Chagas Filho de Amparo à Pesquisa do Estado do Rio de Janeiro; FAPERJ; Carlos Chagas Filho Foundation for Research Support in Rio de Janeiro; Research Support Foundation for the State of Rio de Janeiro; Fundação de Amparo à Pesquisa do Estado do Rio de Janeiro || Fundação de Amparo à Pesquisa do Estado de São Paulo; São Paulo Research Foundation; Foundation for Research Support of the State of São Paulo; FAPESP; State of São Paulo Research Foundation</t>
  </si>
  <si>
    <t>https://openalex.org/funders/f4320322025 || https://openalex.org/funders/f4320331129 || https://openalex.org/funders/f4320320997 || https://openalex.org/funders/f4320322749</t>
  </si>
  <si>
    <t>Reactions Leading to Controlled Hydrophilicity/Hydrophobicity of Surfaces</t>
  </si>
  <si>
    <t>https://doi.org/10.2174/1385272821666170428123013</t>
  </si>
  <si>
    <t>National Center of Competence in Research Quantum Science and Technology; NCCR QSIT; NCCR "QSIT - Quantum Science and Technology"; NCCR Quantum Science and Technology; NCCR 'QSIT - Quantum Science and Technology</t>
  </si>
  <si>
    <t>https://openalex.org/funders/f4320335366</t>
  </si>
  <si>
    <t>Text Image Deblurring Using Kernel Sparsity Prior</t>
  </si>
  <si>
    <t>https://doi.org/10.1109/TCYB.2018.2876511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</si>
  <si>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NOT MATCHED || NOT MATCHED || Natural Science Foundation of Beijing Municipality; Beijing Municipal Natural Science Foundation; Natural Science Foundation of Beijing; Beijing Natural Science Foundation</t>
  </si>
  <si>
    <t>https://openalex.org/funders/f4320322919 || https://openalex.org/funders/f4320321001</t>
  </si>
  <si>
    <t>Bifurcation Phenomena of Nonlinear Waves in a Generalized Zakharov-Kuznetsov Equation</t>
  </si>
  <si>
    <t>https://doi.org/10.1155/2013/812120</t>
  </si>
  <si>
    <t>Gall size of Dryocosmus kuriphilus limits down-regulation by native parasitoids</t>
  </si>
  <si>
    <t>https://doi.org/10.1007/s10530-020-02427-x</t>
  </si>
  <si>
    <t>Ministerio de Economía y Competitividad; MINECO; MEC; Ministry of Economy and Competitiveness</t>
  </si>
  <si>
    <t>https://openalex.org/funders/f4320321837</t>
  </si>
  <si>
    <t>A multiplex serologic platform for diagnosis of tick-borne diseases</t>
  </si>
  <si>
    <t>https://doi.org/10.1038/s41598-018-21349-2</t>
  </si>
  <si>
    <t>Steven and Alexandra Cohen Foundation; The Steven &amp; Alexandra Cohen Foundation, Inc.; Steven &amp; Alexandra Cohen Foundation; Steven &amp; Alexandra Cohen Foundation, Inc. || NOT MATCHED || NOT MATCHED || National Institute of Allergy and Infectious Diseases; NIAID; Instituto Nacional de Alergias y Enfermedades Infecciosas</t>
  </si>
  <si>
    <t>https://openalex.org/funders/f4320316446 || https://openalex.org/funders/f4320337355</t>
  </si>
  <si>
    <t>Coordinated energy management for an islanded microgrid with multi-energy and multi-storage units</t>
  </si>
  <si>
    <t>https://doi.org/10.1016/j.egyr.2021.11.131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</si>
  <si>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</t>
  </si>
  <si>
    <t>Dynamic Characteristics Analysis of ISD Suspension System under Different Working Conditions</t>
  </si>
  <si>
    <t>https://doi.org/10.3390/math9121345</t>
  </si>
  <si>
    <t>State Key Laboratory of Automotive Simulation and Control; State Key Lab of Automotive Simulation and Control; 汽车动态模拟国家重点实验室; State Key Laboratory of Automobile Simulation and Control; 汽车仿真与控制国家重点实验室; State Key Lab of Automobile Simulation and Control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</t>
  </si>
  <si>
    <t>https://openalex.org/institutions/i4392738231 || https://openalex.org/funders/f4320321001</t>
  </si>
  <si>
    <t>Effects of Prunella vulgaris on the Mice Immune Function</t>
  </si>
  <si>
    <t>https://doi.org/10.1371/journal.pone.0077355</t>
  </si>
  <si>
    <t>National High-tech Research and Development Program; National High-tech R&amp;D Program (863 Program); State High-Tech Development Plan; 863 Program || Natural Science Foundation of Guangdong Province; Guangdong Natural Science Foundation; Guangdong Provincial Natural Science Foundation; Natural Science Foundation of Guangdong || Science and Technology Planning Project of Guangdong Province; Key Project of Guangdong Province Science &amp; Technology Plan; Science and Technology Program of Guangdong; Guangdong Science and Technology Foundation; Science and Technology Projects of Guangdong Province; Scientific and Technological Plan of Guangdong Province; S&amp;T Project of Guangdong Province; Guangdong Science and Technology Program || NOT MATCHED</t>
  </si>
  <si>
    <t>https://openalex.org/funders/f4320335773 || https://openalex.org/funders/f4320321921 || https://openalex.org/funders/f4320335795</t>
  </si>
  <si>
    <t>Dynamic covalent chemistry constrained diphenylethenes: control over reactivity and luminescence both in solution and in the solid state</t>
  </si>
  <si>
    <t>https://doi.org/10.1039/d2qo00057a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</si>
  <si>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NOT MATCHED || NOT MATCHED || Science Fund for Distinguished Young Scholars of Fujian Province; 福建省杰出青年自然科学基金; NSF for Young Scholarsof Fujian Province; Science Funds for Distinguished Young Scientists of Fujian Province; Natural Science Foundation of Fujian Province for Distinguished Young Scientists; National Science Foundation for Distinguished Young Scholars of Fujian Province; Fujian Provincial Funds for Distinguished Young Scientists || NOT MATCHED</t>
  </si>
  <si>
    <t>https://openalex.org/funders/f4320336815 || https://openalex.org/funders/f4320321001</t>
  </si>
  <si>
    <t>Dynamic changes in positive interferon-gamma release assay in a dialysis population: An observational cohort study</t>
  </si>
  <si>
    <t>https://doi.org/10.1016/j.jinf.2013.07.029</t>
  </si>
  <si>
    <t>NOT MATCHED || NOT MATCHED || National Science Council; National Science Council, Taiwan; National Science Council of Taiwan; NSC</t>
  </si>
  <si>
    <t>https://openalex.org/funders/f4320321040</t>
  </si>
  <si>
    <t>Cystathionine beta-synthase is required for body iron homeostasis</t>
  </si>
  <si>
    <t>https://doi.org/10.1002/hep.29499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</si>
  <si>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Research Grants Council, University Grants Committee; 研究資助局; 研究資助局 || NOT MATCHED</t>
  </si>
  <si>
    <t>https://openalex.org/funders/f4320321592 || https://openalex.org/funders/f4320321001</t>
  </si>
  <si>
    <t>Contribution of herd characteristics to best linear unbiased estimates of slaughter traits in beef cattle</t>
  </si>
  <si>
    <t>https://doi.org/10.1016/j.animal.2021.100321</t>
  </si>
  <si>
    <t>NOT MATCHED || Science Foundation Ireland; SFI</t>
  </si>
  <si>
    <t>https://openalex.org/funders/f4320320847</t>
  </si>
  <si>
    <t>Non-commutative Iwasawa theory of elliptic curves at primes of multiplicative reduction</t>
  </si>
  <si>
    <t>https://doi.org/10.1017/S0305004112000564</t>
  </si>
  <si>
    <t>Engineering and Physical Sciences Research Council; EPSRC || Engineering and Physical Sciences Research Council; EPSRC || Engineering and Physical Sciences Research Council; EPSRC</t>
  </si>
  <si>
    <t>https://openalex.org/funders/f4320334627</t>
  </si>
  <si>
    <t>Enhancement of Vindoline and Catharanthine Accumulation, Antioxidant Enzymes Activities, and Gene Expression Levels in Catharanthus roseus Leaves by Chitooligosaccharides Elicitation</t>
  </si>
  <si>
    <t>https://doi.org/10.3390/md20030188</t>
  </si>
  <si>
    <t>NOT MATCHED || NOT MATCHED</t>
  </si>
  <si>
    <t>Accurate Electromagnetic Analysis of Interconnect Structures Based on a Mixed Method</t>
  </si>
  <si>
    <t>https://doi.org/10.1109/LMWC.2020.3008494</t>
  </si>
  <si>
    <t>Effect of MgO promoter on Ru/gamma-Al2O3 catalysts for tricyclopentadiene hydrogenation</t>
  </si>
  <si>
    <t>https://doi.org/10.1016/j.cattod.2020.01.003</t>
  </si>
  <si>
    <t>Korea Institute of Energy Technology Evaluation and Planning; KETEP</t>
  </si>
  <si>
    <t>https://openalex.org/funders/f4320335199</t>
  </si>
  <si>
    <t>General Three-Population Multi-Strategy Evolutionary Games for Long-Term On-Grid Bidding of Generation-Side Electricity Market</t>
  </si>
  <si>
    <t>https://doi.org/10.1109/ACCESS.2020.3046327</t>
  </si>
  <si>
    <t>NOT MATCHED || NOT MATCHED || NOT MATCHED || Natural Science Foundation of Guangdong Province; Guangdong Natural Science Foundation; Guangdong Provincial Natural Science Foundation; Natural Science Foundation of Guangdong || Natural Science Foundation of Guangxi Province; Guangxi Natural Science Foundation</t>
  </si>
  <si>
    <t>https://openalex.org/funders/f4320322768 || https://openalex.org/funders/f4320321921</t>
  </si>
  <si>
    <t>Molnupiravir-A Novel Oral Anti-SARS-CoV-2 Agent</t>
  </si>
  <si>
    <t>https://doi.org/10.3390/antibiotics10111294</t>
  </si>
  <si>
    <t>Ministry of Science and Technology; MOST; Ministry of Science and Technology of the Socialist Republic of Vietnam; Vietnamese Ministry of Science and Technology || Ministry of Health and Welfare; 衛生福利部; Ministry of Health and Welfare, Taiwan; MOHW || National Cheng Kung University Hospital; NCKU Hospital; NCKU</t>
  </si>
  <si>
    <t>https://openalex.org/funders/f4320309618 || https://openalex.org/funders/f4320322933 || https://openalex.org/funders/f4320310848</t>
  </si>
  <si>
    <t>Fractionalized Fermi liquid in a Kondo-Heisenberg model</t>
  </si>
  <si>
    <t>https://doi.org/10.1103/PhysRevB.94.165114</t>
  </si>
  <si>
    <t>U.S. Department of Energy; US Department of Energy; DOE; United States Department of Energy; Department of Energy; USDOE; Energy Department; ENERGY.GOV; USADOE; US DOE</t>
  </si>
  <si>
    <t>Features of a twin-arginine signal peptide required for recognition by a Tat proofreading chaperone</t>
  </si>
  <si>
    <t>https://doi.org/10.1016/j.febslet.2008.10.049</t>
  </si>
  <si>
    <t>Biotechnology and Biological Sciences Research Council; BBSRC; The Biotechnology And Biological Sciences Research Council || NOT MATCHED || Biotechnology and Biological Sciences Research Council; BBSRC; The Biotechnology And Biological Sciences Research Council || Medical Research Council; MRC; UK Medical Research Council || Medical Research Council; MRC; UK Medical Research Council</t>
  </si>
  <si>
    <t>https://openalex.org/funders/f4320334626 || https://openalex.org/funders/f4320334629</t>
  </si>
  <si>
    <t>Comparison of Unilateral Versus Bilateral Upper Extremity Task Performance After Stroke</t>
  </si>
  <si>
    <t>https://doi.org/10.1310/tsr1904-294</t>
  </si>
  <si>
    <t>National Institutes of Health; US National Institutes of Health; Institutos Nacionales de la Salud; NIH || Foundation for Physical Therapy; Foundation for Physical Therapy Research, Inc; Foundation for Physical Therapy Research; Foundation for Physical Therapy Inc; Foundation for Physical Therapy Research, Inc.; Foundation For Physical Therapy Research Inc; FPT; Foundation for Physical Therapy, Inc.; Foundation4PT; FPTR || Eunice Kennedy Shriver National Institute of Child Health and Human Development; NIH Eunice Kennedy Shriver National Institute of Child Health and Human Development; NIH Eunice Kennedy Shriver National Institute of Child Health &amp; Human Development; Eunice Kennedy Shriver National Institute of Child Health and Human Development at the National Institutes of Health; NICHD; National Institutes of Health\/Eunice Kennedy Shriver National Institute of Child Health &amp; Human Development; Eunice Kennedy Shriver National Institute of Child Health &amp; Human Development; Instituto Nacional de Salud Infantil y Desarrollo Humano Eunice Kennedy Shriver; NIH\/NICHD; Eunice Kennedy Shriver National Institute of Child Health and Human Development of the National Institutes of Health; NIH\/Eunice Kennedy Shriver National Institute of Child Health and Human Development || Eunice Kennedy Shriver National Institute of Child Health and Human Development; NIH Eunice Kennedy Shriver National Institute of Child Health and Human Development; NIH Eunice Kennedy Shriver National Institute of Child Health &amp; Human Development; Eunice Kennedy Shriver National Institute of Child Health and Human Development at the National Institutes of Health; NICHD; National Institutes of Health\/Eunice Kennedy Shriver National Institute of Child Health &amp; Human Development; Eunice Kennedy Shriver National Institute of Child Health &amp; Human Development; Instituto Nacional de Salud Infantil y Desarrollo Humano Eunice Kennedy Shriver; NIH\/NICHD; Eunice Kennedy Shriver National Institute of Child Health and Human Development of the National Institutes of Health; NIH\/Eunice Kennedy Shriver National Institute of Child Health and Human Development</t>
  </si>
  <si>
    <t>https://openalex.org/funders/f4320332161 || https://openalex.org/funders/f4320311480 || https://openalex.org/funders/f4320337611</t>
  </si>
  <si>
    <t>In Helicobacter pylori auto-inducer-2, but not LuxS/MccAB catalysed reverse transsulphuration, regulates motility through modulation of flagellar gene transcription</t>
  </si>
  <si>
    <t>https://doi.org/10.1186/1471-2180-10-210</t>
  </si>
  <si>
    <t>NOT MATCHED || NOT MATCHED || University of Nottingham; The University of Nottingham; University College, Nottingham; Nottingham University || Horowitz Foundation for Social Policy; The Horowitz Foundation for Social Policy; HFSP; Horowitz Foundation || Biotechnology and Biological Sciences Research Council; BBSRC; The Biotechnology And Biological Sciences Research Council</t>
  </si>
  <si>
    <t>https://openalex.org/funders/f4320311097 || https://openalex.org/funders/f4320334629 || https://openalex.org/funders/f4320320324</t>
  </si>
  <si>
    <t>Longitudinal Alterations of Frontoparietal and Frontotemporal Networks Predict Future Creative Cognitive Ability</t>
  </si>
  <si>
    <t>https://doi.org/10.1093/cercor/bhw353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</si>
  <si>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NOT MATCHED || NOT MATCHED || Fundamental Research Funds for the Central Universities; Fundamental Research Funds for the Central Universities of China; Fundamental Research Fund for the Central Universities || Natural Science Foundation of Chongqing; Chonqing Natural Science Foundation; Municipal Natural Science Foundation of Chongqing; Natural Science Foundation of Chongqing Municipality; 重庆市自然科学基金 || China Postdoctoral Science Foundation || NOT MATCHED || John Templeton Foundation; مؤسسة جون تمبلتون; Fundación John Templeton; Templeton Foundation; Fundação John Templeton; JTF; The John Templeton Foundation</t>
  </si>
  <si>
    <t>https://openalex.org/funders/f4320323172 || https://openalex.org/funders/f4320306193 || https://openalex.org/funders/f4320321543 || https://openalex.org/funders/f4320321001 || https://openalex.org/funders/f4320335787</t>
  </si>
  <si>
    <t>University Students' Knowledge, Attitudes, and Sources of Information About Zika Virus</t>
  </si>
  <si>
    <t>https://doi.org/10.1007/s10900-017-0463-z</t>
  </si>
  <si>
    <t>NOT MATCHED || California Health and Human Services Agency; CHHS || NOT MATCHED</t>
  </si>
  <si>
    <t>https://openalex.org/institutions/i1291847170</t>
  </si>
  <si>
    <t>Tailoring modulus and hardness of in-situ formed beta-Ti in bulk metallic glass composites by precipitation of isothermal omega-Ti</t>
  </si>
  <si>
    <t>https://doi.org/10.1016/j.matdes.2017.07.062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</si>
  <si>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NOT MATCHED || Science and Technology Planning Project of Guangdong Province; Key Project of Guangdong Province Science &amp; Technology Plan; Science and Technology Program of Guangdong; Guangdong Science and Technology Foundation; Science and Technology Projects of Guangdong Province; Scientific and Technological Plan of Guangdong Province; S&amp;T Project of Guangdong Province; Guangdong Science and Technology Program || NOT MATCHED</t>
  </si>
  <si>
    <t>https://openalex.org/funders/f4320335795 || https://openalex.org/funders/f4320321001</t>
  </si>
  <si>
    <t>Comparative genomics of extrachromosomal elements in Bacillus thuringiensis subsp israelensis</t>
  </si>
  <si>
    <t>https://doi.org/10.1016/j.resmic.2016.10.008</t>
  </si>
  <si>
    <t>Agence Nationale de la Recherche; ANR; French National Research Agency || Fonds De La Recherche Scientifique - FNRS; Belgian National Fund for Scientific Research; Fund for Scientific Research - FNRS; F.R.S. - FNRS; FNRS || Fonds De La Recherche Scientifique - FNRS; Belgian National Fund for Scientific Research; Fund for Scientific Research - FNRS; F.R.S. - FNRS; FNRS || Université Catholique de Louvain; University of Louvain; UCLouvain; Universite catholique de Louvain; Catholic University of Louvain; UCL; Louvain University; University of Louvain-la-Neuve; Catholic University of Louvain-la-Neuve; UC Louvain; uclouvain.be; Université catholique de Belgique</t>
  </si>
  <si>
    <t>https://openalex.org/funders/f4320321390 || https://openalex.org/funders/f4320320883 || https://openalex.org/funders/f4320309729</t>
  </si>
  <si>
    <t>Bicarbonate-based cultivation of Dunaliella salina for enhancing carbon utilization efficiency</t>
  </si>
  <si>
    <t>https://doi.org/10.1016/j.biortech.2017.04.009</t>
  </si>
  <si>
    <t>Advanced Biomass R&amp;D Center (South Korea); ABC || Korea Electric Power Corporation; KEPCO; 한국전력공사</t>
  </si>
  <si>
    <t>https://openalex.org/funders/f4320326258 || https://openalex.org/institutions/i4210088693</t>
  </si>
  <si>
    <t>Polysaccharides from chayote enhance lipid efflux and regulate NLRP3 inflammasome priming in macrophage-like THP-1 cells exposed to cholesterol crystals</t>
  </si>
  <si>
    <t>https://doi.org/10.1016/j.ijbiomac.2019.01.048</t>
  </si>
  <si>
    <t>Fundação de Amparo à Pesquisa do Estado de São Paulo; São Paulo Research Foundation; Foundation for Research Support of the State of São Paulo; FAPESP; State of São Paulo Research Foundation || Coordenação de Aperfeiçoamento de Pessoal de Nível Superior; Coordination for the Improvement of Higher Education Personnel; CAPES; Brazilian Federal Agency for the Support and Evaluation of Graduate Education || Fundação de Amparo à Pesquisa do Estado de São Paulo; São Paulo Research Foundation; Foundation for Research Support of the State of São Paulo; FAPESP; State of São Paulo Research Foundation || Conselho Nacional de Desenvolvimento Científico e Tecnológico; National Council for Scientific and Technological Development; Brazilian National Council for Research and Development; CNPq</t>
  </si>
  <si>
    <t>https://openalex.org/funders/f4320321091 || https://openalex.org/funders/f4320322025 || https://openalex.org/funders/f4320320997</t>
  </si>
  <si>
    <t>Mineral assemblage transformation of a metakaolin-based waste form after geopolymer encapsulation</t>
  </si>
  <si>
    <t>https://doi.org/10.1016/j.jnucmat.2015.12.023</t>
  </si>
  <si>
    <t>Biological and Environmental Research; BER; Biological &amp; Environmental Research; DOE Office of Science's Biological and Environmental Research; Office of Biological and Environmental Research; Department of Energy's Office of Biological and Environmental Research</t>
  </si>
  <si>
    <t>https://openalex.org/funders/f4320337509</t>
  </si>
  <si>
    <t>Life Cycle-Based Sustainability and Circularity Indicators for the Tourism Industry: A Literature Review</t>
  </si>
  <si>
    <t>https://doi.org/10.3390/su132111853</t>
  </si>
  <si>
    <t>European Social Fund; ESF; The European Social Fund; Europäische Sozialfonds; Fondo Sociale Europeo; Fonds Social Européen; Fondo Social Europeo || NOT MATCHED</t>
  </si>
  <si>
    <t>https://openalex.org/funders/f4320338080</t>
  </si>
  <si>
    <t>Microbial quest for food in vivo: "Nutritional virulence' as an emerging paradigm</t>
  </si>
  <si>
    <t>https://doi.org/10.1111/cmi.12138</t>
  </si>
  <si>
    <t>NOT MATCHED || NOT MATCHED || Schweizerischer Nationalfonds zur Förderung der Wissenschaftlichen Forschung; Fondo Nazionale Svizzero; Fonds National Suisse; Schweizerische Nationalfonds; Fondo Nazionale Svizzero per la Ricerca Scientifica; SNSF; Fonds National Suisse de la Recherche Scientifique; Swiss National Science Foundation; FNS; SNF; Schweizerischer Nationalfonds || NOT MATCHED || NOT MATCHED || National Institute of Allergy and Infectious Diseases; NIAID; Instituto Nacional de Alergias y Enfermedades Infecciosas</t>
  </si>
  <si>
    <t>https://openalex.org/funders/f4320320924 || https://openalex.org/funders/f4320337355</t>
  </si>
  <si>
    <t>Location and Setting of the Mars InSight Lander, Instruments, and Landing Site</t>
  </si>
  <si>
    <t>https://doi.org/10.1029/2020EA001248</t>
  </si>
  <si>
    <t>Jet Propulsion Laboratory; NASA Jet Propulsion Laboratory; NASA Jet Propulsion Lab; NASA JPL; JPL || National Aeronautics and Space Administration; US National Aeronautics &amp; Space Administration; United States National Aeronautics and Space Administration; NASA; National Aeronautics &amp; Space Administration || National Aeronautics and Space Administration; US National Aeronautics &amp; Space Administration; United States National Aeronautics and Space Administration; NASA; National Aeronautics &amp; Space Administration</t>
  </si>
  <si>
    <t>https://openalex.org/funders/f4320306101 || https://openalex.org/funders/f4320332375</t>
  </si>
  <si>
    <t>Effects of zirconium silicate reinforcement on expandable graphite based intumescent fire retardant coating</t>
  </si>
  <si>
    <t>https://doi.org/10.1016/j.polymdegradstab.2014.02.016</t>
  </si>
  <si>
    <t>Universiti Teknologi Petronas; UTP; Petronas Technology University</t>
  </si>
  <si>
    <t>https://openalex.org/funders/f4320323380</t>
  </si>
  <si>
    <t>Nonlinear Process Fault Detection Based on Multi-Scale Sparse Kernel Classifier</t>
  </si>
  <si>
    <t>https://doi.org/10.1007/978-3-642-38524-7_17</t>
  </si>
  <si>
    <t>Natural Science Foundation of Shandong Province; Natural Science Foundation of Shandong; Shandong Province Natural Science Foundation; Shandong Provincial Natural Science Foundation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Fundamental Research Funds for the Central Universities; Fundamental Research Funds for the Central Universities of China; Fundamental Research Fund for the Central Universities</t>
  </si>
  <si>
    <t>https://openalex.org/funders/f4320335787 || https://openalex.org/funders/f4320321001 || https://openalex.org/funders/f4320324174</t>
  </si>
  <si>
    <t>Energy Landscapes of Dynamic Ensembles of Rolling Triplet Repeat Bulge Loops: Implications for DNA Expansion Associated with Disease States</t>
  </si>
  <si>
    <t>https://doi.org/10.1021/ja3010896</t>
  </si>
  <si>
    <t>National Institutes of Health; US National Institutes of Health; Institutos Nacionales de la Salud; NIH || NOT MATCHED || National Cancer Institute; NCI; Instituto Nacional del Cáncer || National Institute of General Medical Sciences; NIGMS; U.S. National Institute of General Medical Sciences</t>
  </si>
  <si>
    <t>https://openalex.org/funders/f4320332161 || https://openalex.org/funders/f4320337351 || https://openalex.org/funders/f4320337354</t>
  </si>
  <si>
    <t>AN EXCEPTIONAL CHOICE? How Young New Zealand Women Talk about Abortion</t>
  </si>
  <si>
    <t>https://doi.org/10.1080/08164649.2015.1046305</t>
  </si>
  <si>
    <t>University of Otago; Te Whare Wānanga o Otāgo; Te Whare Wānanga o Ōtākou</t>
  </si>
  <si>
    <t>https://openalex.org/funders/f4320310371</t>
  </si>
  <si>
    <t>Highly Efficient CdS Quantum Dot-Sensitized Solar Cells Based on a Modified Polysulfide Electrolyte</t>
  </si>
  <si>
    <t>https://doi.org/10.1021/ja201841p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</si>
  <si>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NOT MATCHED || 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 || Ministry of Science and Technology, Taiwan; Ministry of Science and Technology of Taiwan; MOST; Ministry of Science and Technology, R.O.C. (Taiwan) || Energimyndigheten; Swedish Energy Agency || Knut och Alice Wallenbergs Stiftelse; Knut and Alice Wallenberg Foundation || State Key Laboratory of Fine Chemicals; 精细化工国家重点实验室; State Key Lab of Fine Chemicals</t>
  </si>
  <si>
    <t>https://openalex.org/institutions/i4391767660 || https://openalex.org/funders/f4320321001 || https://openalex.org/funders/f4320335777 || https://openalex.org/funders/f4320322795 || https://openalex.org/funders/f4320322711 || https://openalex.org/funders/f4320322327</t>
  </si>
  <si>
    <t>Perceived barriers to multiprofessional team briefings in operating theatres: a qualitative study</t>
  </si>
  <si>
    <t>https://doi.org/10.1136/bmjopen-2019-032351</t>
  </si>
  <si>
    <t>Department of Health, Government of Western Australia; WA Health; WA Department of Health</t>
  </si>
  <si>
    <t>https://openalex.org/funders/f4320323612</t>
  </si>
  <si>
    <t>Identifying Galactic PeVatrons with neutrinos</t>
  </si>
  <si>
    <t>https://doi.org/10.1016/j.astropartphys.2009.05.002</t>
  </si>
  <si>
    <t>National Science Foundation; U.S. National Science Foundation; USA NSF; USNSF; NSF; US National Science Foundation; US NSF || U.S. Department of Energy; US Department of Energy; DOE; United States Department of Energy; Department of Energy; USDOE; Energy Department; ENERGY.GOV; USADOE; US DOE || Wisconsin Alumni Research Foundation; THE WISCONSIN ALUMNI RESEARCH FOUNDATION; WARF || NOT MATCHED || Institució Catalana de Recerca i Estudis Avançats; ICREA; Catalan Institution for Research and Advanced Studies</t>
  </si>
  <si>
    <t>https://openalex.org/funders/f4320306076 || https://openalex.org/funders/f4320306084 || https://openalex.org/funders/f4320322121 || https://openalex.org/funders/f4320306555</t>
  </si>
  <si>
    <t>Female Labour Force Participation and the Reduction in Son Preference in China</t>
  </si>
  <si>
    <t>https://doi.org/10.1080/10357823.2022.2111547</t>
  </si>
  <si>
    <t>NOT MATCHED || National Social Science Fund of China; National Social Science Foundation of China; Chinese National Funding of Social Sciences; 国家社会科学基金; National Social Science Foundation; NSSFC || NOT MATCHED</t>
  </si>
  <si>
    <t>https://openalex.org/funders/f4320335869</t>
  </si>
  <si>
    <t>A HIGHLY LINEAR AND EFFICIENT THREE-WAY DOHERTY AMPLIFIER USING TWO-STAGE GaN HEMT CELLS FOR REPEATER SYSTEMS</t>
  </si>
  <si>
    <t>https://doi.org/10.1002/mop.24748</t>
  </si>
  <si>
    <t>Institute of BioMed-IT, Energy-IT and Smart-IT Technology (Best), Yonsei University; BK21+ BEST; BK21PLUS BEST || NOT MATCHED</t>
  </si>
  <si>
    <t>https://openalex.org/funders/f4320336052</t>
  </si>
  <si>
    <t>Mechanochemical Synthesis of Ketones via Chemoselective Suzuki-Miyaura Cross-Coupling of Acyl Chlorides</t>
  </si>
  <si>
    <t>https://doi.org/10.1021/acs.orglett.2c00519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</si>
  <si>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Rutgers, The State University of New Jersey; RU; Universitas Rutgersensis Civitatis Novae Caesareae; Rutgers University || National Science Foundation; U.S. National Science Foundation; USA NSF; USNSF; NSF; US National Science Foundation; US NSF</t>
  </si>
  <si>
    <t>https://openalex.org/funders/f4320306076 || https://openalex.org/funders/f4320312581 || https://openalex.org/funders/f4320321001</t>
  </si>
  <si>
    <t>C:N ratios of bulk soils and particle-size fractions: Global trends and major drivers</t>
  </si>
  <si>
    <t>https://doi.org/10.1016/j.geoderma.2022.116026</t>
  </si>
  <si>
    <t>Consiglio Nazionale delle Ricerche; CNR; National Research Council || Deutsche Forschungsgemeinschaft; German Research Association; DFG; German Research Foundation || NOT MATCHED</t>
  </si>
  <si>
    <t>https://openalex.org/funders/f4320322651 || https://openalex.org/funders/f4320320879</t>
  </si>
  <si>
    <t>The Effect of Post-annealing Treatment on the Characteristics of a Dye-sensitized Solar Cell with an Indium Zinc Tin Oxide Electrode</t>
  </si>
  <si>
    <t>https://doi.org/10.3938/jkps.61.1994</t>
  </si>
  <si>
    <t>Commensal Clostridiales strains mediate effective anti-cancer immune response against solid tumors</t>
  </si>
  <si>
    <t>https://doi.org/10.1016/j.chom.2021.08.001</t>
  </si>
  <si>
    <t>NOT MATCHED || Schweizerischer Nationalfonds zur Förderung der Wissenschaftlichen Forschung; Fondo Nazionale Svizzero; Fonds National Suisse; Schweizerische Nationalfonds; Fondo Nazionale Svizzero per la Ricerca Scientifica; SNSF; Fonds National Suisse de la Recherche Scientifique; Swiss National Science Foundation; FNS; SNF; Schweizerischer Nationalfonds || Swiss Cancer Research Foundation; Recherche Suisse Contre le Cancer; Stiftung Krebsforschung Schweiz; Swiss Cancer Research; Ricerca Svizzera Contro il Cancro; Krebsforschung Schweiz || NOT MATCHED || NOT MATCHED || Comprehensive Cancer Center, City of Hope; Comprehensive Cancer Center; City of Hope Comprehensive Cancer Center || Human Frontier Science Program; HFSP</t>
  </si>
  <si>
    <t>https://openalex.org/funders/f4320310408 || https://openalex.org/funders/f4320327941 || https://openalex.org/funders/f4320320338 || https://openalex.org/funders/f4320320924</t>
  </si>
  <si>
    <t>Model reduction: When singular perturbation analysis simplifies to partial equilibrium approximation</t>
  </si>
  <si>
    <t>https://doi.org/10.1016/j.combustflame.2014.09.022</t>
  </si>
  <si>
    <t>European Social Fund; ESF; The European Social Fund; Europäische Sozialfonds; Fondo Sociale Europeo; Fonds Social Européen; Fondo Social Europeo || National Suicide Research Foundation; NSRF</t>
  </si>
  <si>
    <t>https://openalex.org/funders/f4320338080 || https://openalex.org/institutions/i4210135595</t>
  </si>
  <si>
    <t>Shunt capacitor placement in radial distribution networks considering switching transients decision making approach</t>
  </si>
  <si>
    <t>https://doi.org/10.1016/j.ijepes.2017.05.001</t>
  </si>
  <si>
    <t>NOT MATCHED || NOT MATCHED || Seventh Framework Programme; European Commission Seventh Framework Programme; European Union Seventh Framework Programme; FP7; Siebten Rahmenprogramm; European Union 7th Framework Programme; Septième programme-cadre; Séptimo Programa Marco; Settimo programma quadro; EC Seventh Framework Programm; EU Seventh Framework Programme; EU 7th Framework Programme</t>
  </si>
  <si>
    <t>https://openalex.org/funders/f4320333065</t>
  </si>
  <si>
    <t>Analysis of ligamentary atomization of highly perturbed liquid sheets</t>
  </si>
  <si>
    <t>https://doi.org/10.1016/j.ijmultiphaseflow.2018.05.027</t>
  </si>
  <si>
    <t>Direction Générale de la Compétitivité, de l’Industrie et des Services; DGCIS; French Directorate for Competitiveness, Industry and Services</t>
  </si>
  <si>
    <t>https://openalex.org/funders/f4320322983</t>
  </si>
  <si>
    <t>Effects of deposition temperature on structure and properties of (K0.48Na0.52)NbO3 ferroelectric thin films by pulsed laser deposition</t>
  </si>
  <si>
    <t>https://doi.org/10.1063/1.4823852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</si>
  <si>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International Science and Technology Cooperation Programme; Key Program for International S and T Cooperation Projects of China; Key Program for International S&amp;T Cooperation Projects of China; International S&amp;T Cooperation Programme; Special Program For Key Program for International S&amp;T Cooperation Projects; ISTCP || NOT MATCHED || Program for New Century Excellent Talents in University; New Century Excellent Talents Program; Program for New Century Excellent Talents; NCET</t>
  </si>
  <si>
    <t>https://openalex.org/funders/f4320335830 || https://openalex.org/funders/f4320334924 || https://openalex.org/funders/f4320321001</t>
  </si>
  <si>
    <t>Partial cation-order and early-stage, phase separation in phase W, LixCo1-xO: 0.075 &lt;= x &lt;= 0.24-0.31</t>
  </si>
  <si>
    <t>https://doi.org/10.1098/rspa.2008.0489</t>
  </si>
  <si>
    <t>Engineering and Physical Sciences Research Council; EPSRC || NOT MATCHED || NOT MATCHED || Engineering and Physical Sciences Research Council; EPSRC || Engineering and Physical Sciences Research Council; EPSRC</t>
  </si>
  <si>
    <t>Concise Review: Geminin-A Tale of Two Tails: DNA Replication and Transcriptional/Epigenetic Regulation in Stem Cells</t>
  </si>
  <si>
    <t>https://doi.org/10.1002/stem.2529</t>
  </si>
  <si>
    <t>NOT MATCHED || NOT MATCHED || European Research Council; ERC || NOT MATCHED</t>
  </si>
  <si>
    <t>https://openalex.org/funders/f4320334678</t>
  </si>
  <si>
    <t>Electrical fingerprinting, 3D profiling and detection of tumor cells with solid-state micropores</t>
  </si>
  <si>
    <t>https://doi.org/10.1039/c2lc21012f</t>
  </si>
  <si>
    <t>NOT MATCHED || National Science Foundation; U.S. National Science Foundation; USA NSF; USNSF; NSF; US National Science Foundation; US NSF || NOT MATCHED</t>
  </si>
  <si>
    <t>https://openalex.org/funders/f4320306076</t>
  </si>
  <si>
    <t>Twist1 expression induced by sunitinib accelerates tumor cell vasculogenic mimicry by increasing the population of CD133(+) cells in triple-negative breast cancer</t>
  </si>
  <si>
    <t>https://doi.org/10.1186/1476-4598-13-207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</si>
  <si>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NOT MATCHED || Specialized Research Fund for the Doctoral Program of Higher Education of China; Research Fund for the Doctoral Program of Higher Education of China; SRFDP; Specialized Research Fund for the Doctoral Program of Higher Education; Specialized Research Fund for the Doctoral Program of Higher Education (SRFDP) of the Ministry of Education of China; Research Fund for the Doctoral Program of Higher Education || 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</t>
  </si>
  <si>
    <t>https://openalex.org/funders/f4320335777 || https://openalex.org/funders/f4320336024 || https://openalex.org/funders/f4320321001</t>
  </si>
  <si>
    <t>Drosophila Psidin Regulates Olfactory Neuron Number and Axon Targeting through Two Distinct Molecular Mechanisms</t>
  </si>
  <si>
    <t>https://doi.org/10.1523/JNEUROSCI.3116-12.2012</t>
  </si>
  <si>
    <t>Deutsche Forschungsgemeinschaft; German Research Association; DFG; German Research Foundation || NOT MATCHED || Max-Planck-Gesellschaft; Max-Planck-Gesellschaft zur Förderung der Wissenschaften; MPG; Max Planck Society for the Advancement of Science; Max Planck Society || Biotechnology and Biological Sciences Research Council; BBSRC; The Biotechnology And Biological Sciences Research Council || Wellcome Trust; The Wellcome Trust; WT; Wellcome || Biotechnology and Biological Sciences Research Council; BBSRC; The Biotechnology And Biological Sciences Research Council</t>
  </si>
  <si>
    <t>https://openalex.org/funders/f4320334629 || https://openalex.org/funders/f4320320879 || https://openalex.org/funders/f4320322434 || https://openalex.org/funders/f4320311904</t>
  </si>
  <si>
    <t>Cartography and Landscape of Agrarian Colonisation Villages in Spain during the 20th Century: Graphic Recording and Reconstruction of the Productive Territory, the Case of El Chaparral (Granada)</t>
  </si>
  <si>
    <t>https://doi.org/10.3390/su14074324</t>
  </si>
  <si>
    <t>NOT MATCHED || Universidad de Granada; UGR Granada; University of Granada; UGR || NOT MATCHED || NOT MATCHED || NOT MATCHED</t>
  </si>
  <si>
    <t>https://openalex.org/funders/f4320323834</t>
  </si>
  <si>
    <t>Quartz Assemblage from the Early Mesolithic Helvetinhaudanpuro Settlement Site in Eastern Central Finland</t>
  </si>
  <si>
    <t>https://doi.org/10.21638/11701/spbu02.2019.213</t>
  </si>
  <si>
    <t>Eesti Teadusagentuur; ETAg; Estonian Research Council</t>
  </si>
  <si>
    <t>https://openalex.org/funders/f4320321090</t>
  </si>
  <si>
    <t>Jin</t>
  </si>
  <si>
    <t>Assessing species occurrence and species-specific use patterns of bais (forest clearings) in Central Africa with camera traps</t>
  </si>
  <si>
    <t>https://doi.org/10.1111/aje.12084</t>
  </si>
  <si>
    <t>Rufford Foundation; Rufford Small Grants Foundation; The Rufford Foundation || NOT MATCHED || Idea Wild || Deutscher Akademischer Austauschdienst; German Academic Exchange Service; DAAD</t>
  </si>
  <si>
    <t>https://openalex.org/funders/f4320309818 || https://openalex.org/funders/f4320309547 || https://openalex.org/funders/f4320320875</t>
  </si>
  <si>
    <t>Three-dimensional imaging of cavity vacuum with single atoms localized by a nanohole array</t>
  </si>
  <si>
    <t>https://doi.org/10.1038/ncomms4441</t>
  </si>
  <si>
    <t>National Research Foundation of Korea; NRF; 한국연구재단이 창의적 연구와 || National Institute of Biomedical Imaging and Bioengineering; NIH National Institute of Biomedical Imaging &amp; Bioengineering; National Institute of Biomedical Imaging &amp; Bioengineering; The National Institute of Biomedical Imaging and Bioengineering; NIH National Institute of Biomedical Imaging and Bioengineering; Instituto Nacional de Imágenes Biomédicas y Bioingeniería; NIBIB</t>
  </si>
  <si>
    <t>https://openalex.org/funders/f4320337363 || https://openalex.org/funders/f4320322120</t>
  </si>
  <si>
    <t>Proteomics and Phosphoproteomics Profiling of Drug-Addicted BRAFi-Resistant Melanoma Cells</t>
  </si>
  <si>
    <t>https://doi.org/10.1021/acs.jproteome.1c00331</t>
  </si>
  <si>
    <t>Nederlandse Organisatie voor Wetenschappelijk Onderzoek; Dutch Research Council; Dutch National Scientific Foundation; Dutch National Science Foundation; NWO; Netherlands Organisation for Scientific Research || China Scholarship Council; CSC</t>
  </si>
  <si>
    <t>https://openalex.org/funders/f4320321800 || https://openalex.org/funders/f4320322725</t>
  </si>
  <si>
    <t>Long-term behavioral consequences of brief, repeated neonatal isolation</t>
  </si>
  <si>
    <t>https://doi.org/10.1016/j.brainres.2006.10.054</t>
  </si>
  <si>
    <t>National Institute of Mental Health; Instituto Nacional de la Salud Mental; NIMH; Mental Health NIMH || National Institute of Mental Health; Instituto Nacional de la Salud Mental; NIMH; Mental Health NIMH</t>
  </si>
  <si>
    <t>https://openalex.org/funders/f4320337346</t>
  </si>
  <si>
    <t>A facile access to highly functionalized triphenylphosphoranylidene succinimides through a three-component reaction and DFT investigation of the reaction mechanism</t>
  </si>
  <si>
    <t>https://doi.org/10.1039/c4ra06913g</t>
  </si>
  <si>
    <t>Ferdowsi University of Mashhad; FUM; دانشگاه فردوسی مشهد || NOT MATCHED</t>
  </si>
  <si>
    <t>https://openalex.org/funders/f4320321722</t>
  </si>
  <si>
    <t>A multi-class SVM approach based on the l(1)-norm minimization of the distances between the reduced convex hulls</t>
  </si>
  <si>
    <t>https://doi.org/10.1016/j.patcog.2014.12.006</t>
  </si>
  <si>
    <t>Fondo Nacional de Desarrollo Científico y Tecnológico; National Fund for Scientific and Technological Development; FONDECYT; El Fondo Nacional de Desarrollo Científico y Tecnológico || NOT MATCHED</t>
  </si>
  <si>
    <t>https://openalex.org/funders/f4320338073</t>
  </si>
  <si>
    <t>Oxidative Dissolution of Arsenic-Bearing Sulfide Minerals inGroundwater: Impact of Hydrochemical and HydrodynamicConditions on Arsenic Release and Surface Evolution</t>
  </si>
  <si>
    <t>https://doi.org/10.1021/acs.est.2c00309</t>
  </si>
  <si>
    <t>NOT MATCHED || Danmarks Frie Forskningsfond; Danish Council for Independent Research; Det Frie Forskningsrad; Independent Research Fund Denmark; DFF</t>
  </si>
  <si>
    <t>https://openalex.org/funders/f4320322928</t>
  </si>
  <si>
    <t>An Optimization of Oregano, Thyme, and Lemongrass Essential Oil Blend to Simultaneous Inactivation of Relevant Foodborne Pathogens by Simplex-Centroid Mixture Design</t>
  </si>
  <si>
    <t>https://doi.org/10.3390/antibiotics11111572</t>
  </si>
  <si>
    <t>Fundação Carlos Chagas Filho de Amparo à Pesquisa do Estado do Rio de Janeiro; FAPERJ; Carlos Chagas Filho Foundation for Research Support in Rio de Janeiro; Research Support Foundation for the State of Rio de Janeiro; Fundação de Amparo à Pesquisa do Estado do Rio de Janeiro || Conselho Nacional de Desenvolvimento Científico e Tecnológico; National Council for Scientific and Technological Development; Brazilian National Council for Research and Development; CNPq || Coordenação de Aperfeiçoamento de Pessoal de Nível Superior; Coordination for the Improvement of Higher Education Personnel; CAPES; Brazilian Federal Agency for the Support and Evaluation of Graduate Education</t>
  </si>
  <si>
    <t>https://openalex.org/funders/f4320321091 || https://openalex.org/funders/f4320322025 || https://openalex.org/funders/f4320322749</t>
  </si>
  <si>
    <t>Uncovering steroidopathy in women with autism: a latent class analysis</t>
  </si>
  <si>
    <t>https://doi.org/10.1186/2040-2392-5-27</t>
  </si>
  <si>
    <t>Trinity College, University of Cambridge; Trinity College, Cambridge; College of the Holy and Undivided Trinity; University of Cambridge Trinity College || Medical Research Council; MRC; UK Medical Research Council || NOT MATCHED || Wellcome Trust; The Wellcome Trust; WT; Wellcome || Medical Research Council; MRC; UK Medical Research Council || Medical Research Council; MRC; UK Medical Research Council</t>
  </si>
  <si>
    <t>https://openalex.org/funders/f4320334626 || https://openalex.org/funders/f4320311904 || https://openalex.org/funders/f4320334670</t>
  </si>
  <si>
    <t>Metabolomics: A Primer</t>
  </si>
  <si>
    <t>https://doi.org/10.1016/j.tibs.2017.01.004</t>
  </si>
  <si>
    <t>National Institutes of Health; US National Institutes of Health; Institutos Nacionales de la Salud; NIH || National Cancer Institute; NCI; Instituto Nacional del Cáncer</t>
  </si>
  <si>
    <t>Classification Method and Determination of Mountainous Area Types at Township Scales: A Case Study of Yuxi City, Yunnan Province</t>
  </si>
  <si>
    <t>https://doi.org/10.1155/2020/3484568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</si>
  <si>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NOT MATCHED || Research and Development; State Science and Technology Commission</t>
  </si>
  <si>
    <t>https://openalex.org/funders/f4320321001 || https://openalex.org/funders/f4320337504</t>
  </si>
  <si>
    <t>Relationship between Helmholtz-resonance absorption and panel-type absorption in finite flexible microperforated-panel absorbers</t>
  </si>
  <si>
    <t>https://doi.org/10.1016/j.apacoust.2009.10.007</t>
  </si>
  <si>
    <t>Ministry of Education, Culture, Sports, Science and Technology; Monbu Kagakusho; 文部科学省; MEXT; Monbusho</t>
  </si>
  <si>
    <t>https://openalex.org/funders/f4320320912</t>
  </si>
  <si>
    <t>Hydrogel from Acellular Porcine Adipose Tissue Accelerates Wound Healing by Inducing Intradermal Adipocyte Regeneration</t>
  </si>
  <si>
    <t>https://doi.org/10.1016/j.jid.2018.08.013</t>
  </si>
  <si>
    <t>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 || NOT MATCHED</t>
  </si>
  <si>
    <t>Oxaliplatin induces hypomyelination and reduced neuregulin 1 expression in the rat sciatic nerve</t>
  </si>
  <si>
    <t>https://doi.org/10.1016/j.neures.2014.02.004</t>
  </si>
  <si>
    <t>Nakatomi Foundation || Japan Society for the Promotion of Science; Grants-in-Aid for Scientific Research; Grants-in-Aid for Scientific Research Program; KAKENHI; 日本学術振興会; KAKEN; JSPS</t>
  </si>
  <si>
    <t>https://openalex.org/funders/f4320334764 || https://openalex.org/funders/f4320310759</t>
  </si>
  <si>
    <t>A new twist for Stork-Danheiser products enabled by visible light mediated trans-cyclohexene formation; access to acyclic distal enones</t>
  </si>
  <si>
    <t>https://doi.org/10.1039/d1sc03774a</t>
  </si>
  <si>
    <t>National Institutes of Health; US National Institutes of Health; Institutos Nacionales de la Salud; NIH || Oklahoma State University; Oklahoma State University–Stillwater; OSU; Oklahoma State || National Science Foundation; U.S. National Science Foundation; USA NSF; USNSF; NSF; US National Science Foundation; US NSF</t>
  </si>
  <si>
    <t>https://openalex.org/funders/f4320332161 || https://openalex.org/funders/f4320306076 || https://openalex.org/funders/f4320309482</t>
  </si>
  <si>
    <t>Comparative genome sequencing to assess the genetic diversity and virulence attributes of 15 Vibrio anguillarum isolates</t>
  </si>
  <si>
    <t>https://doi.org/10.1111/jfd.12290</t>
  </si>
  <si>
    <t>NOT MATCHED || NOT MATCHED || Agentschap voor Innovatie door Wetenschap en Technologie; Agency for Innovation by Science and Technology, Flanders; IWT</t>
  </si>
  <si>
    <t>https://openalex.org/funders/f4320321732</t>
  </si>
  <si>
    <t>Management of ErbB2-positive Breast Cancer: Insights from Preclinical and Clinical Studies with Lapatinib</t>
  </si>
  <si>
    <t>https://doi.org/10.1093/jjco/hyq084</t>
  </si>
  <si>
    <t>NOT MATCHED || U.S. Department of Defense; Department of Defense; United States Department of Defense; US Department of Defense; USDOD; U.S. Dept of Defense; US Dept of Defense; DOD || GlaxoSmithKline; GlaxoSmithKline plc.; GSK; GSK plc.; GSK plc || Genentech; Genentech Inc; Genentech Inc.; Genentech USA, Inc.; Genentech USA Inc; Genentech USA; Genentech, Inc.; Genentech USA Inc.</t>
  </si>
  <si>
    <t>https://openalex.org/funders/f4320307773 || https://openalex.org/funders/f4320332193 || https://openalex.org/funders/f4320306078</t>
  </si>
  <si>
    <t>Effect of Sodium Sulfite, Sodium Dodecyl Sulfate, and Urea on the Molecular Interactions and Properties of Whey Protein Isolate-Based Films</t>
  </si>
  <si>
    <t>https://doi.org/10.3389/fchem.2016.00049</t>
  </si>
  <si>
    <t>European Commission; Europeiska kommissionen; Ευρωπαϊκής Επιτροπής; Comisia Europeană; Europese Commissie; Euroopa Komisjoni; Eiropas Komisiju; Euroopan komission; Europskoj komisiji; EU; Choimisiúin Eorpaigh; EU-Kommissionen; Evropski komisiji; EC; Comisión Europea; Europos Komisijos; Europäische Kommission; La Commissione europea; Evropské komise; Comissão Europeia; Európskej komisii; Европейската комисия; Európai Bizottságról; Komisja Europejska; Commissione europea; European Union; Commission européenne || NOT MATCHED || Agència per a la Competitivitat de l’Empresa; Agency for Business Competitiveness || Bundesministerium für Bildung und Forschung; Federal Ministry of Education and Research; BMBF</t>
  </si>
  <si>
    <t>https://openalex.org/funders/f4320321114 || https://openalex.org/funders/f4320323714 || https://openalex.org/funders/f4320320300</t>
  </si>
  <si>
    <t>Efficient, adaptive energy stable schemes for the incompressible Cahn-Hilliard Navier-Stokes phase-field models</t>
  </si>
  <si>
    <t>https://doi.org/10.1016/j.jcp.2015.12.006</t>
  </si>
  <si>
    <t>National Science Foundation; U.S. National Science Foundation; USA NSF; USNSF; NSF; US National Science Foundation; US NSF || Air Force Office of Scientific Research; AFOSR; The Air Force Office of Scientific Research; US Air Force Office of Scientific Research; United States Air Force Office of Scientific Research; AF Office of Scientific Research</t>
  </si>
  <si>
    <t>https://openalex.org/funders/f4320306076 || https://openalex.org/funders/f4320338279</t>
  </si>
  <si>
    <t>PARTIAL REGULARITY FOR MINIMIZERS OF QUASI-CONVEX FUNCTIONALS WITH GENERAL GROWTH</t>
  </si>
  <si>
    <t>https://doi.org/10.1137/120870554</t>
  </si>
  <si>
    <t>Gruppo Nazionale per l'Analisi Matematica, la Probabilità e le loro Applicazioni; INdAM GNAMPA; GNAMPA; National Group for Mathematical Analysis, Probability and their Applications || European Research Council; ERC || Ernst Ruska Centre; ERC; Ernst Ruska-Centre (ER-C) for Microscopy and Spectroscopy with Electrons; Ernst Ruska-Centrum || NOT MATCHED</t>
  </si>
  <si>
    <t>https://openalex.org/institutions/i2801833913 || https://openalex.org/funders/f4320334678 || https://openalex.org/institutions/i4391012578</t>
  </si>
  <si>
    <t>Relationship between tree height and landslide characteristics obtained by GIS assessment</t>
  </si>
  <si>
    <t>https://doi.org/10.1002/esp.4964</t>
  </si>
  <si>
    <t>Japan Society for the Promotion of Science London; JSPS London; JSPS</t>
  </si>
  <si>
    <t>https://openalex.org/funders/f4320320212</t>
  </si>
  <si>
    <t>Design of sustainable supply chains for sustainable cities</t>
  </si>
  <si>
    <t>https://doi.org/10.1068/b39039</t>
  </si>
  <si>
    <t>NOT MATCHED || Göteborgs Universitet; University of Gothenburg</t>
  </si>
  <si>
    <t>https://openalex.org/funders/f4320323421</t>
  </si>
  <si>
    <t>Determination of metals by total reflection X-ray fluorescence and evaluation of toxicity of a river impacted by coal mining in the south of Brazil</t>
  </si>
  <si>
    <t>https://doi.org/10.1016/j.jhazmat.2008.07.003</t>
  </si>
  <si>
    <t>Conselho Nacional de Desenvolvimento Científico e Tecnológico; National Council for Scientific and Technological Development; Brazilian National Council for Research and Development; CNPq || NOT MATCHED || Laboratório Nacional de Luz Síncrotron; LNLS; Brazilian Synchrotron Light Laboratory</t>
  </si>
  <si>
    <t>https://openalex.org/funders/f4320335749 || https://openalex.org/funders/f4320322025</t>
  </si>
  <si>
    <t>Involvement of oxidative stress response genes in redox homeostasis, the level of reactive oxygen species, and ageing in Saccharomyces cerevisiae</t>
  </si>
  <si>
    <t>https://doi.org/10.1016/j.femsyr.2005.06.001</t>
  </si>
  <si>
    <t>Austrian Science Fund; FWF - The Austrian Science Fund; FFWF; FWF Der Wissenschaftsfonds; FWF EN; Der Wissenschaftsfonds FWF; Fonds zur Förderung der Wissenschaftlichen Forschung; FWF Austrian Science Fund; FWF</t>
  </si>
  <si>
    <t>https://openalex.org/funders/f4320321181</t>
  </si>
  <si>
    <t>Microscale separation of immiscible liquids using a porous capillary</t>
  </si>
  <si>
    <t>https://doi.org/10.1039/c3ay41251b</t>
  </si>
  <si>
    <t>NOT MATCHED || Royal Commission for the Exhibition of 1851 || NOT MATCHED || Engineering and Physical Sciences Research Council; EPSRC || Engineering and Physical Sciences Research Council; EPSRC</t>
  </si>
  <si>
    <t>https://openalex.org/funders/f4320334627 || https://openalex.org/funders/f4320320247</t>
  </si>
  <si>
    <t>Comparing perception of Stroop stimuli in focused versus divided attention paradigms: Evidence for dramatic processing differences</t>
  </si>
  <si>
    <t>https://doi.org/10.1016/j.cognition.2009.08.008</t>
  </si>
  <si>
    <t>Photonic crystal waveguide created by selective infiltration</t>
  </si>
  <si>
    <t>https://doi.org/10.1117/12.922140</t>
  </si>
  <si>
    <t>Australian Research Council; The Australian Research Council; ARC</t>
  </si>
  <si>
    <t>https://openalex.org/funders/f4320334704</t>
  </si>
  <si>
    <t>Extensions and applications of equitable decompositions for graphs with symmetries</t>
  </si>
  <si>
    <t>https://doi.org/10.1016/j.laa.2017.06.045</t>
  </si>
  <si>
    <t>U.S. Department of Defense; Department of Defense; United States Department of Defense; US Department of Defense; USDOD; U.S. Dept of Defense; US Dept of Defense; DOD</t>
  </si>
  <si>
    <t>https://openalex.org/funders/f4320306078</t>
  </si>
  <si>
    <t>Versatile Synthesis of rac- and meso-Hydroxymethyl Cyclohexenoids Containing Phenyl Groups: alpha-/beta-Glucosidase Activities, Inhibition Kinetics and Molecular Docking Studies</t>
  </si>
  <si>
    <t>https://doi.org/10.1002/ejoc.202200165</t>
  </si>
  <si>
    <t>Türkiye Bilimsel ve Teknolojik Araştırma Kurumu; Scientific and Technological Research Council of Turkey; TÜRKİYE BİLİMSEL VE TEKNOLOJİK ARAŞTIRMA KURUMU; Türkiye Bilimsel ve Teknolojik Araştirma Kurumu; TUBITAK; TÜBİTAK || Sakarya Üniversitesi; Sakarya University</t>
  </si>
  <si>
    <t>https://openalex.org/funders/f4320322660 || https://openalex.org/funders/f4320322626</t>
  </si>
  <si>
    <t>Multi-Emitter MAP-Elites</t>
  </si>
  <si>
    <t>https://doi.org/10.1145/3449639.3459326</t>
  </si>
  <si>
    <t>Engineering and Physical Sciences Research Council; EPSRC</t>
  </si>
  <si>
    <t>Random lasing in a dye-doped polymer thin film waveguide deposited on a Si surface microstructured by femtosecond laser ablation</t>
  </si>
  <si>
    <t>https://doi.org/10.1080/09500340.2013.879219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</si>
  <si>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Major State Basic Research Development Program of China</t>
  </si>
  <si>
    <t>https://openalex.org/funders/f4320327563 || https://openalex.org/funders/f4320321001</t>
  </si>
  <si>
    <t>Total synthesis of naturally occurring chiral cyclopropane fatty acids and related compounds</t>
  </si>
  <si>
    <t>https://doi.org/10.1016/j.tetlet.2019.03.043</t>
  </si>
  <si>
    <t>Japan Society for the Promotion of Science; Grants-in-Aid for Scientific Research; Grants-in-Aid for Scientific Research Program; KAKENHI; 日本学術振興会; KAKEN; JSPS</t>
  </si>
  <si>
    <t>https://openalex.org/funders/f4320334764</t>
  </si>
  <si>
    <t>Luminescent sensing of Fe3+ and K+ by three novel imidazole dicarboxylate-based MOFs</t>
  </si>
  <si>
    <t>https://doi.org/10.1080/10610278.2016.1198485</t>
  </si>
  <si>
    <t>Unravelling the response of diurnal raptors to land use change in a highly dynamic landscape in northwestern Spain: an approach based on satellite earth observation data</t>
  </si>
  <si>
    <t>https://doi.org/10.1007/s10344-017-1097-2</t>
  </si>
  <si>
    <t>NOT MATCHED || Xunta de Galicia; Regional Government of Galicia || NOT MATCHED || European Commission; Europeiska kommissionen; Ευρωπαϊκής Επιτροπής; Comisia Europeană; Europese Commissie; Euroopa Komisjoni; Eiropas Komisiju; Euroopan komission; Europskoj komisiji; EU; Choimisiúin Eorpaigh; EU-Kommissionen; Evropski komisiji; EC; Comisión Europea; Europos Komisijos; Europäische Kommission; La Commissione europea; Evropské komise; Comissão Europeia; Európskej komisii; Европейската комисия; Európai Bizottságról; Komisja Europejska; Commissione europea; European Union; Commission européenne || NOT MATCHED || NOT MATCHED</t>
  </si>
  <si>
    <t>https://openalex.org/funders/f4320326655 || https://openalex.org/funders/f4320320300</t>
  </si>
  <si>
    <t>When Is a Firm's Information Asymmetry Priced? The Role of Institutional Investors</t>
  </si>
  <si>
    <t>https://doi.org/10.1111/irfi.12038</t>
  </si>
  <si>
    <t>High gene flow and complex treeline dynamics of Larix Mill. stands on the Taymyr Peninsula (north-central Siberia) revealed by nuclear microsatellites</t>
  </si>
  <si>
    <t>https://doi.org/10.1007/s11295-018-1235-3</t>
  </si>
  <si>
    <t>Helmholtz Association; 亥姆霍兹联合会致力; Helmholtz-Gemeinschaft; Helmholtz Association of German Research Centres; Объединение имени Гельмгольца || Deutsche Forschungsgemeinschaft; German Research Association; DFG; German Research Foundation || Deutsche Forschungsgemeinschaft; German Research Association; DFG; German Research Foundation</t>
  </si>
  <si>
    <t>https://openalex.org/funders/f4320320879 || https://openalex.org/funders/f4320325698</t>
  </si>
  <si>
    <t>Synthesis and characterization of TiO2-montmorillonites doped with vanadium and/or carbon and their application for the photodegradation of sulphorhodamine B under UV-vis irradiation</t>
  </si>
  <si>
    <t>https://doi.org/10.1016/j.colsurfa.2010.02.005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</si>
  <si>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Inner Mongolia University || Education Department of Inner Mongolia Autonomous Region; Education Department of Inner Mongolia; 内蒙古自治区教育厅 || NOT MATCHED</t>
  </si>
  <si>
    <t>https://openalex.org/funders/f4320317803 || https://openalex.org/funders/f4320321001 || https://openalex.org/funders/f4320322216</t>
  </si>
  <si>
    <t>Nitrogen differentially modulates photosynthesis, carbon allocation and yield related traits in two contrasting Capsicum chinense cultivars</t>
  </si>
  <si>
    <t>https://doi.org/10.1016/j.plantsci.2019.02.014</t>
  </si>
  <si>
    <t>Conselho Nacional de Desenvolvimento Científico e Tecnológico; National Council for Scientific and Technological Development; Brazilian National Council for Research and Development; CNPq || Fundação de Amparo à Pesquisa do Estado de Minas Gerais; FAPEMIG; State of Minas Gerais Research Support Foundation; Minas Gerais State Research Foundation; FAPEMIG Foundation; Foundation for Research Support of the State of Minas Gerais || Max-Planck-Gesellschaft; Max-Planck-Gesellschaft zur Förderung der Wissenschaften; MPG; Max Planck Society for the Advancement of Science; Max Planck Society || Conselho Nacional de Desenvolvimento Científico e Tecnológico; National Council for Scientific and Technological Development; Brazilian National Council for Research and Development; CNPq</t>
  </si>
  <si>
    <t>https://openalex.org/funders/f4320322980 || https://openalex.org/funders/f4320322025 || https://openalex.org/funders/f4320322434</t>
  </si>
  <si>
    <t>Cellulase-producing bacteria of Aeromonas are dominant and indigenous in the gut of Ctenopharyngodon idellus (Valenciennes)</t>
  </si>
  <si>
    <t>https://doi.org/10.1111/j.1365-2109.2010.02645.x</t>
  </si>
  <si>
    <t>Shanghai Municipal Education Commission; Education Commission of Shanghai Municipality; 上海市教育委员会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NOT MATCHED</t>
  </si>
  <si>
    <t>Experimental Study on DDT Characteristics in Spiral Configuration Pulse Detonation Engines</t>
  </si>
  <si>
    <t>https://doi.org/10.1515/tjj-2013-0028</t>
  </si>
  <si>
    <t>Study of Emission and Capture Processes in Semi-vertical GaN-on-Si Trench-MOSFETs</t>
  </si>
  <si>
    <t>https://doi.org/10.1109/ASDAM50306.2020.9393836</t>
  </si>
  <si>
    <t>Electronic Components and Systems for European Leadership; Electronic Components and Systems for European Leadership Joint Undertaking; ECSEL; ECSEL Joint Undertaking || Horizon 2020 Framework Programme; Horizonte 2020; Programma quadro Orizzonte 2020; EU Framework Programme for Research and Innovation H2020; Programme-cadre Horizon 2020; Rahmenprogramm Horizont 2020; Programa Marco Horizonte 2020; Horizont 2020; H2020; Horizon 2020; Program ramowy Horyzont 2020; Horyzont 2020; Orizzonte 2020 || NOT MATCHED</t>
  </si>
  <si>
    <t>https://openalex.org/funders/f4320332999 || https://openalex.org/funders/f4320327207</t>
  </si>
  <si>
    <t>Prevalence of Trading Sex Among High School Students in Minnesota: Demographics, Relevant Adverse Experiences, and Health-Related Statuses</t>
  </si>
  <si>
    <t>https://doi.org/10.1016/j.jadohealth.2020.08.021</t>
  </si>
  <si>
    <t>Women's Foundation of Minnesota; WFMN; Women's Foundation of MN; WFM; The Women's Foundation of Minnesota; WomensFoundationMN; Women's Foundation-Minnesota || NOT MATCHED</t>
  </si>
  <si>
    <t>https://openalex.org/funders/f4320306862</t>
  </si>
  <si>
    <t>Effect of Complex Surface Treatment on Morphology and Electrochemical Properties of La-Mg-Ni-Based Alloys</t>
  </si>
  <si>
    <t>https://doi.org/10.1149/2.1281712jes</t>
  </si>
  <si>
    <t>A protein that controls the onset of a Salmonella virulence program</t>
  </si>
  <si>
    <t>https://doi.org/10.15252/embj.201796977</t>
  </si>
  <si>
    <t>National Institutes of Health; US National Institutes of Health; Institutos Nacionales de la Salud; NIH || National Institute of Allergy and Infectious Diseases; NIAID; Instituto Nacional de Alergias y Enfermedades Infecciosas</t>
  </si>
  <si>
    <t>https://openalex.org/funders/f4320332161 || https://openalex.org/funders/f4320337355</t>
  </si>
  <si>
    <t>Single Infrared Image-Based Stripe Nonuniformity Correction via a Two-Stage Filtering Method</t>
  </si>
  <si>
    <t>https://doi.org/10.3390/s18124299</t>
  </si>
  <si>
    <t>Higher Education Discipline Innovation Project; National 111 Project of China; 111 Plan; Higher Education Discipline Innovation Project of China; 111 Project || Natural Science Basic Research Program of Shaanxi Province; Natural Science Basic Research Plan in the Shaanxi Province of China; 陕西省自然科学基础研; Natural Science Basic Research Plan in Shaanxi Province</t>
  </si>
  <si>
    <t>https://openalex.org/funders/f4320327912 || https://openalex.org/funders/f4320336567</t>
  </si>
  <si>
    <t>Effect of different drying techniques on drying kinetics, nutritional components, antioxidant capacity, physical properties and microstructure of edamame</t>
  </si>
  <si>
    <t>https://doi.org/10.1016/j.foodchem.2021.131412</t>
  </si>
  <si>
    <t>Structural Transformation of Li-Excess Cathode Materials via Facile Preparation and Assembly of Sonication-Induced Colloidal Nanocrystals for Enhanced Lithium Storage Performance</t>
  </si>
  <si>
    <t>https://doi.org/10.1021/acsami.7b09981</t>
  </si>
  <si>
    <t>NOT MATCHED || National Science Foundation; U.S. National Science Foundation; USA NSF; USNSF; NSF; US National Science Foundation; US NSF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Government of Jiangsu Province; Jiangsu Province || China Postdoctoral Science Foundation</t>
  </si>
  <si>
    <t>https://openalex.org/funders/f4320306076 || https://openalex.org/funders/f4320321543 || https://openalex.org/funders/f4320321001 || https://openalex.org/funders/f4320321605</t>
  </si>
  <si>
    <t>The influence of microwave treatment on the mode I fracture toughness of granite</t>
  </si>
  <si>
    <t>https://doi.org/10.1016/j.engfracmech.2021.107768</t>
  </si>
  <si>
    <t>Influence of Na/Bi excess on structural, dielectric and multiferroic properties of lead free (Na0.5Bi0.5)(0.99)La0.01Ti0.988Fe0.012O3 ceramic</t>
  </si>
  <si>
    <t>https://doi.org/10.1016/j.jallcom.2014.07.138</t>
  </si>
  <si>
    <t>British Society for Rheumatology; BSR</t>
  </si>
  <si>
    <t>https://openalex.org/funders/f4320320162</t>
  </si>
  <si>
    <t>Variation in Lipid Mediator and Cytokine Levels During Mouse Femur Fracture Healing</t>
  </si>
  <si>
    <t>https://doi.org/10.1002/jor.23213</t>
  </si>
  <si>
    <t>National Institute of Dental and Craniofacial Research; El Instituto Nacional de Investigación Dental y Craneofacial; Instituto Nacional de Investigación Dental y Craneofacial; The National Institute of Dental and Craniofacial Research; NIH National Institute of Dental and Craniofacial Research; NIDCR || National Institute of Dental and Craniofacial Research; El Instituto Nacional de Investigación Dental y Craneofacial; Instituto Nacional de Investigación Dental y Craneofacial; The National Institute of Dental and Craniofacial Research; NIH National Institute of Dental and Craniofacial Research; NIDCR</t>
  </si>
  <si>
    <t>https://openalex.org/funders/f4320337365</t>
  </si>
  <si>
    <t>DIAGNOSIS AND MANAGEMENT OF INTESTINAL PARTIAL OBSTRUCTION IN A LOGGERHEAD TURTLE (CARETTA CARETTA)</t>
  </si>
  <si>
    <t>https://doi.org/10.1638/2011-0179R1.1</t>
  </si>
  <si>
    <t>Office of Naval Research; U.S. Department of the Navy Office of Naval Research; US Department of the Navy Office of Naval Research; US Office of Naval Research; Department of the Navy's Office of Naval Research; United States Office of Naval Research; Naval Research; ONR; The Office of Naval Research; U.S. Office of Naval Research</t>
  </si>
  <si>
    <t>https://openalex.org/funders/f4320337345</t>
  </si>
  <si>
    <t>Development of Lean Model for House Construction Using Value Stream Mapping</t>
  </si>
  <si>
    <t>https://doi.org/10.1061/(ASCE)0733-9364(2009)135:8(782)</t>
  </si>
  <si>
    <t>Canada Mortgage and Housing Corporation; CMHC; Societe canadienne d'hypotheque et du logement</t>
  </si>
  <si>
    <t>https://openalex.org/institutions/i161052086</t>
  </si>
  <si>
    <t>Agreement between gay, bisexual and other men who have sex with men's period prevalence and event-level recall of sexual behaviour: an observational respondent-driven sampling study</t>
  </si>
  <si>
    <t>https://doi.org/10.1071/SH17223</t>
  </si>
  <si>
    <t>National Institute on Drug Abuse; NIDA; The National Institute on Drug Abuse; Instituto Nacional sobre el Abuso de Drogas; Instituto Nacional sobre el Abuso de Drogas de Estados Unidos || Canadian Institutes of Health Research; CIHR; IRSC; Instituts de Recherche en Santé du Canada || NOT MATCHED || Michael Smith Health Research BC; Michael Smith Foundation for Health Research; MSFHR</t>
  </si>
  <si>
    <t>https://openalex.org/funders/f4320319965 || https://openalex.org/funders/f4320334506 || https://openalex.org/funders/f4320337347</t>
  </si>
  <si>
    <t>Hurricane Modification and Adaptation in Miami-Dade County, Florida</t>
  </si>
  <si>
    <t>https://doi.org/10.1021/es202640p</t>
  </si>
  <si>
    <t>NOT MATCHED || NOT MATCHED || National Science Foundation; U.S. National Science Foundation; USA NSF; USNSF; NSF; US National Science Foundation; US NSF || Carnegie Mellon University; CMU || National Oceanic and Atmospheric Administration; NOAA; National Oceanic &amp; Atmospheric Administration || Directorate for Social, Behavioral and Economic Sciences; NSF's Directorate for Social, Behavioral, and Economic (SBE) Sciences; SBE\/OAD; SBE; U.S. National Science Foundation's Directorate for Social, Behavioral and Economic Sciences; Directorate for Social, Behavioral &amp; Economic Sciences; NSF Social, Behavioral, and Economic Sciences Directorate; Social, Behavioral and Economic Sciences; The Social, Behavioral and Economic Sciences</t>
  </si>
  <si>
    <t>https://openalex.org/funders/f4320306076 || https://openalex.org/funders/f4320332181 || https://openalex.org/funders/f4320332173 || https://openalex.org/funders/f4320310207</t>
  </si>
  <si>
    <t>Dual Role of Lithium on the Structure and Self-Healing Ability of PMMA-Silica Coatings on AA7075 Alloy</t>
  </si>
  <si>
    <t>https://doi.org/10.1021/acsami.9b13839</t>
  </si>
  <si>
    <t>NOT MATCHED || Fundação de Amparo à Pesquisa do Estado de São Paulo; São Paulo Research Foundation; Foundation for Research Support of the State of São Paulo; FAPESP; State of São Paulo Research Foundation || NOT MATCHED || Coordenação de Aperfeiçoamento de Pessoal de Nível Superior; Coordination for the Improvement of Higher Education Personnel; CAPES; Brazilian Federal Agency for the Support and Evaluation of Graduate Education || Fonds Wetenschappelijk Onderzoek; Flemish Research Foundation; FWO; Research Foundation Flanders || Conselho Nacional de Desenvolvimento Científico e Tecnológico; National Council for Scientific and Technological Development; Brazilian National Council for Research and Development; CNPq</t>
  </si>
  <si>
    <t>https://openalex.org/funders/f4320321091 || https://openalex.org/funders/f4320322025 || https://openalex.org/funders/f4320320997 || https://openalex.org/funders/f4320321730</t>
  </si>
  <si>
    <t>Recycled Polyurethane as a Second Phase in Thermoset Blends and Its Effect on Thermal Degradation Kinetics Studies</t>
  </si>
  <si>
    <t>https://doi.org/10.1002/masy.201800112</t>
  </si>
  <si>
    <t>University Grants Commission; UGC; University Grants Commission India; विश्वविद्यालय अनुदान आयोग; यूजीसी</t>
  </si>
  <si>
    <t>https://openalex.org/funders/f4320320767</t>
  </si>
  <si>
    <t>Astragaloside IV Alleviates Brain Injury Induced by Hypoxia via the Calpain-1 Signaling Pathway</t>
  </si>
  <si>
    <t>https://doi.org/10.1155/2022/6509981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</si>
  <si>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Department of Education of Liaoning Province; 辽宁省教育厅; Educational Department of Liaoning Province; The Educational Department of Liaoning Province; Liaoning Provincial Education Department || NOT MATCHED || NOT MATCHED</t>
  </si>
  <si>
    <t>https://openalex.org/funders/f4320324560 || https://openalex.org/funders/f4320321001</t>
  </si>
  <si>
    <t>Correlation measurements between flow harmonics in Au plus Au collisions at RHIC</t>
  </si>
  <si>
    <t>https://doi.org/10.1016/j.physletb.2018.05.076</t>
  </si>
  <si>
    <t>OSG Consortium; OSG; Open Science Grid Consortium; Open Science Grid || NOT MATCHED || National Science Foundation; U.S. National Science Foundation; USA NSF; USNSF; NSF; US National Science Foundation; US NSF || Ministry of Education and Science of the Russian Federation; Minobrnauka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Ministry of Science and Technology || Ministry of Education, India; शिक्षा मंत्रालय; Ministry of Human Resource Development; Ministry of Human Resource Development, Government of India; MHRD; Ministry of Education, Government of India; MoE; Ministry of Education; Ministry of Education Government of India || National Research Foundation of Korea; NRF; 한국연구재단이 창의적 연구와 || NOT MATCHED || Narodowe Centrum Nauki; National Science Centre; NCN || National Research Foundation; NRF || Ministarstvo Znanosti, Obrazovanja i Sporta; MZOS; Ministry of Science, Education and Sports || State Atomic Energy Corporation ROSATOM; ROSATOM State Atomic Energy Corporation; ROSATOM || Bundesministerium für Bildung und Forschung; Federal Ministry of Education and Research; BMBF || Helmholtz Association; 亥姆霍兹联合会致力; Helmholtz-Gemeinschaft; Helmholtz Association of German Research Centres; Объединение имени Гельмгольца || NOT MATCHED || Brookhaven National Laboratory; Brookhaven National Lab; BNL; Brookhaven Lab || Lawrence Berkeley National Laboratory; Lawrence Berkeley Lab; Lawrence Berkeley National Laboratory – Berkeley Lab; Lawrence Berkeley National Lab; LBNL; Berkeley Lab</t>
  </si>
  <si>
    <t>https://openalex.org/funders/f4320321114 || https://openalex.org/funders/f4320306076 || https://openalex.org/funders/f4320322511 || https://openalex.org/funders/f4320321912 || https://openalex.org/funders/f4320325306 || https://openalex.org/funders/f4320323977 || https://openalex.org/institutions/i4210134808 || https://openalex.org/funders/f4320325698 || https://openalex.org/funders/f4320321001 || https://openalex.org/funders/f4320322120 || https://openalex.org/institutions/i4210093990 || https://openalex.org/funders/f4320338289 || https://openalex.org/funders/f4320320671 || https://openalex.org/funders/f4320322724 || https://openalex.org/funders/f4320338292</t>
  </si>
  <si>
    <t>Effect of General and Non-general Anesthesia on Postoperative Cognitive Dysfunction</t>
  </si>
  <si>
    <t>https://doi.org/10.29271/jcpsp.2020.4.407</t>
  </si>
  <si>
    <t>Measurements of the O+ to H+ transition height and ion temperatures in the lower topside ionosphere over Arecibo for equinox conditions during the 2008-2009 extreme solar minimum</t>
  </si>
  <si>
    <t>https://doi.org/10.1002/jgra.50416</t>
  </si>
  <si>
    <t>National Science Foundation; U.S. National Science Foundation; USA NSF; USNSF; NSF; US National Science Foundation; US NSF</t>
  </si>
  <si>
    <t>Dy(III)-Based Metal-Organic Framework as a Fluorescent Probe for Highly Selective Detection of Picric Acid in Aqueous Medium</t>
  </si>
  <si>
    <t>https://doi.org/10.1021/acs.inorgchem.9b02611</t>
  </si>
  <si>
    <t>NOT MATCHED || Council of Scientific and Industrial Research, India; CSIR, India; CSIR; Council of Scientific and Industrial Research; Council of Scientific &amp; Industrial Research; वैज्ञानिक तथा औद्योगिक अनुसंधान परिषद; CSIR INDIA; सीएसआईआर || Indian Institute of Technology Indore; IIT Indore; IITI || NOT MATCHED || NOT MATCHED || Council of Scientific and Industrial Research, India; CSIR, India; CSIR; Council of Scientific and Industrial Research; Council of Scientific &amp; Industrial Research; वैज्ञानिक तथा औद्योगिक अनुसंधान परिषद; CSIR INDIA; सीएसआईआर</t>
  </si>
  <si>
    <t>https://openalex.org/funders/f4320320721 || https://openalex.org/funders/f4320327132</t>
  </si>
  <si>
    <t>Filipi</t>
  </si>
  <si>
    <t>Protonic and Electronic Transport in Hydrated Thin Films of the Pigment Eumelanin</t>
  </si>
  <si>
    <t>https://doi.org/10.1021/cm502939r</t>
  </si>
  <si>
    <t>NOT MATCHED || Fonds Québécois de la Recherche sur la Nature et les Technologies; FQRNT; Quebec Research Fund - Nature and Technology || NOT MATCHED || Natural Sciences and Engineering Research Council of Canada; CRSNG; NSERC; Conseil de Recherches en Sciences Naturelles et en Génie du Canada || Università di Bologna; UNIBO; University of Bologna || National Science Foundation; U.S. National Science Foundation; USA NSF; USNSF; NSF; US National Science Foundation; US NSF || Consejo Nacional de Ciencia y Tecnología; National Council of Science and Technology, Mexico; CONACYT || CMC Microsystems; CMC Microsystèmes; Canadian Microelectronics Corp; CMC Microsystems Inc; CMC; Canadian Microelectronics Corporation || Ministero dell’Istruzione, dell’Università e della Ricerca; Ministry of Education, Universities and Research; MIUR; Ministry of Education, University and Research || NOT MATCHED || Directorate for Mathematical and Physical Sciences; NSF Directorate for Mathematical &amp; Physical Sciences; MPS\/OAD; MPS; Mathematical and Physical Sciences; Directorate for Mathematical &amp; Physical Sciences; NSF Directorate for Mathematical and Physical Sciences</t>
  </si>
  <si>
    <t>https://openalex.org/funders/f4320306076 || https://openalex.org/funders/f4320321747 || https://openalex.org/funders/f4320332172 || https://openalex.org/funders/f4320310709 || https://openalex.org/funders/f4320323553 || https://openalex.org/funders/f4320321739 || https://openalex.org/funders/f4320321873 || https://openalex.org/funders/f4320334593</t>
  </si>
  <si>
    <t>Mussel-Inspired Anisotropic Nanocellulose and Silver Nanoparticle Composite with Improved Mechanical Properties, Electrical Conductivity and Antibacterial Activity</t>
  </si>
  <si>
    <t>https://doi.org/10.3390/polym8030102</t>
  </si>
  <si>
    <t>National Research Foundation of Korea; NRF; 한국연구재단이 창의적 연구와 || Korea Research Institute of Chemical Technology; KRICT || NOT MATCHED</t>
  </si>
  <si>
    <t>https://openalex.org/funders/f4320322120 || https://openalex.org/funders/f4320322101</t>
  </si>
  <si>
    <t>Randomized Comparison of Tenofovir Disoproxil Fumarate vs Emtricitabine and Tenofovir Disoproxil Fumarate in Patients With Lamivudine-Resistant Chronic Hepatitis B</t>
  </si>
  <si>
    <t>https://doi.org/10.1053/j.gastro.2013.12.028</t>
  </si>
  <si>
    <t>Gilead Sciences; Gilead Sciences Inc.; Gilead Sciences, Inc.; Gilead; Gilead Sciences Inc</t>
  </si>
  <si>
    <t>https://openalex.org/funders/f4320308573</t>
  </si>
  <si>
    <t>Homocysteine and risk of developing hypertension in men</t>
  </si>
  <si>
    <t>https://doi.org/10.1038/sj.jhh.1002052</t>
  </si>
  <si>
    <t>National Cancer Institute; NCI; Instituto Nacional del Cáncer || National Heart, Lung, and Blood Institute; NIH\/National Heart, Lung and Blood Institute; National Heart Lung &amp; Blood Institute; NHLBI</t>
  </si>
  <si>
    <t>https://openalex.org/funders/f4320337351 || https://openalex.org/funders/f4320337338</t>
  </si>
  <si>
    <t>Evaluation of Complexation Ability Using a Sensor Electrode Chip Equipped with a Wireless Screening System</t>
  </si>
  <si>
    <t>https://doi.org/10.3390/s120608405</t>
  </si>
  <si>
    <t>The Ontogeny of Hippocampus-Dependent Memories</t>
  </si>
  <si>
    <t>https://doi.org/10.1523/JNEUROSCI.1651-20.2020</t>
  </si>
  <si>
    <t>European Research Council; ERC || National Institutes of Health; US National Institutes of Health; Institutos Nacionales de la Salud; NIH || National Institute of Neurological Disorders and Stroke; National Institute of Neurological Disorders &amp; Stroke; NIH\/National Institute of Neurological Disorders and Stroke; The National Institute of Neurological Disorders and Stroke; Instituto Nacional de Trastornos Neurológicos y Accidentes Cerebrovasculares; NIH National Institute of Neurological Disorders and Stroke; NINDS || National Institute of Mental Health; Instituto Nacional de la Salud Mental; NIMH; Mental Health NIMH || Dana Foundation; Charles A. Dana Foundation; Charles A Dana Foundation; Charles A. Dana Foundation, Inc.; DF; Dana Foundation, Inc.; The Dana Foundation; CHARLES A DANA FDN INC; Dana Foundation Inc.; Dana; Dana (Charles A.) Foundation, Inc.; Charles A. Dana Foundation, Incorporated</t>
  </si>
  <si>
    <t>https://openalex.org/funders/f4320337359 || https://openalex.org/funders/f4320337346 || https://openalex.org/funders/f4320334678 || https://openalex.org/funders/f4320306305 || https://openalex.org/funders/f4320332161</t>
  </si>
  <si>
    <t>Hydrophilic directional slippery rough surfaces for water harvesting</t>
  </si>
  <si>
    <t>https://doi.org/10.1126/sciadv.aaq0919</t>
  </si>
  <si>
    <t>NOT MATCHED || Defense Advanced Research Projects Agency; US Defense Advanced Research Projects Agency; DARPA; U.S. Defense Advanced Research Projects Agency; United States Defense Advanced Research Projects Agency; The Defense Advanced Research Projects Agency || NOT MATCHED || NOT MATCHED || NOT MATCHED || Pennsylvania State University; The Pennsylvania State University; PSU; Penn State; Penn State University || National Science Foundation; U.S. National Science Foundation; USA NSF; USNSF; NSF; US National Science Foundation; US NSF || National Science Foundation; U.S. National Science Foundation; USA NSF; USNSF; NSF; US National Science Foundation; US NSF</t>
  </si>
  <si>
    <t>https://openalex.org/funders/f4320310419 || https://openalex.org/funders/f4320306076 || https://openalex.org/funders/f4320332180</t>
  </si>
  <si>
    <t>The analysis of failure in concrete and reinforced concrete beams with different reinforcement ratio</t>
  </si>
  <si>
    <t>https://doi.org/10.1007/s00419-018-1476-5</t>
  </si>
  <si>
    <t>Politechnika Lubelska; The Lublin University of Technology; LUT; Lublin University of Technology</t>
  </si>
  <si>
    <t>https://openalex.org/funders/f4320316854</t>
  </si>
  <si>
    <t>Er-Xian Decoction Stimulates Osteoblastic Differentiation of Bone Mesenchymal Stem Cells in Ovariectomized Mice and Its Gene Profile Analysis</t>
  </si>
  <si>
    <t>https://doi.org/10.1155/2016/4079210</t>
  </si>
  <si>
    <t>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 || Shanghai University of Traditional Chinese Medicine; SHUTCM; Shanghai University of TCM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Program for Changjiang Scholars and Innovative Research Team in University; 长江学者和创新团队发展计划资助资助; Program for Yangtze River Scholars and Innovative Research Team in University</t>
  </si>
  <si>
    <t>https://openalex.org/funders/f4320338204 || https://openalex.org/funders/f4320335777 || https://openalex.org/funders/f4320326704 || https://openalex.org/funders/f4320321001</t>
  </si>
  <si>
    <t>Graphitic carbon nitride derivative with large mesopores as sorbent for solid-phase microextraction of polycyclic aromatic hydrocarbons</t>
  </si>
  <si>
    <t>https://doi.org/10.1016/j.talanta.2019.120541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</si>
  <si>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NOT MATCHED || Natural Science Foundation of Fujian Province; Fujian Provincial Natural Science Foundation || NOT MATCHED</t>
  </si>
  <si>
    <t>https://openalex.org/funders/f4320321878 || https://openalex.org/funders/f4320321001</t>
  </si>
  <si>
    <t>Aminosalicylates for induction of remission or response in Crohn's disease</t>
  </si>
  <si>
    <t>https://doi.org/10.1002/14651858.CD008870.pub2</t>
  </si>
  <si>
    <t>Crohn's and Colitis Canada; Crohn et Colite Canada</t>
  </si>
  <si>
    <t>https://openalex.org/funders/f4320324593</t>
  </si>
  <si>
    <t>A retrospective study analyzing missed diagnosis of lung metastases at their early stages on computed tomography</t>
  </si>
  <si>
    <t>https://doi.org/10.21037/jtd.2019.08.19</t>
  </si>
  <si>
    <t>NOT MATCHED || Science and Technology Planning Project of Guangdong Province; Key Project of Guangdong Province Science &amp; Technology Plan; Science and Technology Program of Guangdong; Guangdong Science and Technology Foundation; Science and Technology Projects of Guangdong Province; Scientific and Technological Plan of Guangdong Province; S&amp;T Project of Guangdong Province; Guangdong Science and Technology Program || NOT MATCHED || U.S. National Library of Medicine; National Library of Medicine; United States National Library of Medicine; US National Library of Medicine; NLM</t>
  </si>
  <si>
    <t>https://openalex.org/funders/f4320337372 || https://openalex.org/funders/f4320335795</t>
  </si>
  <si>
    <t>Diversity in cadmium accumulation and resistance associated with various metallothionein genes (type III) in Phytolacca americana L</t>
  </si>
  <si>
    <t>https://doi.org/10.1016/j.ijbiomac.2017.11.152</t>
  </si>
  <si>
    <t>Fundamental Research Funds for the Central Universities; Fundamental Research Funds for the Central Universities of China; Fundamental Research Fund for the Central Universities || Natural Science Foundation of Beijing Municipality; Beijing Municipal Natural Science Foundation; Natural Science Foundation of Beijing; Beijing Natural Science Foundation</t>
  </si>
  <si>
    <t>https://openalex.org/funders/f4320335787 || https://openalex.org/funders/f4320322919</t>
  </si>
  <si>
    <t>The effect of biosilver nanoparticles on different bacterial strains' metabolism reflected in their VOCs profiles</t>
  </si>
  <si>
    <t>https://doi.org/10.1088/1752-7163/aa820f</t>
  </si>
  <si>
    <t>Narodowym Centrum Nauki; NCN; National Science Centre; National Science Centre, Poland || Narodowym Centrum Nauki; NCN; National Science Centre; National Science Centre, Poland</t>
  </si>
  <si>
    <t>https://openalex.org/funders/f4320322650</t>
  </si>
  <si>
    <t>Evolving tRNA(Sec) for Efficient Canonical Incorporation of Selenocysteine</t>
  </si>
  <si>
    <t>https://doi.org/10.1021/ja510695g</t>
  </si>
  <si>
    <t>National Science Foundation; U.S. National Science Foundation; USA NSF; USNSF; NSF; US National Science Foundation; US NSF || Welch Foundation; Welch Foundation\/The; The Robert A. Welch Foundation; The Welch Foundation; Robert A. Welch Foundation || National Institute of Biomedical Imaging and Bioengineering; NIH National Institute of Biomedical Imaging &amp; Bioengineering; National Institute of Biomedical Imaging &amp; Bioengineering; The National Institute of Biomedical Imaging and Bioengineering; NIH National Institute of Biomedical Imaging and Bioengineering; Instituto Nacional de Imágenes Biomédicas y Bioingeniería; NIBIB</t>
  </si>
  <si>
    <t>https://openalex.org/funders/f4320306076 || https://openalex.org/funders/f4320306196 || https://openalex.org/funders/f4320337363</t>
  </si>
  <si>
    <t>CRISPR babies: a view from the centre of the storm</t>
  </si>
  <si>
    <t>https://doi.org/10.1242/dev.175778</t>
  </si>
  <si>
    <t>Francis Crick Institute; Francis Crick Institute Limited; The Francis Crick Institute; The Francis Crick Institute Limited; The Crick; Francis Crick Institute Ltd; FCI; Crick Institute || Cancer Research UK; CRUK || Medical Research Council; MRC; UK Medical Research Council || Wellcome Trust; The Wellcome Trust; WT; Wellcome || Medical Research Council; MRC; UK Medical Research Council</t>
  </si>
  <si>
    <t>https://openalex.org/funders/f4320334626 || https://openalex.org/funders/f4320319985 || https://openalex.org/funders/f4320312060 || https://openalex.org/funders/f4320311904</t>
  </si>
  <si>
    <t>Energy Efficient Sleep Schedule with Service Coverage Guarantee in Wireless Sensor Networks</t>
  </si>
  <si>
    <t>https://doi.org/10.1007/s10922-015-9361-9</t>
  </si>
  <si>
    <t>Fundamental Research Funds for the Central Universities; Fundamental Research Funds for the Central Universities of China; Fundamental Research Fund for the Central Universities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NOT MATCHED || Guangxi Key Laboratory of Trusted Software, Guilin University of Electronic Technology || NOT MATCHED || NOT MATCHED</t>
  </si>
  <si>
    <t>https://openalex.org/funders/f4320335787 || https://openalex.org/funders/f4320336367 || https://openalex.org/funders/f4320321001</t>
  </si>
  <si>
    <t>Superparamagnetic ZnFe2O4 Nanoparticles-Reduced Graphene Oxide-Polyurethane Resin Based Nanocomposites for Electromagnetic Interference Shielding Application</t>
  </si>
  <si>
    <t>https://doi.org/10.3390/nano11051112</t>
  </si>
  <si>
    <t>NOT MATCHED || Tomas Bata University in Zlin; TBU; Univerzita Tomáše Bati ve Zlíně; Universitas Thomae Bata Zlinensis</t>
  </si>
  <si>
    <t>https://openalex.org/funders/f4320317377</t>
  </si>
  <si>
    <t>Control modulation instability in photorefractive crystals by the intensity ratio of background to signal fields</t>
  </si>
  <si>
    <t>https://doi.org/10.1364/OE.23.010266</t>
  </si>
  <si>
    <t>Predicted Very Large Thermoelectric Effect in Ferromagnet-Superconductor Junctions in the Presence of a Spin-Splitting Magnetic Field</t>
  </si>
  <si>
    <t>https://doi.org/10.1103/PhysRevLett.112.057001</t>
  </si>
  <si>
    <t>Ministerio de Economía y Competitividad; MINECO; MEC; Ministry of Economy and Competitiveness || Eusko Jaurlaritza; Basque Government; Gobierno Vasco || Academy of Finland; Suomen Akatemia; AKA; The Academy of Finland; Finlands Akademi || European Research Council; ERC || NOT MATCHED || Consejo Superior de Investigaciones Científicas; Spanish National Research Council; CSIC || NOT MATCHED || NOT MATCHED</t>
  </si>
  <si>
    <t>https://openalex.org/funders/f4320334857 || https://openalex.org/funders/f4320334678 || https://openalex.org/funders/f4320321705 || https://openalex.org/funders/f4320321837 || https://openalex.org/funders/f4320321108</t>
  </si>
  <si>
    <t>Image fusion employing adaptive spectral-spatial gradient sparse regularization in UAV remote sensing</t>
  </si>
  <si>
    <t>https://doi.org/10.1016/j.sigpro.2019.107434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</si>
  <si>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Natural Science Foundation of Hubei Province; Hubei Provincial Natural Science Foundation || Fundamental Research Funds for the Central Universities; Fundamental Research Funds for the Central Universities of China; Fundamental Research Fund for the Central Universities</t>
  </si>
  <si>
    <t>https://openalex.org/funders/f4320335787 || https://openalex.org/funders/f4320321001 || https://openalex.org/funders/f4320322186</t>
  </si>
  <si>
    <t>Insulin resistance and cancer: Epidemiological evidence</t>
  </si>
  <si>
    <t>https://doi.org/10.1111/j.1349-7006.2010.01521.x</t>
  </si>
  <si>
    <t>Ministry of Health, Labour and Welfare; MHLW; Ministry of Health, Labour and Welfare, Japan</t>
  </si>
  <si>
    <t>https://openalex.org/funders/f4320321945</t>
  </si>
  <si>
    <t>A Novel Chaotic Block Image Encryption Algorithm Based on Deep Convolutional Generative Adversarial Networks</t>
  </si>
  <si>
    <t>https://doi.org/10.1109/ACCESS.2020.3040573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</si>
  <si>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Shanxi Provincial Key Research and Development Project; Key Research and Development Project of Shanxi Province; Key Research and Development Plan of Shanxi Province; Key Research and Development Program of Shanxi Province; Shanxi Key Research and Development Plan Project; Shanxi Key Research and Development Program</t>
  </si>
  <si>
    <t>https://openalex.org/funders/f4320321001 || https://openalex.org/funders/f4320336035</t>
  </si>
  <si>
    <t>Protein interactions of FAM134B with EB1 and APC/beta-catenin in vitro in colon carcinoma</t>
  </si>
  <si>
    <t>https://doi.org/10.1002/mc.22871</t>
  </si>
  <si>
    <t>Menzies Health Institute Queensland; MHIQ</t>
  </si>
  <si>
    <t>https://openalex.org/funders/f4320328535</t>
  </si>
  <si>
    <t>Tunable near-infrared polarization generator based on graphene-loaded ultra-thin silver nanoslits array</t>
  </si>
  <si>
    <t>https://doi.org/10.1117/12.2644374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</si>
  <si>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Priority Academic Program Development of Jiangsu Higher Education Institutions; PAPD</t>
  </si>
  <si>
    <t>https://openalex.org/funders/f4320327518 || https://openalex.org/funders/f4320321001</t>
  </si>
  <si>
    <t>Use of isotope exchange for determining series of elementary steps in electrocatalysis and heterogeneous catalysis</t>
  </si>
  <si>
    <t>https://doi.org/10.1016/j.ssi.2016.11.012</t>
  </si>
  <si>
    <t>Israel Science Foundation; ISF; הקרן הלאומית למדע; The Israel Science Foundation</t>
  </si>
  <si>
    <t>https://openalex.org/funders/f4320322252</t>
  </si>
  <si>
    <t>Multilateralism in Great Power Politics: Building Order or Inviting Conflict?</t>
  </si>
  <si>
    <t>https://doi.org/10.22883/kjda.2022.34.3.003</t>
  </si>
  <si>
    <t>Korea University; 고려대학교; KU || Hankuk University of Foreign Studies; HUFS || Ministry of Education; 교육부; MOE; Ministry of Education of the Republic of Korea || National Research Foundation of Korea; NRF; 한국연구재단이 창의적 연구와</t>
  </si>
  <si>
    <t>https://openalex.org/funders/f4320321373 || https://openalex.org/funders/f4320321408 || https://openalex.org/funders/f4320322120 || https://openalex.org/funders/f4320321227</t>
  </si>
  <si>
    <t>3D-patterned polymer brush surfaces</t>
  </si>
  <si>
    <t>https://doi.org/10.1039/c1nr11238d</t>
  </si>
  <si>
    <t>Hong Kong Polytechnic University; 香港理工大学所有; The Hong Kong Polytechnic University; PolyU; Hong Kong PolyU || Research Grants Council, University Grants Committee; 研究資助局; 研究資助局</t>
  </si>
  <si>
    <t>https://openalex.org/funders/f4320321592 || https://openalex.org/funders/f4320322598</t>
  </si>
  <si>
    <t>Wideband high-gain SIW-fed antenna array for mm-Wave applications</t>
  </si>
  <si>
    <t>https://doi.org/10.1002/mop.32149</t>
  </si>
  <si>
    <t>NOT MATCHED || Foundation of Equipment Pre-research Area; Equipment Pre-Research Foundation of China</t>
  </si>
  <si>
    <t>https://openalex.org/funders/f4320337861</t>
  </si>
  <si>
    <t>GCdiscrimination: identification of gastric cancer based on a milliliter of blood</t>
  </si>
  <si>
    <t>https://doi.org/10.1093/bib/bbaa006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</si>
  <si>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Fundamental Research Funds for the Central Universities; Fundamental Research Funds for the Central Universities of China; Fundamental Research Fund for the Central Universities || First Hospital of Lanzhou University; 兰州大学第一医院: 欢迎您| 兰大一院</t>
  </si>
  <si>
    <t>https://openalex.org/funders/f4320335787 || https://openalex.org/funders/f4320321001 || https://openalex.org/institutions/i4210163492</t>
  </si>
  <si>
    <t>Self-Organized Fission Control for Flocking System</t>
  </si>
  <si>
    <t>https://doi.org/10.1155/2015/321781</t>
  </si>
  <si>
    <t>Stress, Arousal, and Sleep</t>
  </si>
  <si>
    <t>https://doi.org/10.1007/7854_2014_314</t>
  </si>
  <si>
    <t>National Institutes of Health; US National Institutes of Health; Institutos Nacionales de la Salud; NIH || NOT MATCHED || Fundação de Amparo à Pesquisa do Estado de São Paulo; São Paulo Research Foundation; Foundation for Research Support of the State of São Paulo; FAPESP; State of São Paulo Research Foundation || Associação Fundo de Incentivo à Pesquisa; AFIP; Association Research Incentive Fund || Conselho Nacional de Desenvolvimento Científico e Tecnológico; National Council for Scientific and Technological Development; Brazilian National Council for Research and Development; CNPq</t>
  </si>
  <si>
    <t>https://openalex.org/funders/f4320332161 || https://openalex.org/funders/f4320323756 || https://openalex.org/funders/f4320322025 || https://openalex.org/funders/f4320320997</t>
  </si>
  <si>
    <t>Fiber-optic Implantation for Chronic Optogenetic Stimulation of Brain Tissue</t>
  </si>
  <si>
    <t>https://doi.org/10.3791/50004</t>
  </si>
  <si>
    <t>National Institute of Neurological Disorders and Stroke; National Institute of Neurological Disorders &amp; Stroke; NIH\/National Institute of Neurological Disorders and Stroke; The National Institute of Neurological Disorders and Stroke; Instituto Nacional de Trastornos Neurológicos y Accidentes Cerebrovasculares; NIH National Institute of Neurological Disorders and Stroke; NINDS || National Institute of Neurological Disorders and Stroke; National Institute of Neurological Disorders &amp; Stroke; NIH\/National Institute of Neurological Disorders and Stroke; The National Institute of Neurological Disorders and Stroke; Instituto Nacional de Trastornos Neurológicos y Accidentes Cerebrovasculares; NIH National Institute of Neurological Disorders and Stroke; NINDS</t>
  </si>
  <si>
    <t>https://openalex.org/funders/f4320337359</t>
  </si>
  <si>
    <t>Emerging approaches to stabilise photocorrodible electrodes and catalysts for solar fuel applications</t>
  </si>
  <si>
    <t>https://doi.org/10.1039/c7ee00777a</t>
  </si>
  <si>
    <t>NOT MATCHED || NOT MATCHED || Österreichische Nationalstiftung für Forschung, Technologie und Entwicklung; National Foundation for Research, Technology and Development, Austria; National Foundation for Research, Technology and Development; FTE-Stiftung || OMV Konzern; OMV Aktiengesellschaft; OMV Group; OMV AG</t>
  </si>
  <si>
    <t>https://openalex.org/funders/f4320319008 || https://openalex.org/funders/f4320311813</t>
  </si>
  <si>
    <t>Cost-Sensitive Latent Space Learning for Imbalanced PolSAR Image Classification</t>
  </si>
  <si>
    <t>https://doi.org/10.1109/TGRS.2020.3012276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</si>
  <si>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Foundation for Innovative Research Groups of the National Natural Science Foundation of China || Key Research and Development Projects of Shaanxi Province; Shaanxi Province Key R&amp;D Program; 陕西省重点研发计划; Key Research and Development Program of Shaanxi</t>
  </si>
  <si>
    <t>https://openalex.org/funders/f4320327720 || https://openalex.org/funders/f4320321001 || https://openalex.org/funders/f4320336350</t>
  </si>
  <si>
    <t>The tenocyte phenotype of human primary tendon cells in vitro is reduced by glucocorticoids</t>
  </si>
  <si>
    <t>https://doi.org/10.1186/s12891-016-1328-9</t>
  </si>
  <si>
    <t>Umeå Universitet; Umeå University</t>
  </si>
  <si>
    <t>https://openalex.org/funders/f4320322971</t>
  </si>
  <si>
    <t>The regulation and role of T follicular helper cells in immunity</t>
  </si>
  <si>
    <t>https://doi.org/10.1111/j.1365-2567.2011.03487.x</t>
  </si>
  <si>
    <t>National Health and Medical Research Council; NHMRC</t>
  </si>
  <si>
    <t>https://openalex.org/funders/f4320334705</t>
  </si>
  <si>
    <t>MG132 Attenuates the Replication of Classical Swine Fever Virusin vitro</t>
  </si>
  <si>
    <t>https://doi.org/10.3389/fmicb.2020.00852</t>
  </si>
  <si>
    <t>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Research and Development; State Science and Technology Commission</t>
  </si>
  <si>
    <t>https://openalex.org/funders/f4320335777 || https://openalex.org/funders/f4320321001 || https://openalex.org/funders/f4320337504</t>
  </si>
  <si>
    <t>Fabrication and characterization of fibers with built-in liquid crystal channels and electrodes for transverse incident-light modulation</t>
  </si>
  <si>
    <t>https://doi.org/10.1063/1.4733319</t>
  </si>
  <si>
    <t>National Science Foundation; U.S. National Science Foundation; USA NSF; USNSF; NSF; US National Science Foundation; US NSF || Danmarks Tekniske Universitet; Technical University of Denmark; Danish Technical University; DTU || NOT MATCHED || Institute for Soldier Nanotechnologies; ISN</t>
  </si>
  <si>
    <t>https://openalex.org/funders/f4320306076 || https://openalex.org/funders/f4320323153 || https://openalex.org/institutions/i4210109539</t>
  </si>
  <si>
    <t>Highlights of the 34th EANM Annual Congress 2021, 2nd virtual edition: "FROM HAMBURG WITH LOVE"</t>
  </si>
  <si>
    <t>https://doi.org/10.1007/s00259-022-05724-w</t>
  </si>
  <si>
    <t>NOT MATCHED || Novocure || GE Healthcare; G. Binswanger and Company; The General Electric Apparatus Company (G. Binswanger)</t>
  </si>
  <si>
    <t>https://openalex.org/funders/f4320332457 || https://openalex.org/funders/f4320313690</t>
  </si>
  <si>
    <t>Autoantibodies and Cancer Association: the Case of Systemic Sclerosis and Dermatomyositis</t>
  </si>
  <si>
    <t>https://doi.org/10.1007/s12016-022-08944-y</t>
  </si>
  <si>
    <t>National Institutes of Health; US National Institutes of Health; Institutos Nacionales de la Salud; NIH || NOT MATCHED</t>
  </si>
  <si>
    <t>https://openalex.org/funders/f4320332161</t>
  </si>
  <si>
    <t>Intracellular TRPA1 mediates Ca2+ release from lysosomes in dorsal root ganglion neurons</t>
  </si>
  <si>
    <t>https://doi.org/10.1083/jcb.201603081</t>
  </si>
  <si>
    <t>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National Institutes of Health; US National Institutes of Health; Institutos Nacionales de la Salud; NIH || Center for Life Sciences; CLS || National Institute of Diabetes and Digestive and Kidney Diseases; NIH\/National Institute of Diabetes, Digestive &amp; Kidney Diseases; NIH National Institute of Diabetes and Digestive and Kidney Diseases; NIDDK; National Institute of Diabetes &amp; Digestive &amp; Kidney Diseases || National Institute of General Medical Sciences; NIGMS; U.S. National Institute of General Medical Sciences</t>
  </si>
  <si>
    <t>https://openalex.org/funders/f4320327163 || https://openalex.org/funders/f4320321001 || https://openalex.org/funders/f4320337357 || https://openalex.org/funders/f4320335777 || https://openalex.org/funders/f4320332161 || https://openalex.org/funders/f4320337354</t>
  </si>
  <si>
    <t>Structure optimization for improving the strength and ductility of heterogeneous carbon nanotube/Al-Cu-Mg composites</t>
  </si>
  <si>
    <t>https://doi.org/10.1016/j.carbon.2021.03.006</t>
  </si>
  <si>
    <t>Key Research Program of Frontier Science, Chinese Academy of Sciences; 中国科学院前沿科学与教育局; Frontier Science Research Project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 || Youth Innovation Promotion Association of the Chinese Academy of Sciences; CAS YIPA; YIPA CAS; Youth Innovation Promotion Association, Chinese Academy of Sciences; Youth Innovation Promotion Association of Chinese Academy of Sciences; 中国科学院青年创新促进会; Youth Innovation Promotion Association, CAS; Youth Innovation Promotion Association CAS || China Scholarship Council; CSC</t>
  </si>
  <si>
    <t>https://openalex.org/funders/f4320322725 || https://openalex.org/funders/f4320321001 || https://openalex.org/funders/f4320335777 || https://openalex.org/funders/f4320322847 || https://openalex.org/funders/f4320338202</t>
  </si>
  <si>
    <t>Controller design for upper limb motion using measurements of shoulder, elbow and wrist joints</t>
  </si>
  <si>
    <t>https://doi.org/10.1007/s00521-018-3522-1</t>
  </si>
  <si>
    <t>Erciyes Üniversitesi; Erciyes University</t>
  </si>
  <si>
    <t>https://openalex.org/funders/f4320321688</t>
  </si>
  <si>
    <t>Oral curcumin supplementation in patients with atopic asthma</t>
  </si>
  <si>
    <t>https://doi.org/10.2500/ar.2011.2.0016</t>
  </si>
  <si>
    <t>University of South Florida; USF || Department of Veterans' Affairs, Australian Government; Australian Government Department of Veterans'​ Affairs; Department of Veterans' Affairs; Department of Veterans Affairs, Australian Government; DVA || Department of Internal Medicine, University of Utah; University of Utah Hospital Internal Medicine; Department of Internal Medicine; The University of Utah Department of Internal Medicine || NOT MATCHED</t>
  </si>
  <si>
    <t>https://openalex.org/funders/f4320320381 || https://openalex.org/funders/f4320310847 || https://openalex.org/funders/f4320334071</t>
  </si>
  <si>
    <t>Vitamin E supplementation alleviates the oxidative stress induced by dexamethasone treatment and improves meat quality in broiler chickens</t>
  </si>
  <si>
    <t>https://doi.org/10.3382/ps.2009-00216</t>
  </si>
  <si>
    <t>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NOT MATCHED</t>
  </si>
  <si>
    <t>https://openalex.org/funders/f4320335777 || https://openalex.org/funders/f4320321001</t>
  </si>
  <si>
    <t>Probing Chemical Transformation in Picolitre Volume Aerosol Droplets</t>
  </si>
  <si>
    <t>https://doi.org/10.1117/12.2273899</t>
  </si>
  <si>
    <t>Royal Society; The Royal Society || Royal Society of Chemistry; RSC; Royal Society of Chemistry (RSC) || Newcastle University; University of Newcastle upon Tyne || NOT MATCHED || Faculty of Science, Agriculture and Engineering, Newcastle University; Faculty of Science, Agriculture &amp; Engineering; Faculty of Science, Agriculture and Engineering at Newcastle University; University of Newcastle upon Tyne Faculty of Science, Agriculture and Engineering; SAgE; Newcastle University Faculty of Science, Agriculture and Engineering; Faculty of Science, Agriculture and Engineering</t>
  </si>
  <si>
    <t>https://openalex.org/funders/f4320320006 || https://openalex.org/funders/f4320336101 || https://openalex.org/funders/f4320320251 || https://openalex.org/funders/f4320320295</t>
  </si>
  <si>
    <t>Study on the bending behavior of biodegradable metal cerebral vascular stents using finite element analysis</t>
  </si>
  <si>
    <t>https://doi.org/10.1016/j.jbiomech.2020.109856</t>
  </si>
  <si>
    <t>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Fundamental Research Funds for the Central Universities; Fundamental Research Funds for the Central Universities of China; Fundamental Research Fund for the Central Universities || NOT MATCHED</t>
  </si>
  <si>
    <t>https://openalex.org/funders/f4320335777 || https://openalex.org/funders/f4320321001 || https://openalex.org/funders/f4320335787</t>
  </si>
  <si>
    <t>MODULI OF FORMAL TORSORS</t>
  </si>
  <si>
    <t>https://doi.org/10.1090/jag/771</t>
  </si>
  <si>
    <t>Istituto Nazionale di Alta Matematica "Francesco Severi"; National Institute of High Mathematics "F. Severi"; INdAM; Istituto Nazionale di Alta Matematica "F. Severi" || Japan Society for the Promotion of Science; Grants-in-Aid for Scientific Research; Grants-in-Aid for Scientific Research Program; KAKENHI; 日本学術振興会; KAKEN; JSPS</t>
  </si>
  <si>
    <t>https://openalex.org/funders/f4320311030 || https://openalex.org/funders/f4320334764</t>
  </si>
  <si>
    <t>Cost-effectiveness of Novel System of Mosquito Surveillance and Control, Brazil</t>
  </si>
  <si>
    <t>https://doi.org/10.3201/eid1904.120117</t>
  </si>
  <si>
    <t>NOT MATCHED || NOT MATCHED || Conselho Nacional de Desenvolvimento Científico e Tecnológico; National Council for Scientific and Technological Development; Brazilian National Council for Research and Development; CNPq || Fundação de Amparo à Pesquisa do Estado de Minas Gerais; FAPEMIG; State of Minas Gerais Research Support Foundation; Minas Gerais State Research Foundation; FAPEMIG Foundation; Foundation for Research Support of the State of Minas Gerais || Departamento de Ciência e Tecnologia; DCT || NOT MATCHED</t>
  </si>
  <si>
    <t>https://openalex.org/funders/f4320322980 || https://openalex.org/funders/f4320322025 || https://openalex.org/institutions/i4210155391</t>
  </si>
  <si>
    <t>BELLMAN FUNCTIONS AND L-p ESTIMATES FOR PARAPRODUCTS</t>
  </si>
  <si>
    <t>https://doi.org/10.19195/0208-4147.38.2.11</t>
  </si>
  <si>
    <t>Hrvatska Zaklada za Znanost; HRZZ; Croatian Science Foundation</t>
  </si>
  <si>
    <t>https://openalex.org/funders/f4320322674</t>
  </si>
  <si>
    <t>Integrating smartphone communication strategy and technology into clinical practice: A mixed methods research study</t>
  </si>
  <si>
    <t>https://doi.org/10.1016/j.hlpt.2016.07.004</t>
  </si>
  <si>
    <t>Island Health; VIHA; Vancouver Island Health Authority</t>
  </si>
  <si>
    <t>https://openalex.org/institutions/i1279684262</t>
  </si>
  <si>
    <t>Effect of sucrose, lactose, glucose, maltose on survival of Lactobacillus acidophilus during freeze-drying</t>
  </si>
  <si>
    <t>https://doi.org/10.4028/www.scientific.net/AMR.382.396</t>
  </si>
  <si>
    <t>Shaanxi Academy of Sciences; 陕西省科学院 || Agriculture Department of Shaanxi Province; Department of Agriculture of Shaanxi Province; Department of Agriculture, Shaanxi Province; Shaanxi Provincial Department of Agriculture; Shaanxi Provincial Agriculture Department || NOT MATCHED || Natural Science Foundation of Shaanxi Province; Shaanxi Province Natural Science Foundation || NOT MATCHED</t>
  </si>
  <si>
    <t>https://openalex.org/funders/f4320324173 || https://openalex.org/funders/f4320330653 || https://openalex.org/funders/f4320325624</t>
  </si>
  <si>
    <t>Axis of Coinfection Evil</t>
  </si>
  <si>
    <t>https://doi.org/10.1086/650304</t>
  </si>
  <si>
    <t>National Institute of Allergy and Infectious Diseases; NIAID; Instituto Nacional de Alergias y Enfermedades Infecciosas</t>
  </si>
  <si>
    <t>https://openalex.org/funders/f4320337355</t>
  </si>
  <si>
    <t>Tunneling exit characteristics from classical backpropagation of an ionized electron wave packet</t>
  </si>
  <si>
    <t>https://doi.org/10.1103/PhysRevA.97.013426</t>
  </si>
  <si>
    <t>Alexander von Humboldt-Stiftung; Humboldt-Stiftung; The Humboldt Foundation; Humboldt Foundation; AvH; Alexander von Humboldt-Stiftung\/Foundation; Alexander von Humboldt Foundation; Alexander-von-Humboldt-Stiftung; The Alexander von Humboldt-Foundation</t>
  </si>
  <si>
    <t>https://openalex.org/funders/f4320308269</t>
  </si>
  <si>
    <t>Northern hardwood regeneration dynamics 10 years after irregular shelterwood and mechanical control of understory American beech</t>
  </si>
  <si>
    <t>https://doi.org/10.1016/j.foreco.2022.120142</t>
  </si>
  <si>
    <t>Ministère des Forêts, de la Faune et des Parcs; Ministère des Forêts, de la Faune et des Parcs du Québec; Ministry of Forests, Fauna and Parks || NOT MATCHED</t>
  </si>
  <si>
    <t>https://openalex.org/funders/f4320312633</t>
  </si>
  <si>
    <t>Flow behaviour constitutive model of CuCrZr alloy and 35CrMo steel based on dynamic recrystallization softening effect under elevated temperature</t>
  </si>
  <si>
    <t>https://doi.org/10.1007/s11771-019-4111-x</t>
  </si>
  <si>
    <t>Fundamental Research Funds for the Central Universities; Fundamental Research Funds for the Central Universities of China; Fundamental Research Fund for the Central Universities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</t>
  </si>
  <si>
    <t>https://openalex.org/funders/f4320335787 || https://openalex.org/funders/f4320321001</t>
  </si>
  <si>
    <t>A translational EEG-based approach to assess modulation of long-lasting NMDAR-dependent synaptic plasticity</t>
  </si>
  <si>
    <t>https://doi.org/10.1007/s00213-019-05341-w</t>
  </si>
  <si>
    <t>National Institutes of Health; US National Institutes of Health; Institutos Nacionales de la Salud; NIH || National Institute of Mental Health; Instituto Nacional de la Salud Mental; NIMH; Mental Health NIMH</t>
  </si>
  <si>
    <t>https://openalex.org/funders/f4320332161 || https://openalex.org/funders/f4320337346</t>
  </si>
  <si>
    <t>Repeated ethanol production from sweet sorghum juice concentrated by membrane separation</t>
  </si>
  <si>
    <t>https://doi.org/10.1016/j.biortech.2015.03.127</t>
  </si>
  <si>
    <t>NOT MATCHED || Ministry of Education, Culture, Sports, Science and Technology; Monbu Kagakusho; 文部科学省; MEXT; Monbusho</t>
  </si>
  <si>
    <t>Higher order dynamic mode decomposition of noisy experimental data: The flow structure of a zero-net-mass-flux jet</t>
  </si>
  <si>
    <t>https://doi.org/10.1016/j.expthermflusci.2017.06.011</t>
  </si>
  <si>
    <t>Ministerio de Economía y Competitividad; MINECO; MEC; Ministry of Economy and Competitiveness || Australian Research Council; The Australian Research Council; ARC</t>
  </si>
  <si>
    <t>https://openalex.org/funders/f4320334704 || https://openalex.org/funders/f4320321837</t>
  </si>
  <si>
    <t>The band-gap structures and recovery rules of generalized n-component Fibonacci piezoelectric superlattices</t>
  </si>
  <si>
    <t>https://doi.org/10.1016/j.ssc.2011.01.022</t>
  </si>
  <si>
    <t>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Youth Foundation</t>
  </si>
  <si>
    <t>https://openalex.org/funders/f4320335777 || https://openalex.org/funders/f4320307500 || https://openalex.org/funders/f4320321001</t>
  </si>
  <si>
    <t>High buffering capability of silicon-polymer photonic-crystal coupled cavity waveguide</t>
  </si>
  <si>
    <t>https://doi.org/10.1080/17455030.2021.1879406</t>
  </si>
  <si>
    <t>Cognitive-Behavioral Therapy Plus Hypnosis for Distress During Breast Radiotherapy: A Randomized Trial</t>
  </si>
  <si>
    <t>https://doi.org/10.1080/00029157.2017.1335635</t>
  </si>
  <si>
    <t>National Center for Complementary and Integrative Health; The National Center for Complementary and Integrative Health; NCCIH || National Cancer Institute; NCI; Instituto Nacional del Cáncer || National Cancer Institute; NCI; Instituto Nacional del Cáncer || National Center for Complementary and Integrative Health; The National Center for Complementary and Integrative Health; NCCIH</t>
  </si>
  <si>
    <t>https://openalex.org/funders/f4320337351 || https://openalex.org/funders/f4320337593</t>
  </si>
  <si>
    <t>Eu3+-activated Sr3LaNb3O12 red-emitting phosphors with excellent color stability for high color rendering w-LEDs</t>
  </si>
  <si>
    <t>https://doi.org/10.1007/s10854-022-08649-0</t>
  </si>
  <si>
    <t>Natural Science Foundation of Shaanxi Province; Shaanxi Province Natural Science Foundation || Chinese Universities Scientific Fund || NOT MATCHED || Guangzhou Municipal Science and Technology Project; Sci-Tech Project Foundation of Guangzhou City; Science and Technology Program of Guangzhou City; Guangzhou Science and Technology Foundation; Guangzhou Science and Technology Plan || NOT MATCHED</t>
  </si>
  <si>
    <t>https://openalex.org/funders/f4320335480 || https://openalex.org/funders/f4320324173 || https://openalex.org/funders/f4320334997</t>
  </si>
  <si>
    <t>Electrospray-assisted laser desorption/ionization and tandem mass spectrometry of peptides and proteins</t>
  </si>
  <si>
    <t>https://doi.org/10.1002/rcm.3154</t>
  </si>
  <si>
    <t>National Cancer Institute; NCI; Instituto Nacional del Cáncer || National Cancer Institute; NCI; Instituto Nacional del Cáncer</t>
  </si>
  <si>
    <t>https://openalex.org/funders/f4320337351</t>
  </si>
  <si>
    <t>Solvent-free sonochemistry: Sonochemical organic synthesis in the absence of a liquid medium</t>
  </si>
  <si>
    <t>https://doi.org/10.3762/bjoc.13.179</t>
  </si>
  <si>
    <t>Arsenic and diabetes: Current perspectives</t>
  </si>
  <si>
    <t>https://doi.org/10.1016/j.kjms.2011.05.008</t>
  </si>
  <si>
    <t>National Science Council; National Science Council, Taiwan; National Science Council of Taiwan; NSC || Council of Agriculture; Council of Agriculture of Executive Yuan; COA; Council of Agriculture, Taiwan; Council of Agriculture, Executive Yuan, R.O.C. || China Medical University; CMU; 中國醫藥大學; China Medical College</t>
  </si>
  <si>
    <t>https://openalex.org/funders/f4320310116 || https://openalex.org/funders/f4320321040 || https://openalex.org/institutions/i184693016</t>
  </si>
  <si>
    <t>A causal relationship between face-patch activity and face-detection behavior</t>
  </si>
  <si>
    <t>https://doi.org/10.7554/eLife.18558</t>
  </si>
  <si>
    <t>National Science Foundation; U.S. National Science Foundation; USA NSF; USNSF; NSF; US National Science Foundation; US NSF || National Eye Institute; NIH\/National Eye Institute; The National Eye Institute; NEI; Instituto Nacional del Ojo || New York Stem Cell Foundation; New York Stem Cell Foundation, Inc.; New York Stem Cell Foundation Inc.; New York Stem Cell Foundation Inc; NYSCF; The New York Stem Cell Foundation || Pew Charitable Trusts; The Pew Charitable Trusts; The Pew Trusts; PCT; Pew || Leon Levy Foundation || National Institutes of Health; US National Institutes of Health; Institutos Nacionales de la Salud; NIH || National Eye Institute; NIH\/National Eye Institute; The National Eye Institute; NEI; Instituto Nacional del Ojo || National Institute of Mental Health; Instituto Nacional de la Salud Mental; NIMH; Mental Health NIMH</t>
  </si>
  <si>
    <t>https://openalex.org/funders/f4320306076 || https://openalex.org/funders/f4320337350 || https://openalex.org/funders/f4320306148 || https://openalex.org/funders/f4320337346 || https://openalex.org/funders/f4320307384 || https://openalex.org/funders/f4320332161 || https://openalex.org/funders/f4320309445</t>
  </si>
  <si>
    <t>Impact of p53 and PDGFR-beta Expression on Metastasis and Prognosis of Patients with Pancreatic Cancer</t>
  </si>
  <si>
    <t>https://doi.org/10.1007/s00268-016-3477-2</t>
  </si>
  <si>
    <t>Ministry of Health, Labour and Welfare; MHLW; Ministry of Health, Labour and Welfare, Japan || Japan Society for the Promotion of Science; Grants-in-Aid for Scientific Research; Grants-in-Aid for Scientific Research Program; KAKENHI; 日本学術振興会; KAKEN; JSPS</t>
  </si>
  <si>
    <t>https://openalex.org/funders/f4320321945 || https://openalex.org/funders/f4320334764</t>
  </si>
  <si>
    <t>Nanostructured hydrophobic polyampholytes: self-assembly, stimuli-sensitivity, and application</t>
  </si>
  <si>
    <t>https://doi.org/10.1007/s42114-018-0059-9</t>
  </si>
  <si>
    <t>NOT MATCHED || Ministry of Education and Science of the Republic of Kazakhstan; Ministry of Education and Science, Republic of Kazakhstan</t>
  </si>
  <si>
    <t>https://openalex.org/funders/f4320322726</t>
  </si>
  <si>
    <t>Improving Steering and Entanglement by Local Filtering Operation under Noisy Channels</t>
  </si>
  <si>
    <t>https://doi.org/10.7566/JPSJ.91.114004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</si>
  <si>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Natural Science Foundation of Anhui Province; 安徽省自然科学基金; Anhui Provincial Natural Science Foundation; NSF of Anhui Province || NOT MATCHED || NOT MATCHED || NOT MATCHED</t>
  </si>
  <si>
    <t>https://openalex.org/funders/f4320321001 || https://openalex.org/funders/f4320334897</t>
  </si>
  <si>
    <t>Artemisia dracunculus L. extract ameliorates insulin sensitivity by attenuating inflammatory signalling in human skeletal muscle culture</t>
  </si>
  <si>
    <t>https://doi.org/10.1111/dom.12274</t>
  </si>
  <si>
    <t>NOT MATCHED || American Diabetes Association; American Diabetes Association, Inc.; ADA; AmDiabetesAssn; American Diabetes Association Inc; Asociación Americana de la Diabetes; American Diabetes Assn; American Diabetes Association Inc. || National Institutes of Health; US National Institutes of Health; Institutos Nacionales de la Salud; NIH || National Institutes of Health; US National Institutes of Health; Institutos Nacionales de la Salud; NIH || National Institutes of Health; US National Institutes of Health; Institutos Nacionales de la Salud; NIH || National Center for Complementary and Integrative Health; The National Center for Complementary and Integrative Health; NCCIH || National Institute of Diabetes and Digestive and Kidney Diseases; NIH\/National Institute of Diabetes, Digestive &amp; Kidney Diseases; NIH National Institute of Diabetes and Digestive and Kidney Diseases; NIDDK; National Institute of Diabetes &amp; Digestive &amp; Kidney Diseases || National Institute of General Medical Sciences; NIGMS; U.S. National Institute of General Medical Sciences</t>
  </si>
  <si>
    <t>https://openalex.org/funders/f4320337593 || https://openalex.org/funders/f4320306089 || https://openalex.org/funders/f4320337357 || https://openalex.org/funders/f4320332161 || https://openalex.org/funders/f4320337354</t>
  </si>
  <si>
    <t>LiBi3S5-A lithium bismuth sulfide with strong cation disorder</t>
  </si>
  <si>
    <t>https://doi.org/10.1016/j.jssc.2016.03.010</t>
  </si>
  <si>
    <t>Austrian Federal Ministry of Economy, Family and Youth; BMWFJ; Bundesministerium für Wirtschaft, Familie und Jugend || Österreichische Nationalstiftung für Forschung, Technologie und Entwicklung; National Foundation for Research, Technology and Development, Austria; National Foundation for Research, Technology and Development; FTE-Stiftung || Deutsche Forschungsgemeinschaft; German Research Association; DFG; German Research Foundation</t>
  </si>
  <si>
    <t>https://openalex.org/funders/f4320320879 || https://openalex.org/funders/f4320311813 || https://openalex.org/funders/f4320315059</t>
  </si>
  <si>
    <t>Synthesis of M@TiO2 (M = Au, Pd, Pt) Core-Shell Nanoconnposites with Tunable Photoreactivity</t>
  </si>
  <si>
    <t>https://doi.org/10.1021/jp2009989</t>
  </si>
  <si>
    <t>NOT MATCHED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NOT MATCHED || 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 || NOT MATCHED</t>
  </si>
  <si>
    <t>The role of Mn on twinning behavior and tensile properties of coarse- and fine-grained Fe-Mn-C twinning-induced plasticity steels</t>
  </si>
  <si>
    <t>https://doi.org/10.1016/j.msea.2020.139586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</si>
  <si>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Natural Science Foundation of Hebei Province; Hebei Provincial Natural Science Foundation of China; Hebei Provincial Natural Science Foundation</t>
  </si>
  <si>
    <t>https://openalex.org/funders/f4320322163 || https://openalex.org/funders/f4320321001</t>
  </si>
  <si>
    <t>Forecasting Daily and Monthly Exchange Rates with Machine Learning Techniques</t>
  </si>
  <si>
    <t>https://doi.org/10.1002/for.2354</t>
  </si>
  <si>
    <t>Large eddy simulation of flow control around a cube subjected to momentum injection</t>
  </si>
  <si>
    <t>https://doi.org/10.1615/ICHMT.2012.ProcSevIntSympTurbHeatTransfPal.950</t>
  </si>
  <si>
    <t>Trafikverket; Swedish Transport Administration || NOT MATCHED</t>
  </si>
  <si>
    <t>https://openalex.org/funders/f4320327853</t>
  </si>
  <si>
    <t>Assessment of technical and financial benefits of AC and DC microgrids based on solar photovoltaic</t>
  </si>
  <si>
    <t>https://doi.org/10.1007/s00202-020-00950-7</t>
  </si>
  <si>
    <t>Ministry of Higher Education, Malaysia; MOHE || Ministry of Higher Education, Malaysia; MOHE || Universiti Malaysia Sarawak; University of Malaysia, Sarawak</t>
  </si>
  <si>
    <t>https://openalex.org/funders/f4320324896 || https://openalex.org/funders/f4320321709</t>
  </si>
  <si>
    <t>Breaking Cassie's Law for Condensation in a Nanopatterned Slit</t>
  </si>
  <si>
    <t>https://doi.org/10.1103/PhysRevLett.126.125701</t>
  </si>
  <si>
    <t>Grantová Agentura České Republiky; Czech Science Foundation; Grant Agency of the Czech Republic; GAČR; GA ČR; GACR || European Commission; Europeiska kommissionen; Ευρωπαϊκής Επιτροπής; Comisia Europeană; Europese Commissie; Euroopa Komisjoni; Eiropas Komisiju; Euroopan komission; Europskoj komisiji; EU; Choimisiúin Eorpaigh; EU-Kommissionen; Evropski komisiji; EC; Comisión Europea; Europos Komisijos; Europäische Kommission; La Commissione europea; Evropské komise; Comissão Europeia; Európskej komisii; Европейската комисия; Európai Bizottságról; Komisja Europejska; Commissione europea; European Union; Commission européenne</t>
  </si>
  <si>
    <t>https://openalex.org/funders/f4320321006 || https://openalex.org/funders/f4320320300</t>
  </si>
  <si>
    <t>Which Way Round? A Study on the Performance of Stain-Translation for Segmenting Arbitrarily Dyed Histological Images</t>
  </si>
  <si>
    <t>https://doi.org/10.1007/978-3-030-00934-2_19</t>
  </si>
  <si>
    <t>Deutsche Forschungsgemeinschaft; German Research Association; DFG; German Research Foundation</t>
  </si>
  <si>
    <t>LENGTH-FREQUENCY COMPOSITIONS AND WEIGHT-LENGTH RELATIONS FOR BIGEYE TUNA, YELLOWFIN TUNA, AND ALBACORE (PERCIFORMES: SCOMBRINAE) IN THE ATLANTIC, INDIAN, AND EASTERN PACIFIC OCEANS</t>
  </si>
  <si>
    <t>https://doi.org/10.3750/AIP2008.38.2.12</t>
  </si>
  <si>
    <t>NOT MATCHED || NOT MATCHED || Shanghai Municipal Education Commission; Education Commission of Shanghai Municipality; 上海市教育委员会 || NOT MATCHED</t>
  </si>
  <si>
    <t>https://openalex.org/funders/f4320321881</t>
  </si>
  <si>
    <t>Green and facile procedure for the preparation of liquid and gel-like polyurethanes based on castor oil and lignin: Effect of processing conditions on the rheological properties</t>
  </si>
  <si>
    <t>https://doi.org/10.1016/j.jclepro.2020.123367</t>
  </si>
  <si>
    <t>NOT MATCHED || Ministerio de Educación, Cultura y Deporte; Ministry of Education, Culture and Sports; MECD</t>
  </si>
  <si>
    <t>https://openalex.org/funders/f4320321764</t>
  </si>
  <si>
    <t>Delineation of Urban Growth Boundaries with SD and CLUE-s Models under Multi-Scenarios in Chengdu Metropolitan Area</t>
  </si>
  <si>
    <t>https://doi.org/10.3390/su11215919</t>
  </si>
  <si>
    <t>Long non-coding RNA nuclear-enriched abundant transcript 1 inhibition blunts myocardial ischemia reperfusion injury via autophagic flux arrest and apoptosis in streptozotocin-induced diabetic rats</t>
  </si>
  <si>
    <t>https://doi.org/10.1016/j.atherosclerosis.2018.08.031</t>
  </si>
  <si>
    <t>NOT MATCHED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</t>
  </si>
  <si>
    <t>Swash saturation: an assessment of available models</t>
  </si>
  <si>
    <t>https://doi.org/10.1007/s10236-018-1170-8</t>
  </si>
  <si>
    <t>Australian Research Council; The Australian Research Council; ARC || Natur og Univers, Det Frie Forskningsråd; Natural Sciences, Danish Council for Independent Research; Det Frie Forskningsråd, Natur og Univers; FNU, DFF; Danish Council for Independent Research Natural Sciences; DFF Natur og Univers</t>
  </si>
  <si>
    <t>https://openalex.org/funders/f4320334704 || https://openalex.org/funders/f4320310485</t>
  </si>
  <si>
    <t>Separation of Cs-134 and Ba-133 radionuclides by calcium alginate beads</t>
  </si>
  <si>
    <t>https://doi.org/10.1007/s10967-011-1158-z</t>
  </si>
  <si>
    <t>Finding Jumps in Otherwise Smooth Curves: Identifying Critical Events in Political Processes</t>
  </si>
  <si>
    <t>https://doi.org/10.1093/pan/mpp032</t>
  </si>
  <si>
    <t>National Heart, Lung, and Blood Institute; NIH\/National Heart, Lung and Blood Institute; National Heart Lung &amp; Blood Institute; NHLBI || National Heart, Lung, and Blood Institute; NIH\/National Heart, Lung and Blood Institute; National Heart Lung &amp; Blood Institute; NHLBI</t>
  </si>
  <si>
    <t>https://openalex.org/funders/f4320337338</t>
  </si>
  <si>
    <t>Specific gene expression profiles are associated with a pathologic complete response to neoadjuvant therapy in esophageal adenocarcinoma</t>
  </si>
  <si>
    <t>https://doi.org/10.1016/j.amjsurg.2017.03.024</t>
  </si>
  <si>
    <t>NOT MATCHED || Oregon Clinical and Translational Research Institute; OCTRI; Oregon Clinical &amp; Translational Research Institute || OHSU Knight Cancer Institute; Oregon Health and Science University Knight Cancer Institute; Oregon Health &amp; Science University Knight Cancer Institute; Knight Cancer Institute || National Center for Advancing Translational Sciences; NCATS; NIH-NCATS; NIH's National Center for Advancing Translational; NCATS NIH || National Center for Advancing Translational Sciences; NCATS; NIH-NCATS; NIH's National Center for Advancing Translational; NCATS NIH || National Institute of Neurological Disorders and Stroke; National Institute of Neurological Disorders &amp; Stroke; NIH\/National Institute of Neurological Disorders and Stroke; The National Institute of Neurological Disorders and Stroke; Instituto Nacional de Trastornos Neurológicos y Accidentes Cerebrovasculares; NIH National Institute of Neurological Disorders and Stroke; NINDS</t>
  </si>
  <si>
    <t>https://openalex.org/funders/f4320337359 || https://openalex.org/funders/f4320337472 || https://openalex.org/institutions/i4390039369 || https://openalex.org/funders/f4320332578</t>
  </si>
  <si>
    <t>A systematic survey of randomised trials that stopped early for reasons of futility</t>
  </si>
  <si>
    <t>https://doi.org/10.1186/s12874-020-0899-1</t>
  </si>
  <si>
    <t>Natural Sciences and Engineering Research Council of Canada; CRSNG; NSERC; Conseil de Recherches en Sciences Naturelles et en Génie du Canada</t>
  </si>
  <si>
    <t>https://openalex.org/funders/f4320334593</t>
  </si>
  <si>
    <t>Kinetic and regeneration studies of photocatalytic magnetic separable beads for chromium (VI) reduction under sunlight</t>
  </si>
  <si>
    <t>https://doi.org/10.1016/j.jhazmat.2010.11.101</t>
  </si>
  <si>
    <t>Ministry of Science and Technology of Thailand; MOST; Ministry of Science and Technology, Thailand</t>
  </si>
  <si>
    <t>https://openalex.org/funders/f4320324279</t>
  </si>
  <si>
    <t>Using regime analysis to identify the contribution of clouds to surface temperature errors in weather and climate models</t>
  </si>
  <si>
    <t>https://doi.org/10.1002/qj.2603</t>
  </si>
  <si>
    <t>NOT MATCHED || U.S. Department of Energy; US Department of Energy; DOE; United States Department of Energy; Department of Energy; USDOE; Energy Department; ENERGY.GOV; USADOE; US DOE || Biological and Environmental Research; BER; Biological &amp; Environmental Research; DOE Office of Science's Biological and Environmental Research; Office of Biological and Environmental Research; Department of Energy's Office of Biological and Environmental Research</t>
  </si>
  <si>
    <t>https://openalex.org/funders/f4320337509 || https://openalex.org/funders/f4320306084</t>
  </si>
  <si>
    <t>A first report of Thelazia callipaeda infection in Phortica okadai and wildlife in national nature reserves in China</t>
  </si>
  <si>
    <t>https://doi.org/10.1186/s13071-020-04509-0</t>
  </si>
  <si>
    <t>China Agricultural University; CAU</t>
  </si>
  <si>
    <t>https://openalex.org/funders/f4320321131</t>
  </si>
  <si>
    <t>Longitudinal and multimodal in vivo imaging of tumor hypoxia and its downstream molecular events</t>
  </si>
  <si>
    <t>https://doi.org/10.1073/pnas.0901194106</t>
  </si>
  <si>
    <t>Schweizerischer Nationalfonds zur Förderung der Wissenschaftlichen Forschung; Fondo Nazionale Svizzero; Fonds National Suisse; Schweizerische Nationalfonds; Fondo Nazionale Svizzero per la Ricerca Scientifica; SNSF; Fonds National Suisse de la Recherche Scientifique; Swiss National Science Foundation; FNS; SNF; Schweizerischer Nationalfonds || National Center for Research Resources; NCRR || NOT MATCHED</t>
  </si>
  <si>
    <t>https://openalex.org/funders/f4320337375 || https://openalex.org/funders/f4320320924</t>
  </si>
  <si>
    <t>Offline and Online Monitoring of Scattered Uncertain Logs Using Uncertain Linear Dynamical Systems</t>
  </si>
  <si>
    <t>https://doi.org/10.1007/978-3-031-08679-3_5</t>
  </si>
  <si>
    <t>NOT MATCHED || National Science Foundation; U.S. National Science Foundation; USA NSF; USNSF; NSF; US National Science Foundation; US NSF</t>
  </si>
  <si>
    <t>Highly Conductive and Transparent Poly(3,4-ethylenedioxythiophene)/Poly(4-styrenesulfonate) (PEDOT/PSS) Thin Films</t>
  </si>
  <si>
    <t>https://doi.org/10.1295/polymj.PJ2009143</t>
  </si>
  <si>
    <t>Japan Science and Technology Agency; JST; SCIENCE AND TECHNOLOGY AGENCY OF JAPAN; 国立研究開発法人科学技術振興機構; Japan Science &amp; Technology Agency</t>
  </si>
  <si>
    <t>https://openalex.org/funders/f4320334789</t>
  </si>
  <si>
    <t>Paradoxes of Plant Epigenetics</t>
  </si>
  <si>
    <t>https://doi.org/10.1134/S1062360421060047</t>
  </si>
  <si>
    <t>Russian Foundation for Basic Research; RFBR; РФФИ; Российский Фонд Фундаментальных Исследований</t>
  </si>
  <si>
    <t>Suicidal thoughts and depressive feelings amongst Estonian schoolchildren: effect of family relationship and family structure</t>
  </si>
  <si>
    <t>https://doi.org/10.1007/s00787-009-0079-7</t>
  </si>
  <si>
    <t>Eesti Teadusfondi; Estonian Science Foundation; ETF || NOT MATCHED</t>
  </si>
  <si>
    <t>https://openalex.org/funders/f4320321018</t>
  </si>
  <si>
    <t>Clinical and angiographic profile of premature heart attack in patients with family history of premature coronary heart disease: A substudy of the PCAD registry (Registered under the Clinical Trials Registry of India [CTRI/2018/03/012544])</t>
  </si>
  <si>
    <t>https://doi.org/10.4103/rcm.rcm_15_20</t>
  </si>
  <si>
    <t>Sri Jayadeva Institute of Cardiovascular Sciences and Research; SJIC; Sri Jayadeva Institute of Cardiology</t>
  </si>
  <si>
    <t>https://openalex.org/institutions/i2803020280</t>
  </si>
  <si>
    <t>The Improvement of Bonding Strength of W/Cu Joints via Nano-Treatment of the W Surface</t>
  </si>
  <si>
    <t>https://doi.org/10.3390/met11050844</t>
  </si>
  <si>
    <t>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</t>
  </si>
  <si>
    <t>Education and public outreach on gravitational-wave astronomy</t>
  </si>
  <si>
    <t>https://doi.org/10.1007/s10714-014-1764-5</t>
  </si>
  <si>
    <t>Neurosciences Foundation; The Neurosciences Foundation; NSF || Science and Technology Facilities Council; STFC; Science &amp; Technology Facilities Council || Science and Technology Facilities Council; STFC; Science &amp; Technology Facilities Council || Directorate for Mathematical and Physical Sciences; NSF Directorate for Mathematical &amp; Physical Sciences; MPS\/OAD; MPS; Mathematical and Physical Sciences; Directorate for Mathematical &amp; Physical Sciences; NSF Directorate for Mathematical and Physical Sciences</t>
  </si>
  <si>
    <t>https://openalex.org/funders/f4320334632 || https://openalex.org/funders/f4320332172 || https://openalex.org/funders/f4320330889</t>
  </si>
  <si>
    <t>Diversifying growth forms in tropical forest restoration: Enrichment with vascular epiphytes</t>
  </si>
  <si>
    <t>https://doi.org/10.1016/j.foreco.2017.06.063</t>
  </si>
  <si>
    <t>Fundação de Amparo à Pesquisa do Estado de São Paulo; São Paulo Research Foundation; Foundation for Research Support of the State of São Paulo; FAPESP; State of São Paulo Research Foundation || Conselho Nacional de Desenvolvimento Científico e Tecnológico; National Council for Scientific and Technological Development; Brazilian National Council for Research and Development; CNPq</t>
  </si>
  <si>
    <t>https://openalex.org/funders/f4320322025 || https://openalex.org/funders/f4320320997</t>
  </si>
  <si>
    <t>Relatedness of Cu and Fe speciation to chalcopyrite bioleaching by Acidithiobacillus ferrooxidans</t>
  </si>
  <si>
    <t>https://doi.org/10.1016/j.hydromet.2015.05.013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</si>
  <si>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NOT MATCHED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Hunan Provincial Innovation Foundation for Postgraduate || NOT MATCHED</t>
  </si>
  <si>
    <t>https://openalex.org/funders/f4320326217 || https://openalex.org/funders/f4320321001</t>
  </si>
  <si>
    <t>Polarization currents in illite at various temperatures</t>
  </si>
  <si>
    <t>https://doi.org/10.1016/j.clay.2016.10.024</t>
  </si>
  <si>
    <t>Vedecká Grantová Agentúra MŠVVaŠ SR a SAV; VEGA; Scientific Grant Agency</t>
  </si>
  <si>
    <t>https://openalex.org/funders/f4320323641</t>
  </si>
  <si>
    <t>Open-source automated chemical vapor deposition system for the production of two- dimensional nanomaterials</t>
  </si>
  <si>
    <t>https://doi.org/10.1371/journal.pone.0210817</t>
  </si>
  <si>
    <t>NOT MATCHED || Idaho Space Grant Consortium; NASA Idaho Space Grant Consortium; NASA ID Space Grant Consortium; ISGC; NASA Idaho Space Grant; NASA ISGC || U.S. Nuclear Regulatory Commission; US Nuclear Regulatory Commission; NRCgov; U.S.NRC; USNRC; NRC; United States Nuclear Regulatory Commission; The US Nuclear Regulatory Commission; Nuclear Regulatory Commission; The Nuclear Regulatory Commission; U.S. NRC</t>
  </si>
  <si>
    <t>https://openalex.org/funders/f4320308697 || https://openalex.org/funders/f4320308293</t>
  </si>
  <si>
    <t>Comparison of the effectiveness and duration of anti-RBD SARS-CoV-2 IgG antibody response between different types of vaccines: Implications for vaccine strategies</t>
  </si>
  <si>
    <t>https://doi.org/10.1016/j.vaccine.2022.03.069</t>
  </si>
  <si>
    <t>Abdul Hameed Shoman Foundation; AHSF; The Abdul Hameed Shoman Foundation; مؤسسة عبد الحميد شومان</t>
  </si>
  <si>
    <t>https://openalex.org/funders/f4320329905</t>
  </si>
  <si>
    <t>Indane-1,3-dione and cholesterol containing butadione derivatives: Photoresponsive liquid crystalline glasses for imaging applications</t>
  </si>
  <si>
    <t>https://doi.org/10.1016/j.jphotochem.2008.11.009</t>
  </si>
  <si>
    <t>Japan Society for the Promotion of Science; Grants-in-Aid for Scientific Research; Grants-in-Aid for Scientific Research Program; KAKENHI; 日本学術振興会; KAKEN; JSPS || Department of Science and Technology, Ministry of Science and Technology, India; डीएसटी; Department of Science &amp; Technology, Ministry of Science and Technology, India; Department of Science &amp; Technology; DST; विज्ञान और प्रौद्योगिकी विभाग; Department of Science and Technology; विज्ञान और प्रौद्योगिकी विभाग, विज्ञान और प्रौद्योगिकी मंत्रालय, भारत || Government of India; GOI; Union Government; Central Government || NOT MATCHED</t>
  </si>
  <si>
    <t>https://openalex.org/institutions/i2799351866 || https://openalex.org/funders/f4320334764 || https://openalex.org/funders/f4320320719</t>
  </si>
  <si>
    <t>A Topology-Based Stereo Matching Method for One Shot 3D Measurement Using Coded Spot-Array Structured Light</t>
  </si>
  <si>
    <t>https://doi.org/10.3390/s21196444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</si>
  <si>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European Defence Industrial Development Programme; EDIDP; Europäisches Programm zur industriellen Entwicklung im Verteidigungsbereich; Programme européen de développement industriel dans le domaine de la défense || Science and Technology Commission of Shanghai Municipality; STCSM; Shanghai Science and Technology Committee; Shanghai Municipal Science and Technology Commission; Shanghai Science and Technology Commission; 上海市科学技术委员会 || NOT MATCHED</t>
  </si>
  <si>
    <t>https://openalex.org/funders/f4320335998 || https://openalex.org/funders/f4320321001 || https://openalex.org/funders/f4320321885</t>
  </si>
  <si>
    <t>Effective processing of masked eye gaze requires volitional control</t>
  </si>
  <si>
    <t>https://doi.org/10.1007/s00221-011-2944-0</t>
  </si>
  <si>
    <t>Rejoinder: In-Sample Inference and Forecasting in Misspecified Factor Models</t>
  </si>
  <si>
    <t>https://doi.org/10.1080/07350015.2016.1191500</t>
  </si>
  <si>
    <t>Social Sciences and Humanities Research Council of Canada; Conseil de recherches en sciences humaines du Canada; SSHRC || European Remanufacturing Council; ERC; CER; Conseil Européen de Remanufacture || Ministerio de Economía y Competitividad; MINECO; MEC; Ministry of Economy and Competitiveness || Institució Catalana de Recerca i Estudis Avançats; ICREA; Catalan Institution for Research and Advanced Studies</t>
  </si>
  <si>
    <t>https://openalex.org/institutions/i4210090207 || https://openalex.org/funders/f4320322121 || https://openalex.org/funders/f4320321837 || https://openalex.org/funders/f4320334617</t>
  </si>
  <si>
    <t>Diabetes Patient Surveillance in the Emergency Department: Proof of Concept and Opportunities</t>
  </si>
  <si>
    <t>https://doi.org/10.5811/westjem.2020.12.49171</t>
  </si>
  <si>
    <t>National Center for Advancing Translational Sciences; NCATS; NIH-NCATS; NIH's National Center for Advancing Translational; NCATS NIH</t>
  </si>
  <si>
    <t>https://openalex.org/funders/f4320337472</t>
  </si>
  <si>
    <t>Mortality due to congenital heart disease in Pernambuco from 1996 to 2016</t>
  </si>
  <si>
    <t>https://doi.org/10.1590/1806-9282.66.7.931</t>
  </si>
  <si>
    <t>Coordenação de Aperfeiçoamento de Pessoal de Nível Superior; Coordination for the Improvement of Higher Education Personnel; CAPES; Brazilian Federal Agency for the Support and Evaluation of Graduate Education</t>
  </si>
  <si>
    <t>https://openalex.org/funders/f4320321091</t>
  </si>
  <si>
    <t>Precision orthotics: optimising ankle foot orthoses to improve gait in patients with neuromuscular diseases; protocol of the PROOF-AFO study, a prospective intervention study</t>
  </si>
  <si>
    <t>https://doi.org/10.1136/bmjopen-2016-013342</t>
  </si>
  <si>
    <t>Prinses Beatrix Spierfonds; The Princess Beatrix Muscle Fund; Het Prinses Beatrix Spierfonds</t>
  </si>
  <si>
    <t>https://openalex.org/funders/f4320322485</t>
  </si>
  <si>
    <t>Impacts of traditional shore seine operation along the Tuticorin coast, Gulf of Mannar, southeast India</t>
  </si>
  <si>
    <t>https://doi.org/10.18520/cs/v112/i01/40-45</t>
  </si>
  <si>
    <t>Department of Biotechnology, Ministry of Science and Technology, India; Dept. of Biotechnology, Govt of India; बायोटेक्नोलॉजी विभाग विज्ञान और प्रौद्योगिकी मंत्रालय, भारत सरकार; Department of Biotechnology, Ministry of Science &amp; Technology, India; DBT; Department of Biotechnology</t>
  </si>
  <si>
    <t>https://openalex.org/funders/f4320320717</t>
  </si>
  <si>
    <t>Multiple Parameters Estimation of Ship Roll Motion Model with Gyrostabilizer</t>
  </si>
  <si>
    <t>https://doi.org/10.1007/978-3-030-34983-7_31</t>
  </si>
  <si>
    <t>Russian Science Foundation; Российский научный фонд; RSF</t>
  </si>
  <si>
    <t>https://openalex.org/funders/f4320324099</t>
  </si>
  <si>
    <t>Rock Mechanics Characteristics Test and Optimization of High-Efficiency Mining in Dajishan Tungsten Mine</t>
  </si>
  <si>
    <t>https://doi.org/10.1155/2018/8036540</t>
  </si>
  <si>
    <t>National Science Foundation; U.S. National Science Foundation; USA NSF; USNSF; NSF; US National Science Foundation; US NSF || NOT MATCHED || Education Department of Jiangxi Province; Department of Education, Jiangxi Province; Jiangxi Provincial Education Department; 江西省教育厅; Department of Education of Jiangxi Province; Jiangxi Provincial Department of Education || NOT MATCHED</t>
  </si>
  <si>
    <t>https://openalex.org/funders/f4320306076 || https://openalex.org/funders/f4320325626</t>
  </si>
  <si>
    <t>Preparation of highly carbonized material from nanoparticle impregnated biomass</t>
  </si>
  <si>
    <t>https://doi.org/10.1016/j.jiec.2012.04.012</t>
  </si>
  <si>
    <t>Korea Forest Service; KFS</t>
  </si>
  <si>
    <t>https://openalex.org/funders/f4320334881</t>
  </si>
  <si>
    <t>Selection of genetically diverse sea oats lines with improved performance for coastal restoration in the northern Gulf of Mexico</t>
  </si>
  <si>
    <t>https://doi.org/10.1007/s10681-012-0635-y</t>
  </si>
  <si>
    <t>National Institute of Food and Agriculture; USDA National Institute of Food and Agriculture; U.S. Department of Agriculture, National Institute of Food and Agriculture; NIFA USDA; NIFA; National Institute of Food and Agriculture (USDA); National Institute of Food &amp; Agriculture; USDA\/NIFA; National Institute for Food and Agriculture of the United States Department of Agriculture; USDA - NIFA; USDA\/National Institute of Food and Agriculture; USDA's National Institute of Food and Agriculture; USDA NIFA; National Institute of Food and Agriculture at USDA || Louisiana State University; Louisiana State University and Agricultural and Mechanical College; LSU || Louisiana Sea Grant, Louisiana State University; Louisiana Sea Grant at Louisiana State University; LSG; LA Sea Grant; LouisianaSeaGrant; Louisiana State University, Louisiana Sea Grant; Louisiana Sea Grant || Louisiana State University; Louisiana State University and Agricultural and Mechanical College; LSU</t>
  </si>
  <si>
    <t>https://openalex.org/funders/f4320332299 || https://openalex.org/funders/f4320310395 || https://openalex.org/funders/f4320332285</t>
  </si>
  <si>
    <t>A revision of the Palaearctic Pimeliini (Coleoptera: Tenebrionidae): a comparative analysis and systematic position of Eastern European and Asian taxa with dorso-lateral eyes</t>
  </si>
  <si>
    <t>https://doi.org/10.5852/ejt.2022.809.1719</t>
  </si>
  <si>
    <t>Russian Science Foundation; Российский научный фонд; RSF || NOT MATCHED || NOT MATCHED</t>
  </si>
  <si>
    <t>miR-21 targets jnk and ccr7 to modulate the inflammatory response of grass carp following bacterial infection</t>
  </si>
  <si>
    <t>https://doi.org/10.1016/j.fsi.2019.09.022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</si>
  <si>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Agriculture Research System of China; China's Agricultural Research System || Shanghai Engineering Technology Research Center; 上海工程技术研究中心建设与管理办法; Shanghai Engineering and Technology Center for Promoting Ability</t>
  </si>
  <si>
    <t>https://openalex.org/funders/f4320326266 || https://openalex.org/funders/f4320316329 || https://openalex.org/funders/f4320321001</t>
  </si>
  <si>
    <t>Trouble Falling Asleep After Concussion Is Associated With Higher Symptom Burden Among Children and Adolescents</t>
  </si>
  <si>
    <t>https://doi.org/10.1177/0883073818824000</t>
  </si>
  <si>
    <t>NOT MATCHED || National Football League; NFL</t>
  </si>
  <si>
    <t>https://openalex.org/institutions/i4408896003</t>
  </si>
  <si>
    <t>Open-switch fault diagnosis in three-level rectifiers based on selective calculation method for instant voltage deviation</t>
  </si>
  <si>
    <t>https://doi.org/10.1049/pel2.12075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</si>
  <si>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NOT MATCHED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NOT MATCHED</t>
  </si>
  <si>
    <t>Optical properties of conductive silver-nanowire films with different nanowire lengths</t>
  </si>
  <si>
    <t>https://doi.org/10.1007/s12274-017-1583-6</t>
  </si>
  <si>
    <t>Atomic layer deposition of ZnO on carbon black as nanostructured anode materials for high-performance lithium-ion batteries</t>
  </si>
  <si>
    <t>https://doi.org/10.1039/c6nr07868k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</si>
  <si>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Fundamental Research Funds for the Central Universities; Fundamental Research Funds for the Central Universities of China; Fundamental Research Fund for the Central Universities || China Postdoctoral Science Foundation || NOT MATCHED</t>
  </si>
  <si>
    <t>https://openalex.org/funders/f4320335787 || https://openalex.org/funders/f4320321001 || https://openalex.org/funders/f4320321543</t>
  </si>
  <si>
    <t>Characteristics and source apportionment of PM 2.5 under the dual influence of the Spring Festival and the COVID-19 pandemic in Yuncheng city</t>
  </si>
  <si>
    <t>https://doi.org/10.1016/j.jes.2022.02.0201001-0742</t>
  </si>
  <si>
    <t>Population dynamics of the mud shrimp Upogebia omissa (Crustacea: Gebiidea: Upogebiidae) from the southwestern Atlantic coast of Brazil</t>
  </si>
  <si>
    <t>https://doi.org/10.1016/j.rsma.2020.101281</t>
  </si>
  <si>
    <t>Conselho Nacional de Desenvolvimento Científico e Tecnológico; National Council for Scientific and Technological Development; Brazilian National Council for Research and Development; CNPq</t>
  </si>
  <si>
    <t>https://openalex.org/funders/f4320322025</t>
  </si>
  <si>
    <t>Numerical Investigation of Weak Planar Shock-Elliptical Light Gas Bubble Interaction in Shock and Reshock Accelerated Flow</t>
  </si>
  <si>
    <t>https://doi.org/10.1134/S0015462821030101</t>
  </si>
  <si>
    <t>Mechanism of Preferential Adsorption of SO2 into Two Microporous Paddle Wheel Frameworks M(bdc)(ted)(0.5)</t>
  </si>
  <si>
    <t>https://doi.org/10.1021/cm401270b</t>
  </si>
  <si>
    <t>U.S. Department of Energy; US Department of Energy; DOE; United States Department of Energy; Department of Energy; USDOE; Energy Department; ENERGY.GOV; USADOE; US DOE || Basic Energy Sciences; BES; DOE Office of Basic Energy Sciences; DOE Basic Energy Sciences; Office of Basic Energy Sciences; US Department of Energy's Basic Energy Sciences; Department of Energy Basic Energy Sciences Program || U.S. Department of Energy; US Department of Energy; DOE; United States Department of Energy; Department of Energy; USDOE; Energy Department; ENERGY.GOV; USADOE; US DOE</t>
  </si>
  <si>
    <t>https://openalex.org/funders/f4320306084 || https://openalex.org/funders/f4320337480</t>
  </si>
  <si>
    <t>Detached-eddy and large-eddy simulations of wind effects on a high-rise structure</t>
  </si>
  <si>
    <t>https://doi.org/10.1016/j.compfluid.2017.02.009</t>
  </si>
  <si>
    <t>Outcomes of Transcatheter and Surgical Aortic Valve Replacement in High-Risk Patients With Aortic Stenosis and Left Ventricular Dysfunction Results From the Placement of Aortic Transcatheter Valves (PARTNER) Trial (Cohort A)</t>
  </si>
  <si>
    <t>https://doi.org/10.1161/CIRCINTERVENTIONS.113.000650</t>
  </si>
  <si>
    <t>Edwards Lifesciences; Edwards Lifesciences Corp.; Edwards; Edwards Lifesciences Corp; ELC; Edwards Lifesciences Corporation; Edwards Lifesciences LLC</t>
  </si>
  <si>
    <t>https://openalex.org/funders/f4320309139</t>
  </si>
  <si>
    <t>SAS4P: Providing automatic smoking detection for a persuasive smoking cessation application</t>
  </si>
  <si>
    <t>https://doi.org/10.1177/1550147719888167</t>
  </si>
  <si>
    <t>Universidad Católica de la Santísima Concepción; Catholic University of the Most Holy Conception; UCSC || NOT MATCHED</t>
  </si>
  <si>
    <t>https://openalex.org/funders/f4320323332</t>
  </si>
  <si>
    <t>Rdh54/Tid1 inhibits Rad51-Rad54-mediated D-loop formation and limits D-loop length</t>
  </si>
  <si>
    <t>https://doi.org/10.7554/eLife.59112</t>
  </si>
  <si>
    <t>National Institutes of Health; US National Institutes of Health; Institutos Nacionales de la Salud; NIH</t>
  </si>
  <si>
    <t>Heterogeneous reaction kinetics of epoxide-functionalized regenerated cellulose membrane and aliphatic amine</t>
  </si>
  <si>
    <t>https://doi.org/10.1016/j.tca.2012.04.031</t>
  </si>
  <si>
    <t>National Science Foundation; U.S. National Science Foundation; USA NSF; USNSF; NSF; US National Science Foundation; US NSF || Directorate for Engineering; NSF Directorate for Engineering; National Science Foundation's (NSF) Directorate for Engineering (ENG); ENG; Engineering; ENG\/OAD || Division of Chemical, Bioengineering, Environmental, and Transport Systems; NSF Division of Chemical, Bioengineering, Environmental, and Transport Systems; Chemical, Bioengineering, Environmental and Transport Systems; CBET; Chemical, Bioengineering, Environmental &amp; Transport Systems Division; NSF's Division of Chemical, Bioengineering, Environmental and Transport Systems; Chemical, Bioengineering, Environmental and Transport Systems (CBET) Division; ENG\/CBET; US NSF - ENG - CBET; Division of Chemical, Bioengineering, Environmental and Transport Systems</t>
  </si>
  <si>
    <t>https://openalex.org/funders/f4320306076 || https://openalex.org/funders/f4320332170 || https://openalex.org/funders/f4320337390</t>
  </si>
  <si>
    <t>Data-driven forecasting of high-dimensional chaotic systems with long short-term memory networks</t>
  </si>
  <si>
    <t>https://doi.org/10.1098/rspa.2017.0844</t>
  </si>
  <si>
    <t>Air Force Office of Scientific Research; AFOSR; The Air Force Office of Scientific Research; US Air Force Office of Scientific Research; United States Air Force Office of Scientific Research; AF Office of Scientific Research || Office of Naval Research; U.S. Department of the Navy Office of Naval Research; US Department of the Navy Office of Naval Research; US Office of Naval Research; Department of the Navy's Office of Naval Research; United States Office of Naval Research; Naval Research; ONR; The Office of Naval Research; U.S. Office of Naval Research || Army Research Office; ARO; United States Army Research Office; U.S. Army Research Office; US Army Research Office; U.S. Army Research Laboratory's Army Research Office || Environmental Remediation Consultants (United States); ERC</t>
  </si>
  <si>
    <t>https://openalex.org/funders/f4320338279 || https://openalex.org/funders/f4320337345 || https://openalex.org/funders/f4320338281 || https://openalex.org/institutions/i4210153531</t>
  </si>
  <si>
    <t>Differential influence of hippocampal subfields to memory formation: insights from patients with temporal lobe epilepsy</t>
  </si>
  <si>
    <t>https://doi.org/10.1093/brain/awu100</t>
  </si>
  <si>
    <t>Deutsche Forschungsgemeinschaft; German Research Association; DFG; German Research Foundation || NOT MATCHED || European Commission; Europeiska kommissionen; Ευρωπαϊκής Επιτροπής; Comisia Europeană; Europese Commissie; Euroopa Komisjoni; Eiropas Komisiju; Euroopan komission; Europskoj komisiji; EU; Choimisiúin Eorpaigh; EU-Kommissionen; Evropski komisiji; EC; Comisión Europea; Europos Komisijos; Europäische Kommission; La Commissione europea; Evropské komise; Comissão Europeia; Európskej komisii; Европейската комисия; Európai Bizottságról; Komisja Europejska; Commissione europea; European Union; Commission européenne</t>
  </si>
  <si>
    <t>https://openalex.org/funders/f4320320879 || https://openalex.org/funders/f4320320300</t>
  </si>
  <si>
    <t>Intelliject's novel epinephrine autoinjector: sharps injury prevention validation and comparable analysis with EpiPen and Twinject</t>
  </si>
  <si>
    <t>https://doi.org/10.1016/j.anai.2010.09.028</t>
  </si>
  <si>
    <t>NOT MATCHED || U.S. National Library of Medicine; National Library of Medicine; United States National Library of Medicine; US National Library of Medicine; NLM</t>
  </si>
  <si>
    <t>https://openalex.org/funders/f4320337372</t>
  </si>
  <si>
    <t>Whole shaft visibility and mechanical performance for active MR catheters using copper-nitinol braided polymer tubes</t>
  </si>
  <si>
    <t>https://doi.org/10.1186/1532-429X-11-29</t>
  </si>
  <si>
    <t>NOT MATCHED || National Heart, Lung, and Blood Institute; NIH\/National Heart, Lung and Blood Institute; National Heart Lung &amp; Blood Institute; NHLBI || National Institute of General Medical Sciences; NIGMS; U.S. National Institute of General Medical Sciences</t>
  </si>
  <si>
    <t>https://openalex.org/funders/f4320337354 || https://openalex.org/funders/f4320337338</t>
  </si>
  <si>
    <t>Identification of growth inhibiting compounds in a Giardia lamblia high-throughput screen</t>
  </si>
  <si>
    <t>https://doi.org/10.1016/j.molbiopara.2008.08.005</t>
  </si>
  <si>
    <t>National Institute of Allergy and Infectious Diseases; NIAID; Instituto Nacional de Alergias y Enfermedades Infecciosas || National Institute of Allergy and Infectious Diseases; NIAID; Instituto Nacional de Alergias y Enfermedades Infecciosas</t>
  </si>
  <si>
    <t>Poly(3,4-ethylenedioxythiophene)-Multiwalled Carbon Nanotube Composite Films: Structure-Directed Amplified Electrochromic Response and Improved Redox Activity</t>
  </si>
  <si>
    <t>https://doi.org/10.1021/jp9012976</t>
  </si>
  <si>
    <t>National Physical Laboratory; NPL; CSIR-NPL; CSIR-National Physical Laboratory || University Grants Commission; UGC; University Grants Commission India; विश्वविद्यालय अनुदान आयोग; यूजीसी</t>
  </si>
  <si>
    <t>https://openalex.org/funders/f4320335277 || https://openalex.org/funders/f4320320767</t>
  </si>
  <si>
    <t>Attenuation Imaging with Ultrasound as a Novel Evaluation Method for Liver Steatosis</t>
  </si>
  <si>
    <t>https://doi.org/10.3390/jcm10050965</t>
  </si>
  <si>
    <t>Hospital Research Foundation; THRFG; The Hospital Research Foundation Group; THRF; Hospital Research Foundation Incorporated; HRF; Hospital Research Foundation Group; The Hospital Research Foundation; THE HOSPITAL RESEARCH FOUNDATION INCORPORATED</t>
  </si>
  <si>
    <t>https://openalex.org/funders/f4320311494</t>
  </si>
  <si>
    <t>The cytosolic manganese superoxide dismutase from the shrimp Litopenaeus vannamei: Molecular cloning and expression</t>
  </si>
  <si>
    <t>https://doi.org/10.1016/j.dci.2006.01.002</t>
  </si>
  <si>
    <t>Landscape evolution on the eastern part of Lombok (Indonesia) related to the 1257 CE eruption of the Samalas Volcano</t>
  </si>
  <si>
    <t>https://doi.org/10.1016/j.geomorph.2018.11.010</t>
  </si>
  <si>
    <t>NOT MATCHED || NOT MATCHED || Centre National de la Recherche Scientifique; Le Centre national de la recherche scientifique; National Centre for Scientific Research; CNRS || Australian Research Council; The Australian Research Council; ARC</t>
  </si>
  <si>
    <t>https://openalex.org/funders/f4320322892 || https://openalex.org/funders/f4320334704</t>
  </si>
  <si>
    <t>Stereoselective synthesis of the C-1-C-13 segment of dolabelide B</t>
  </si>
  <si>
    <t>https://doi.org/10.1016/j.tetlet.2005.04.146</t>
  </si>
  <si>
    <t>National Institute of General Medical Sciences; NIGMS; U.S. National Institute of General Medical Sciences || National Institute of General Medical Sciences; NIGMS; U.S. National Institute of General Medical Sciences</t>
  </si>
  <si>
    <t>https://openalex.org/funders/f4320337354</t>
  </si>
  <si>
    <t>CoCoA: conditional correlation models with association size</t>
  </si>
  <si>
    <t>https://doi.org/10.1093/biostatistics/kxac032</t>
  </si>
  <si>
    <t>Suppression of Abdominal Motor Activity during Swallowing in Cats and Humans</t>
  </si>
  <si>
    <t>https://doi.org/10.1371/journal.pone.0128245</t>
  </si>
  <si>
    <t>National Institutes of Health; US National Institutes of Health; Institutos Nacionales de la Salud; NIH || National Heart, Lung, and Blood Institute; NIH\/National Heart, Lung and Blood Institute; National Heart Lung &amp; Blood Institute; NHLBI</t>
  </si>
  <si>
    <t>https://openalex.org/funders/f4320332161 || https://openalex.org/funders/f4320337338</t>
  </si>
  <si>
    <t>A Semi-Discretizing Method Based Efficient Model for Fluidelastic Instability Threshold Prediction of Tube Bundles</t>
  </si>
  <si>
    <t>https://doi.org/10.32604/cmes.2019.06158</t>
  </si>
  <si>
    <t>Analysis of Both Hands' Two Pulse Waveforms using a Clip-type Pulsimeter Equipped with Magnetic Sensing Hall Device</t>
  </si>
  <si>
    <t>https://doi.org/10.4283/JMAG.2013.18.2.183</t>
  </si>
  <si>
    <t>Ministry of Health and Welfare; Ministry of Health, Welfare and Family Affairs; MOHW</t>
  </si>
  <si>
    <t>https://openalex.org/funders/f4320322034</t>
  </si>
  <si>
    <t>Molecularly imprinted polyaniline-ferrocene-sulfonic acid-Carbon dots modified pencil graphite electrodes for chiral selective sensing of D-Ascorbic acid and L-Ascorbic acid: A clinical biomarker for preeclampsia</t>
  </si>
  <si>
    <t>https://doi.org/10.1016/j.electacta.2015.10.005</t>
  </si>
  <si>
    <t>NOT MATCHED || University of Benin; UNIBEN; Yunifásítì ìlú Benin; Institute of Technology</t>
  </si>
  <si>
    <t>https://openalex.org/institutions/i6406202</t>
  </si>
  <si>
    <t>Influenza pandemic preparedness in the World Health Organization Eastern Mediterranean Region</t>
  </si>
  <si>
    <t>https://doi.org/10.26719/emhj.18.070</t>
  </si>
  <si>
    <t>World Health Organization; WHO</t>
  </si>
  <si>
    <t>https://openalex.org/funders/f4320307856</t>
  </si>
  <si>
    <t>Regioselective Photocycloaddition of Saccharin Anion to pi-Systems: Continuous-Flow Synthesis of Benzosultams</t>
  </si>
  <si>
    <t>https://doi.org/10.1021/acs.joc.8b02984</t>
  </si>
  <si>
    <t>Consejo Nacional de Investigaciones Científicas y Técnicas; National Scientific and Technical Research Council; CONICET || NOT MATCHED || Universidad Nacional de Córdoba; UNC; National University of Cordoba || Fondo para la Investigación Científica y Tecnológica; FonCyT; Fund for Scientific and Technological Research || Ministerio de Economía y Competitividad; MINECO; MEC; Ministry of Economy and Competitiveness || Consejo Nacional de Investigaciones Científicas y Técnicas; National Scientific and Technical Research Council; CONICET</t>
  </si>
  <si>
    <t>https://openalex.org/funders/f4320312064 || https://openalex.org/funders/f4320337954 || https://openalex.org/funders/f4320321837 || https://openalex.org/funders/f4320321594</t>
  </si>
  <si>
    <t>Propagation direction of the bistable travelling wavefront for delayed non-local reaction diffusion equations</t>
  </si>
  <si>
    <t>https://doi.org/10.1098/rspa.2018.0898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</si>
  <si>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NOT MATCHED || Zhejiang Sci-Tech University; ZSTU || NOT MATCHED</t>
  </si>
  <si>
    <t>https://openalex.org/funders/f4320324847 || https://openalex.org/funders/f4320321001</t>
  </si>
  <si>
    <t>EFFECTS OF AEROBIC EXERCISE AND PREBIOTIC FIBRE SUPPLEMENTATION ON THE VASTUS LATERALIS AND SOLEUS MUSCLES IN A RAT MODEL OF DIET-INDUCED OBESITY</t>
  </si>
  <si>
    <t>https://doi.org/10.1136/annrheumdis-2022-eular.409</t>
  </si>
  <si>
    <t>Canadian Institutes of Health Research; CIHR; IRSC; Instituts de Recherche en Santé du Canada || NOT MATCHED || Alberta Innovates - Health Solutions; AIHS || Alberta Innovates; AI || NOT MATCHED || Alberta Innovates; AI || Coordenação de Aperfeiçoamento de Pessoal de Nível Superior; Coordination for the Improvement of Higher Education Personnel; CAPES; Brazilian Federal Agency for the Support and Evaluation of Graduate Education</t>
  </si>
  <si>
    <t>https://openalex.org/funders/f4320319927 || https://openalex.org/funders/f4320321091 || https://openalex.org/funders/f4320334506 || https://openalex.org/funders/f4320325651</t>
  </si>
  <si>
    <t>Benchmark dose and the adverse effects of exposure to pendimethalin at low dose in female rats</t>
  </si>
  <si>
    <t>https://doi.org/10.1111/bcpt.13683</t>
  </si>
  <si>
    <t>National Research Centre; NRC; National Research Center, Egypt</t>
  </si>
  <si>
    <t>https://openalex.org/funders/f4320310077</t>
  </si>
  <si>
    <t>Ethanol- and sucrose-reinforced appetitive and consummatory responding in HAD1, HAD2, and P rats</t>
  </si>
  <si>
    <t>https://doi.org/10.1097/01.ALC.0000036284.74513.A5</t>
  </si>
  <si>
    <t>National Institute on Alcohol Abuse and Alcoholism; NIH National Institute on Alcohol Abuse and Alcoholism; The National Institute on Alcohol Abuse and Alcoholism; NIAAA; National Institute on Alcohol Abuse &amp; Alcoholism || National Institute on Alcohol Abuse and Alcoholism; NIH National Institute on Alcohol Abuse and Alcoholism; The National Institute on Alcohol Abuse and Alcoholism; NIAAA; National Institute on Alcohol Abuse &amp; Alcoholism</t>
  </si>
  <si>
    <t>https://openalex.org/funders/f4320337330</t>
  </si>
  <si>
    <t>Ceftaroline fosamil versus ceftriaxone for the treatment of Asian patients with community-acquired pneumonia: a randomised, controlled, double-blind, phase 3, non-inferiority with nested superiority trial</t>
  </si>
  <si>
    <t>https://doi.org/10.1016/S1473-3099(14)71018-7</t>
  </si>
  <si>
    <t>AstraZeneca; AstraZeneca PLC</t>
  </si>
  <si>
    <t>https://openalex.org/funders/f4320307770</t>
  </si>
  <si>
    <t>Effects of Neuro-Cognitive Load on Learning Transfer Using a Virtual Reality-Based Driving System</t>
  </si>
  <si>
    <t>https://doi.org/10.3390/bdcc5040054</t>
  </si>
  <si>
    <t>China Scholarship Council; CSC</t>
  </si>
  <si>
    <t>https://openalex.org/funders/f4320322725</t>
  </si>
  <si>
    <t>Neuropathological Changes in the Brains of Suicide Killers</t>
  </si>
  <si>
    <t>https://doi.org/10.3390/biom11111674</t>
  </si>
  <si>
    <t>Institute of Psychiatry and Neurology; IPiN; Instytut Psychiatrii i Neurologii</t>
  </si>
  <si>
    <t>https://openalex.org/institutions/i4210153937</t>
  </si>
  <si>
    <t>Fuel for debating ancient economies. Calculating wood consumption at urban scale in Roman Imperial times</t>
  </si>
  <si>
    <t>https://doi.org/10.1016/j.jasrep.2016.12.029</t>
  </si>
  <si>
    <t>NOT MATCHED || NOT MATCHED || Fonds Wetenschappelijk Onderzoek; Flemish Research Foundation; FWO; Research Foundation Flanders || NOT MATCHED || NOT MATCHED</t>
  </si>
  <si>
    <t>https://openalex.org/funders/f4320321730</t>
  </si>
  <si>
    <t>Enantioselective Synthesis of the 5-6-7 Carbocyclic Core of the Gagunin Diterpenoids</t>
  </si>
  <si>
    <t>https://doi.org/10.1021/ol401514s</t>
  </si>
  <si>
    <t>National Institute of General Medical Sciences; NIGMS; U.S. National Institute of General Medical Sciences || Amgen; Applied Molecular Genetics Inc.; Amgen Inc; Amgen Inc. || Abbott Laboratories; Abbott; Abbott U.S. || Boehringer Ingelheim; Boehringer Ingelheim Pharmaceuticals, Inc.; BI; Boehringer Ingelheim Pharmaceuticals Inc; BIPI || California Institute of Technology; CIT; Caltech || NOT MATCHED || National Science Foundation; U.S. National Science Foundation; USA NSF; USNSF; NSF; US National Science Foundation; US NSF || Division of Chemistry; NSF Div. of Chemistry; CHE; MPS\/CHE || National Institute of General Medical Sciences; NIGMS; U.S. National Institute of General Medical Sciences</t>
  </si>
  <si>
    <t>https://openalex.org/funders/f4320306076 || https://openalex.org/funders/f4320337393 || https://openalex.org/funders/f4320306257 || https://openalex.org/funders/f4320307105 || https://openalex.org/funders/f4320306493 || https://openalex.org/funders/f4320309398 || https://openalex.org/funders/f4320337354</t>
  </si>
  <si>
    <t>Synthesis and Structure of a Bis(indolyl)-Coordinated Titanium Diamido Complex, and Its Catalytic Applications in the Intermolecular Hydroamination of Alkynes</t>
  </si>
  <si>
    <t>https://doi.org/10.1246/bcsj.20180181</t>
  </si>
  <si>
    <t>Foundation for Japanese Chemical Research; 公益財団法人日本化学研究会 || NOT MATCHED || NOT MATCHED || Hirosaki University; Hirosaki Daigaku</t>
  </si>
  <si>
    <t>https://openalex.org/institutions/i4210151387 || https://openalex.org/funders/f4320323532</t>
  </si>
  <si>
    <t>The effect of black tea supplementation on blood pressure: a systematic review and dose-response meta-analysis of randomized controlled trials</t>
  </si>
  <si>
    <t>https://doi.org/10.1039/d0fo02122a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</si>
  <si>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NOT MATCHED || National Outstanding Youth Science Fund Project of National Natural Science Foundation of China; National Outstanding Youth Science Fund Project of NSFC; Youth Programs of National Natural Science Foundation of China; National Natural Science Foundation for Excellent Youth Science Fund Project of China; Outstanding Youth Science Fund Project of the National Natural Science Foundation of China; IUSS; National Outstanding Youth Science Fund Project of China; National Science Fund for Excellent Young Scholars</t>
  </si>
  <si>
    <t>https://openalex.org/funders/f4320333688 || https://openalex.org/funders/f4320321001</t>
  </si>
  <si>
    <t>Damage Boundary Study of Crystal Oscillators under Shock Environment</t>
  </si>
  <si>
    <t>https://doi.org/10.1155/2020/8899299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</si>
  <si>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State Key Laboratory of Explosion Science and Technology; SKLEST</t>
  </si>
  <si>
    <t>https://openalex.org/funders/f4320326980 || https://openalex.org/funders/f4320321001</t>
  </si>
  <si>
    <t>Deep Learning based Semantic Ontology Alignment Process and Predictive Analysis of Depressive Disorder</t>
  </si>
  <si>
    <t>https://doi.org/10.1109/ICOIN53446.2022.9687251</t>
  </si>
  <si>
    <t>Exergames for Subsyndromal Depression in Older Adults: A Pilot Study of a Novel Intervention</t>
  </si>
  <si>
    <t>https://doi.org/10.1097/JGP.0b013e3181c534b5</t>
  </si>
  <si>
    <t>National Institute of Mental Health; Instituto Nacional de la Salud Mental; NIMH; Mental Health NIMH || University of California, San Diego; University of California San Diego; UC San Diego; UCSD || U.S. Department of Veterans Affairs; United States Department of Veterans Affairs; Veterans Affairs; Veterans Affairs Department; Department of Veterans Affairs; US Department of Veterans Affairs; VA; U.S. Dept. of Veterans Affairs; USDVA || National Institute of Mental Health; Instituto Nacional de la Salud Mental; NIMH; Mental Health NIMH</t>
  </si>
  <si>
    <t>https://openalex.org/funders/f4320332603 || https://openalex.org/funders/f4320337346 || https://openalex.org/funders/f4320306127</t>
  </si>
  <si>
    <t>Twenty-four hour ambulatory blood pressure reference values in Africans</t>
  </si>
  <si>
    <t>https://doi.org/10.1097/MBP.0000000000000376</t>
  </si>
  <si>
    <t>Carnegie Foundation for the Advancement of Teaching; Carnegie Foundation || University of the Witwatersrand, Johannesburg; University of the Witwatersrand || Faculdade de Ciências da Saúde, Universidade de Macau; FCS; UM FHS; 健康科学学院; FHS; Faculty of Health Sciences; Faculty of Health Sciences - University of Macau; Faculty of Health Sciences, University of Macau; Faculdade de Ciências da Saúde; Faculty of Health Sciences, UM; Faculty of Health Sciences at the University of Macau</t>
  </si>
  <si>
    <t>https://openalex.org/funders/f4320306641 || https://openalex.org/funders/f4320337292 || https://openalex.org/funders/f4320311280</t>
  </si>
  <si>
    <t>Cigarette Smoke Impairs A(2A) Adenosine Receptor Mediated Wound Repair through Upregulation of Duox-1 Expression</t>
  </si>
  <si>
    <t>https://doi.org/10.1038/srep44405</t>
  </si>
  <si>
    <t>NOT MATCHED || National Institute on Alcohol Abuse and Alcoholism; NIH National Institute on Alcohol Abuse and Alcoholism; The National Institute on Alcohol Abuse and Alcoholism; NIAAA; National Institute on Alcohol Abuse &amp; Alcoholism || National Institutes of Health; US National Institutes of Health; Institutos Nacionales de la Salud; NIH || NOT MATCHED || NOT MATCHED || National Heart, Lung, and Blood Institute; NIH\/National Heart, Lung and Blood Institute; National Heart Lung &amp; Blood Institute; NHLBI || National Institute on Alcohol Abuse and Alcoholism; NIH National Institute on Alcohol Abuse and Alcoholism; The National Institute on Alcohol Abuse and Alcoholism; NIAAA; National Institute on Alcohol Abuse &amp; Alcoholism || U.S. Department of Veterans Affairs; United States Department of Veterans Affairs; Veterans Affairs; Veterans Affairs Department; Department of Veterans Affairs; US Department of Veterans Affairs; VA; U.S. Dept. of Veterans Affairs; USDVA</t>
  </si>
  <si>
    <t>https://openalex.org/funders/f4320332161 || https://openalex.org/funders/f4320306127 || https://openalex.org/funders/f4320337330 || https://openalex.org/funders/f4320337338</t>
  </si>
  <si>
    <t>The Maximum Number of Cliques in Hypergraphs without Large Matchings</t>
  </si>
  <si>
    <t>https://doi.org/10.37236/9604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</si>
  <si>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Shanxi Province Science Foundation for Youths</t>
  </si>
  <si>
    <t>https://openalex.org/funders/f4320321001 || https://openalex.org/funders/f4320326179</t>
  </si>
  <si>
    <t>Piston motion control of a free-piston engine generator: A new approach using cascade control</t>
  </si>
  <si>
    <t>https://doi.org/10.1016/j.apenergy.2016.07.081</t>
  </si>
  <si>
    <t>NOT MATCHED || Engineering and Physical Sciences Research Council; EPSRC</t>
  </si>
  <si>
    <t>Spermatogenesis and steroid hormone profile in puberty of laboratory-reared common snook (Centropomus undecimalis)</t>
  </si>
  <si>
    <t>https://doi.org/10.1016/j.aquaculture.2018.10.031</t>
  </si>
  <si>
    <t>Conselho Nacional de Desenvolvimento Científico e Tecnológico; National Council for Scientific and Technological Development; Brazilian National Council for Research and Development; CNPq || NOT MATCHED</t>
  </si>
  <si>
    <t>Momentum Change Flow Meter With Pressure Compensation Using FBGs</t>
  </si>
  <si>
    <t>https://doi.org/10.1109/JSEN.2016.2594135</t>
  </si>
  <si>
    <t>Enterprise Ireland || NOT MATCHED</t>
  </si>
  <si>
    <t>https://openalex.org/funders/f4320320834</t>
  </si>
  <si>
    <t>The Efficacy of Violence Prediction: A Meta-Analytic Comparison of Nine Risk Assessment Tools</t>
  </si>
  <si>
    <t>https://doi.org/10.1037/a0020473</t>
  </si>
  <si>
    <t>National Institute for Health and Care Research; NIHR; National Institute for Health Research || National Institute for Health and Care Research; NIHR; National Institute for Health Research</t>
  </si>
  <si>
    <t>https://openalex.org/funders/f4320319990</t>
  </si>
  <si>
    <t>Modeling of Permeability in Stratified Sands Using a Wave-Propagation Method</t>
  </si>
  <si>
    <t>https://doi.org/10.1061/(ASCE)GM.1943-5622.0001138</t>
  </si>
  <si>
    <t>Department of Science and Innovation, South Africa; The Department of Science and Technology; DSI; South African Department of Science and Innovation</t>
  </si>
  <si>
    <t>https://openalex.org/funders/f4320317010</t>
  </si>
  <si>
    <t>Photochemical Behavior of Beryllium Complexes with Subporphyrazines and Subphthalocyanines</t>
  </si>
  <si>
    <t>https://doi.org/10.1021/acs.jpca.5b12374</t>
  </si>
  <si>
    <t>Ministerio de Economía y Competitividad; MINECO; MEC; Ministry of Economy and Competitiveness || NOT MATCHED || NOT MATCHED</t>
  </si>
  <si>
    <t>Nutrient-regulated transcriptional responses in the brown tide-forming alga Aureococcus anophagefferens</t>
  </si>
  <si>
    <t>https://doi.org/10.1111/j.1462-2920.2010.02351.x</t>
  </si>
  <si>
    <t>National Oceanic and Atmospheric Administration; NOAA; National Oceanic &amp; Atmospheric Administration || Woods Hole Oceanographic Institution; Woods Hole Oceanographic Inst.; WHOI; The Woods Hole Oceanographic Institution || NOT MATCHED || Coastal Ocean Institute; OI || U.S. Environmental Protection Agency; US Environmental Protection Agency; EPA; United States Environmental Protection Agency; Environmental Protection Agency; USEPA; U.S. EPA; US EPA; Agencia de Protección Ambiental de Estados Unidos || NOT MATCHED || Biological and Environmental Research; BER; Biological &amp; Environmental Research; DOE Office of Science's Biological and Environmental Research; Office of Biological and Environmental Research; Department of Energy's Office of Biological and Environmental Research || Lawrence Berkeley National Laboratory; Lawrence Berkeley Lab; Lawrence Berkeley National Laboratory – Berkeley Lab; Lawrence Berkeley National Lab; LBNL; Berkeley Lab || Lawrence Livermore National Laboratory; LLNL; Lawrence Livermore National Lab || Los Alamos National Laboratory; Los Alamos Lab; LANL; Los Alamos National Lab || National Institute of Environmental Health Sciences; The National Institute of Environmental Health Sciences; NIH National Institute of Environmental Health Sciences; NIEHS</t>
  </si>
  <si>
    <t>https://openalex.org/funders/f4320308861 || https://openalex.org/funders/f4320306107 || https://openalex.org/funders/f4320338304 || https://openalex.org/funders/f4320337509 || https://openalex.org/funders/f4320333073 || https://openalex.org/funders/f4320338292 || https://openalex.org/funders/f4320337361 || https://openalex.org/funders/f4320332181 || https://openalex.org/funders/f4320338286</t>
  </si>
  <si>
    <t>TrustLend: Using Borrower Trustworthiness for Lending on Ethereum</t>
  </si>
  <si>
    <t>https://doi.org/10.5220/0011151900003283</t>
  </si>
  <si>
    <t>Lembaga Pengelola Dana Pendidikan; Education Fund Management Institute; LPDP || NOT MATCHED</t>
  </si>
  <si>
    <t>https://openalex.org/funders/f4320328515</t>
  </si>
  <si>
    <t>Analysis of three independent real-world driving studies: A data driven and expert analysis approach to determining parameters affecting fuel economy</t>
  </si>
  <si>
    <t>https://doi.org/10.1016/j.trd.2014.08.021</t>
  </si>
  <si>
    <t>NOT MATCHED || European Commission; Europeiska kommissionen; Ευρωπαϊκής Επιτροπής; Comisia Europeană; Europese Commissie; Euroopa Komisjoni; Eiropas Komisiju; Euroopan komission; Europskoj komisiji; EU; Choimisiúin Eorpaigh; EU-Kommissionen; Evropski komisiji; EC; Comisión Europea; Europos Komisijos; Europäische Kommission; La Commissione europea; Evropské komise; Comissão Europeia; Európskej komisii; Европейската комисия; Európai Bizottságról; Komisja Europejska; Commissione europea; European Union; Commission européenne || NOT MATCHED || Ministry of Science, ICT and Future Planning; MSIP || Ministry of Trade, Industry and Energy; MOTIE; Ministry of Trade, Industry and Energy, Korea</t>
  </si>
  <si>
    <t>https://openalex.org/funders/f4320321681 || https://openalex.org/funders/f4320322030 || https://openalex.org/funders/f4320320300</t>
  </si>
  <si>
    <t>Spp24 Derivatives Stimulate a G(i)-Protein Coupled Receptor-Erk1/2 Signaling Pathway and Modulate Gene Expressions in W-20-17 Cells</t>
  </si>
  <si>
    <t>https://doi.org/10.1002/jcb.25032</t>
  </si>
  <si>
    <t>U.S. Department of Veterans Affairs; United States Department of Veterans Affairs; Veterans Affairs; Veterans Affairs Department; Department of Veterans Affairs; US Department of Veterans Affairs; VA; U.S. Dept. of Veterans Affairs; USDVA || Research and Development; State Science and Technology Commission</t>
  </si>
  <si>
    <t>https://openalex.org/funders/f4320306127 || https://openalex.org/funders/f4320337504</t>
  </si>
  <si>
    <t>Experimental and theoretical studies on compositions, structures, and IR and NMR spectra of functionalized protic ionic liquids</t>
  </si>
  <si>
    <t>https://doi.org/10.1039/c6cp03293a</t>
  </si>
  <si>
    <t>Iron oxide/manganese oxide co-loaded hybrid nanogels as pH-responsive magnetic resonance contrast agents</t>
  </si>
  <si>
    <t>https://doi.org/10.1016/j.biomaterials.2015.02.101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</si>
  <si>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Program for New Century Excellent Talents in University; New Century Excellent Talents Program; Program for New Century Excellent Talents; NCET || NOT MATCHED</t>
  </si>
  <si>
    <t>https://openalex.org/funders/f4320334924 || https://openalex.org/funders/f4320321001</t>
  </si>
  <si>
    <t>The Efficacy of Autologous Platelet Rich Plasma Combined with Ablative Carbon Dioxide Fractional Resurfacing for Acne Scars: A Simultaneous Split-Face Trial</t>
  </si>
  <si>
    <t>https://doi.org/10.1111/j.1524-4725.2011.01999.x</t>
  </si>
  <si>
    <t>Chung-Ang University; CAU</t>
  </si>
  <si>
    <t>https://openalex.org/funders/f4320321202</t>
  </si>
  <si>
    <t>Erythrocytes From Patients With Type 2 Diabetes Induce Endothelial Dysfunction Via Arginase I</t>
  </si>
  <si>
    <t>https://doi.org/10.1016/j.jacc.2018.05.052</t>
  </si>
  <si>
    <t>Vetenskapsrådet; VR; Swedish Research Council || Hjärt-Lungfonden; Swedish Heart-Lung Foundation || Stockholms Läns Landsting; Stockholm County Council || NOT MATCHED || NOT MATCHED || Novo Nordisk Fonden; Novo Nordic Foundation; NNF; The Novo Nordisk Foundation; Novo Nordisk Foundation || Diabetes Research and Wellness Foundation; Diabetes Research &amp; Wellness Foundation; DRWF; Diabetes Research and Wellness Foundation UK || NOT MATCHED || Cancerföreningen i Stockholm; Cancer Society in Stockholm || NOT MATCHED</t>
  </si>
  <si>
    <t>https://openalex.org/funders/f4320322169 || https://openalex.org/funders/f4320322581 || https://openalex.org/funders/f4320324250 || https://openalex.org/funders/f4320319991 || https://openalex.org/funders/f4320322570 || https://openalex.org/funders/f4320325957</t>
  </si>
  <si>
    <t>The SEMIOTIC Ecosystem: A Semantic Bridge between IoT Devices and Smart Spaces</t>
  </si>
  <si>
    <t>https://doi.org/10.1145/3527241</t>
  </si>
  <si>
    <t>Defense Advanced Research Projects Agency; US Defense Advanced Research Projects Agency; DARPA; U.S. Defense Advanced Research Projects Agency; United States Defense Advanced Research Projects Agency; The Defense Advanced Research Projects Agency || National Science Foundation; U.S. National Science Foundation; USA NSF; USNSF; NSF; US National Science Foundation; US NSF</t>
  </si>
  <si>
    <t>https://openalex.org/funders/f4320306076 || https://openalex.org/funders/f4320332180</t>
  </si>
  <si>
    <t>Focusing plasma jets to achieve high current density: Feasibility and opportunities for applications in debris removal and space exploration</t>
  </si>
  <si>
    <t>https://doi.org/10.1016/j.ast.2020.106343</t>
  </si>
  <si>
    <t>NOT MATCHED || Instituto de Estudos Avançados da Universidade de São Paulo; IEA; IEA USP; Instituto de Estudos Avançados; Institute of Advanced Studies of the University of Sao Paulo; Institute of Advanced Studies; Institute of Advanced Studies of the University of São Paulo || Science and Engineering Faculty, Queensland University of Technology; Science and Engineering Faculty, QUT; QUT Science and Engineering Faculty; Science and Engineering, QUT || National Institute of Education; NIE || National Research Foundation; NRF || NOT MATCHED || Science and Engineering Faculty, Queensland University of Technology; Science and Engineering Faculty, QUT; QUT Science and Engineering Faculty; Science and Engineering, QUT || Australian Research Council; The Australian Research Council; ARC || Australian National University; ANU; The Australian National University || National Research Foundation of Ukraine; Національний фонд досліджень України; NRFU</t>
  </si>
  <si>
    <t>https://openalex.org/funders/f4320320431 || https://openalex.org/funders/f4320334704 || https://openalex.org/funders/f4320318013 || https://openalex.org/institutions/i4403928426 || https://openalex.org/funders/f4320323652 || https://openalex.org/funders/f4320336686 || https://openalex.org/funders/f4320320671</t>
  </si>
  <si>
    <t>Theoretical study of a thermoelectric-assisted vapor compression cycle for air-source heat pump applications</t>
  </si>
  <si>
    <t>https://doi.org/10.1016/j.ijrefrig.2014.12.001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</si>
  <si>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</t>
  </si>
  <si>
    <t>Evaluation of the Techniques to Mitigate Early Shrinkage Cracking through an Image Analysis Methodology</t>
  </si>
  <si>
    <t>https://doi.org/10.1111/str.12191</t>
  </si>
  <si>
    <t>Ministerio de Economía y Competitividad; MINECO; MEC; Ministry of Economy and Competitiveness || Junta de Comunidades de Castilla-La Mancha; Regional Government of Castile-La Mancha; JCCM; Castile-La Mancha Regional Government</t>
  </si>
  <si>
    <t>https://openalex.org/funders/f4320327216 || https://openalex.org/funders/f4320321837</t>
  </si>
  <si>
    <t>Ionic Liquid-Based Ultrasonic-Assisted Extraction of Secoisolariciresinol Diglucoside from Flaxseed (Linum usitatissimum L.) with Further Purification by an Aqueous Two-Phase System</t>
  </si>
  <si>
    <t>https://doi.org/10.3390/molecules201017929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</si>
  <si>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Agricultural Science and Technology Innovation Program; ASTIP</t>
  </si>
  <si>
    <t>https://openalex.org/funders/f4320335848 || https://openalex.org/funders/f4320321001</t>
  </si>
  <si>
    <t>A Novel and Fast Purification Method for Nucleoside Transporters</t>
  </si>
  <si>
    <t>https://doi.org/10.3389/fmolb.2016.00023</t>
  </si>
  <si>
    <t>NOT MATCHED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Royal Society; The Royal Society || Wellcome Trust; The Wellcome Trust; WT; Wellcome || Biotechnology and Biological Sciences Research Council; BBSRC; The Biotechnology And Biological Sciences Research Council || Academy of Finland; Suomen Akatemia; AKA; The Academy of Finland; Finlands Akademi || China Scholarship Council; CSC || Biotechnology and Biological Sciences Research Council; BBSRC; The Biotechnology And Biological Sciences Research Council</t>
  </si>
  <si>
    <t>https://openalex.org/funders/f4320320006 || https://openalex.org/funders/f4320334629 || https://openalex.org/funders/f4320322725 || https://openalex.org/funders/f4320311904 || https://openalex.org/funders/f4320321001 || https://openalex.org/funders/f4320321108</t>
  </si>
  <si>
    <t>You get a completely different feeling' - an empirical exploration of emotions and their functions in digital frontline work 'Du far en helt annen feeling' - en empirisk undersokelse av folelser og deres funksjon i digitalt forstelinjearbeid</t>
  </si>
  <si>
    <t>https://doi.org/10.1080/13691457.2021.2016650</t>
  </si>
  <si>
    <t>NOT MATCHED || Norges Forskningsråd; Forskningsrådet; Research Council of Norway; Norwegian Research Council || Norges Forskningsråd; Forskningsrådet; Research Council of Norway; Norwegian Research Council</t>
  </si>
  <si>
    <t>https://openalex.org/funders/f4320323299</t>
  </si>
  <si>
    <t>AMPK alpha 2 Deletion Causes Aberrant Expression and Activation of NAD(P)H Oxidase and Consequent Endothelial Dysfunction In Vivo Role of 26S Proteasomes</t>
  </si>
  <si>
    <t>https://doi.org/10.1161/CIRCRESAHA.109.212530</t>
  </si>
  <si>
    <t>National Institutes of Health; US National Institutes of Health; Institutos Nacionales de la Salud; NIH || American Diabetes Association; American Diabetes Association, Inc.; ADA; AmDiabetesAssn; American Diabetes Association Inc; Asociación Americana de la Diabetes; American Diabetes Assn; American Diabetes Association Inc. || Juvenile Diabetes Research Foundation United States of America; JDRF International; JDRF || Oklahoma Center for the Advancement of Science and Technology; Oklahoma Center for the Advancement of Science &amp; Technology; Center for Advancement of Science &amp; Technology; OK Center for the Advancement of Science And Technology; OCAST || NOT MATCHED || University of Oklahoma Health Sciences Center; OU Health Sciences Center; OUHSC || NOT MATCHED || American Heart Association; AMERICAN HEART ASSOCIATION INC; AMERICAN HEART ASSN.; American Heart Association, Inc.; AHA; American Heart Assn; AMERICAN HEART ASSOC.; American Heart Association, Inc || National Heart, Lung, and Blood Institute; NIH\/National Heart, Lung and Blood Institute; National Heart Lung &amp; Blood Institute; NHLBI</t>
  </si>
  <si>
    <t>https://openalex.org/funders/f4320332607 || https://openalex.org/funders/f4320337338 || https://openalex.org/funders/f4320306089 || https://openalex.org/funders/f4320306230 || https://openalex.org/funders/f4320310627 || https://openalex.org/funders/f4320310820 || https://openalex.org/funders/f4320332161</t>
  </si>
  <si>
    <t>Expression of the cervical carcinoma expressed PCNA regulatory (CCEPR) long noncoding RNA is driven by the human papillomavirus E6 protein and modulates cell proliferation independent of PCNA</t>
  </si>
  <si>
    <t>https://doi.org/10.1016/j.virol.2018.01.031</t>
  </si>
  <si>
    <t>U.S. Public Health Service; USPHS; United States Public Health Service || National Cancer Institute; NCI; Instituto Nacional del Cáncer</t>
  </si>
  <si>
    <t>https://openalex.org/funders/f4320337351 || https://openalex.org/funders/f4320332505</t>
  </si>
  <si>
    <t>JP2: Call-site aware calling context profiling for the Java Virtual Machine</t>
  </si>
  <si>
    <t>https://doi.org/10.1016/j.scico.2011.11.003</t>
  </si>
  <si>
    <t>Schweizerischer Nationalfonds zur Förderung der Wissenschaftlichen Forschung; Fondo Nazionale Svizzero; Fonds National Suisse; Schweizerische Nationalfonds; Fondo Nazionale Svizzero per la Ricerca Scientifica; SNSF; Fonds National Suisse de la Recherche Scientifique; Swiss National Science Foundation; FNS; SNF; Schweizerischer Nationalfonds || Center for Advanced Security Research Darmstadt; CASED</t>
  </si>
  <si>
    <t>https://openalex.org/institutions/i4394709159 || https://openalex.org/funders/f4320320924</t>
  </si>
  <si>
    <t>Managing the almond and stone fruit replant disease complex with less soil fumigant</t>
  </si>
  <si>
    <t>https://doi.org/10.3733/ca.v067n03p128</t>
  </si>
  <si>
    <t>NOT MATCHED || Almond Board of California || Agricultural Experiment Station; AES NMSU; NMSU AES; New Mexico State University Agricultural Experiment Station; Agricultural Experiment Station, New Mexico State University || NOT MATCHED || NOT MATCHED || NOT MATCHED || NOT MATCHED || NOT MATCHED</t>
  </si>
  <si>
    <t>https://openalex.org/institutions/i4392738051 || https://openalex.org/funders/f4320310099</t>
  </si>
  <si>
    <t>Clinical Phrase Mining with Language Models</t>
  </si>
  <si>
    <t>https://doi.org/10.1109/BIBM49941.2020.9313496</t>
  </si>
  <si>
    <t>Patient-Centered Outcomes Research Institute; Patient Centered Outcomes Research Institute; The Patient-Centered Outcomes Research Institute; PCORI || Army Research Office; ARO; United States Army Research Office; U.S. Army Research Office; US Army Research Office; U.S. Army Research Laboratory's Army Research Office || National Science Foundation; U.S. National Science Foundation; USA NSF; USNSF; NSF; US National Science Foundation; US NSF || Ohio Supercomputer Center; The Ohio Supercomputer Center; OSC</t>
  </si>
  <si>
    <t>https://openalex.org/funders/f4320306076 || https://openalex.org/funders/f4320317189 || https://openalex.org/funders/f4320308927 || https://openalex.org/funders/f4320338281</t>
  </si>
  <si>
    <t>Anomalies of Seismic Activity and Transient Crustal Deformations Preceding the 2005 M 7.0 Earthquake West of Fukuoka</t>
  </si>
  <si>
    <t>https://doi.org/10.1007/s00024-010-0096-y</t>
  </si>
  <si>
    <t>Japan Society for the Promotion of Science; Grants-in-Aid for Scientific Research; Grants-in-Aid for Scientific Research Program; KAKENHI; 日本学術振興会; KAKEN; JSPS || The Institute of Statistical Mathematics; ISM; 統計数理研究所 || NOT MATCHED</t>
  </si>
  <si>
    <t>https://openalex.org/funders/f4320334764 || https://openalex.org/institutions/i4210134673</t>
  </si>
  <si>
    <t>Generating customised experimental stimuli for visual search using Genetic Algorithms shows evidence for a continuum of search efficiency</t>
  </si>
  <si>
    <t>https://doi.org/10.1016/j.visres.2008.11.006</t>
  </si>
  <si>
    <t>Raman spectroscopy of selected borate minerals of the pinakiolite group</t>
  </si>
  <si>
    <t>https://doi.org/10.1002/jrs.2745</t>
  </si>
  <si>
    <t>Queensland University of Technology; QUT || Australian Research Council; The Australian Research Council; ARC</t>
  </si>
  <si>
    <t>https://openalex.org/funders/f4320334704 || https://openalex.org/funders/f4320320983</t>
  </si>
  <si>
    <t>Is a patient-specific drill template via a cortical bone trajectory safe in cervical anterior transpedicular insertion?</t>
  </si>
  <si>
    <t>https://doi.org/10.1186/s13018-018-0810-5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</si>
  <si>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 || NOT MATCHED</t>
  </si>
  <si>
    <t>The trapping problem of the weighted scale-free treelike networks for two kinds of biased walks</t>
  </si>
  <si>
    <t>https://doi.org/10.1063/1.5045829</t>
  </si>
  <si>
    <t>Fire Protection of Steel Structures with Epoxy Coatings under Cryogenic Exposure</t>
  </si>
  <si>
    <t>https://doi.org/10.3390/buildings11110537</t>
  </si>
  <si>
    <t>Ministry of Science and Higher Education of the Russian Federation; Ministry of Science and Higher Education (Russia); Федеральная целевая программа; МИНИСТЕРСТВО НАУКИ И ВЫСШЕГО ОБРАЗОВАНИЯ РОССИЙСКОЙ ФЕДЕРАЦИИ; Ministry of Science and Higher Education</t>
  </si>
  <si>
    <t>https://openalex.org/funders/f4320327494</t>
  </si>
  <si>
    <t>Growth temperature control of the epitaxy, magnetism, and transport in SrTiO3(001)/La0.5Sr0.5CoO3 thin films</t>
  </si>
  <si>
    <t>https://doi.org/10.1116/1.3622621</t>
  </si>
  <si>
    <t>National Science Foundation; U.S. National Science Foundation; USA NSF; USNSF; NSF; US National Science Foundation; US NSF || U.S. Department of Energy; US Department of Energy; DOE; United States Department of Energy; Department of Energy; USDOE; Energy Department; ENERGY.GOV; USADOE; US DOE || Division of Materials Sciences and Engineering; DMSE || Ministerio de Economía y Competitividad; MINECO; MEC; Ministry of Economy and Competitiveness || European Research Council; ERC</t>
  </si>
  <si>
    <t>https://openalex.org/funders/f4320306076 || https://openalex.org/funders/f4320306084 || https://openalex.org/funders/f4320334678 || https://openalex.org/funders/f4320321837 || https://openalex.org/funders/f4320338483</t>
  </si>
  <si>
    <t>Achievable delay margin using LTI control for plants with unstable complex poles</t>
  </si>
  <si>
    <t>https://doi.org/10.1007/s11432-017-9185-6</t>
  </si>
  <si>
    <t>Synthesis and magnetic property of Eu doped Pb-5(VO4)(3)OH rod bunches</t>
  </si>
  <si>
    <t>https://doi.org/10.1016/j.physe.2012.07.003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</si>
  <si>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Natural Science Foundation Project of Chongqing, Chongqing Science and Technology Commission; Natural Science Foundation Project of CQ CSTC || NOT MATCHED || NOT MATCHED</t>
  </si>
  <si>
    <t>https://openalex.org/funders/f4320327726 || https://openalex.org/funders/f4320321001</t>
  </si>
  <si>
    <t>Reliability modelling for linear and circular k-out-of-n: F systems with shared components</t>
  </si>
  <si>
    <t>https://doi.org/10.1016/j.ress.2021.108172</t>
  </si>
  <si>
    <t>Prospective Study Reveals Associations Between Colorectal Cancer and Type 2 Diabetes Mellitus or Insulin Use in Men</t>
  </si>
  <si>
    <t>https://doi.org/10.1053/j.gastro.2010.06.072</t>
  </si>
  <si>
    <t>American Cancer Society; ACS, INC.; American Cancer Society, Inc.; Sociedad Americana Contra El Cáncer; AMERICAN CANCER SOCIETY INC; American Cancer Society Inc.; ACS; The American Cancer Society; American Cancer Society, Inc</t>
  </si>
  <si>
    <t>https://openalex.org/funders/f4320306095</t>
  </si>
  <si>
    <t>Centralized and Decentralized Signal Control with Short-Term Origin-Destination Demand for Network Traffic</t>
  </si>
  <si>
    <t>https://doi.org/10.1155/2022/5806160</t>
  </si>
  <si>
    <t>Natural Sciences and Engineering Research Council of Canada; CRSNG; NSERC; Conseil de Recherches en Sciences Naturelles et en Génie du Canada || NOT MATCHED || Transport Canada; Transports Canada || NOT MATCHED || Compute Canada; Calcul Canada</t>
  </si>
  <si>
    <t>https://openalex.org/funders/f4320315159 || https://openalex.org/funders/f4320334593 || https://openalex.org/funders/f4320314000</t>
  </si>
  <si>
    <t>C-elegans MRP-5 Exports Vitamin B12 from Mother to Offspring to Support Embryonic Development</t>
  </si>
  <si>
    <t>https://doi.org/10.1016/j.celrep.2018.02.100</t>
  </si>
  <si>
    <t>National Institutes of Health; US National Institutes of Health; Institutos Nacionales de la Salud; NIH || Office of Research Infrastructure Programs, National Institutes of Health; NIH-ORIP; ORIP; The Office of Research Infrastructure Programs; ORIP, NIH || National Institute of Diabetes and Digestive and Kidney Diseases; NIH\/National Institute of Diabetes, Digestive &amp; Kidney Diseases; NIH National Institute of Diabetes and Digestive and Kidney Diseases; NIDDK; National Institute of Diabetes &amp; Digestive &amp; Kidney Diseases || National Institutes of Health; US National Institutes of Health; Institutos Nacionales de la Salud; NIH</t>
  </si>
  <si>
    <t>https://openalex.org/funders/f4320332161 || https://openalex.org/funders/f4320337901 || https://openalex.org/funders/f4320337357</t>
  </si>
  <si>
    <t>A national US study of posttraumatic stress disorder, depression, and work and functional outcomes after hospitalization for traumatic injury</t>
  </si>
  <si>
    <t>https://doi.org/10.1097/SLA.0b013e318185a6b8</t>
  </si>
  <si>
    <t>National Center for Injury Prevention and Control; National Center for Injury Prevention &amp; Control; CDC National Center for Injury Prevention and Control; CDC's Injury Center; NCIPC; CDC's National Center for Injury Prevention and Control; Injury Prevention &amp; Control || Centers for Disease Control and Prevention; CDC; Centers for Disease Control; U.S. CDC; Centros para el Control y la Prevención de Enfermedades; United States Centers for Disease Control and Prevention; U.S. Centers for Disease Control and Prevention; Centers for Disease Control &amp; Prevention || Institute of Aging; IV; l'Institut du vieillissement; Institut du Vieillissement; IA || National Institute of Mental Health; Instituto Nacional de la Salud Mental; NIMH; Mental Health NIMH || Eunice Kennedy Shriver National Institute of Child Health and Human Development; NIH Eunice Kennedy Shriver National Institute of Child Health and Human Development; NIH Eunice Kennedy Shriver National Institute of Child Health &amp; Human Development; Eunice Kennedy Shriver National Institute of Child Health and Human Development at the National Institutes of Health; NICHD; National Institutes of Health\/Eunice Kennedy Shriver National Institute of Child Health &amp; Human Development; Eunice Kennedy Shriver National Institute of Child Health &amp; Human Development; Instituto Nacional de Salud Infantil y Desarrollo Humano Eunice Kennedy Shriver; NIH\/NICHD; Eunice Kennedy Shriver National Institute of Child Health and Human Development of the National Institutes of Health; NIH\/Eunice Kennedy Shriver National Institute of Child Health and Human Development || National Institute of Mental Health; Instituto Nacional de la Salud Mental; NIMH; Mental Health NIMH</t>
  </si>
  <si>
    <t>https://openalex.org/funders/f4320337417 || https://openalex.org/funders/f4320337611 || https://openalex.org/funders/f4320337346 || https://openalex.org/funders/f4320332162 || https://openalex.org/funders/f4320338062</t>
  </si>
  <si>
    <t>Spin-dependent gravitational tail memory in D=4</t>
  </si>
  <si>
    <t>https://doi.org/10.1103/PhysRevD.105.025024</t>
  </si>
  <si>
    <t>Infosys Foundation; Infosys (India) || Simons Foundation; The Simons Foundation; SF; The Simons Foundation Inc.; The Simons Foundation, Inc.; The Simons Foundation, Inc; The Simons Foundation Inc; Simons Foundation Inc || NOT MATCHED</t>
  </si>
  <si>
    <t>https://openalex.org/funders/f4320322753 || https://openalex.org/funders/f4320306164</t>
  </si>
  <si>
    <t>A Critical Compressive Stress for Increasing the Oxidation Kinetics of Fe-20Cr Alloy Oxidized at 900 A degrees C</t>
  </si>
  <si>
    <t>https://doi.org/10.1007/s11085-009-9143-4</t>
  </si>
  <si>
    <t>THE AVERAGE STAR FORMATION HISTORIES OF GALAXIES IN DARK MATTER HALOS FROM z=0-8</t>
  </si>
  <si>
    <t>https://doi.org/10.1088/0004-637X/770/1/57</t>
  </si>
  <si>
    <t>NOT MATCHED || Space Telescope Science Institute; Space Telescope Science Inst.; STScI || National Aeronautics and Space Administration; US National Aeronautics &amp; Space Administration; United States National Aeronautics and Space Administration; NASA; National Aeronautics &amp; Space Administration || National Science Foundation; U.S. National Science Foundation; USA NSF; USNSF; NSF; US National Science Foundation; US NSF || NOT MATCHED</t>
  </si>
  <si>
    <t>https://openalex.org/funders/f4320306101 || https://openalex.org/funders/f4320314503 || https://openalex.org/funders/f4320306076</t>
  </si>
  <si>
    <t>Alignment between vertical and horizontal coordination for food quality and safety in Indonesian vegetable chains</t>
  </si>
  <si>
    <t>https://doi.org/10.1186/s40100-022-00215-w</t>
  </si>
  <si>
    <t>Kementerian Pendidikan dan Kebudayaan; Ministry of Education and Culture</t>
  </si>
  <si>
    <t>https://openalex.org/funders/f4320323563</t>
  </si>
  <si>
    <t>Coaxial electrospinning multicomponent functional controlled-release vascular graft: Optimization of graft properties</t>
  </si>
  <si>
    <t>https://doi.org/10.1016/j.colsurfb.2017.01.045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</si>
  <si>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China Postdoctoral Science Foundation || NOT MATCHED || Project 211; Double First Class University Plan; Program of Introducing Talents of Discipline to Universities; 111 Plan</t>
  </si>
  <si>
    <t>https://openalex.org/funders/f4320335785 || https://openalex.org/funders/f4320321001 || https://openalex.org/funders/f4320321543</t>
  </si>
  <si>
    <t>Resting-state functional connectivity analysis of the mouse brain using intrinsic optical signal imaging of cerebral blood volume dynamics</t>
  </si>
  <si>
    <t>https://doi.org/10.1088/1361-6579/aac033</t>
  </si>
  <si>
    <t>Matrilin-2 Is Proteolytically Cleaved by ADAMTS-4 and ADAMTS-5</t>
  </si>
  <si>
    <t>https://doi.org/10.3390/molecules19068472</t>
  </si>
  <si>
    <t>National Institutes of Health; US National Institutes of Health; Institutos Nacionales de la Salud; NIH || Arthritis Foundation; The Arthritis Foundation, Inc.; The Arthritis Foundation Inc; The Arthritis Foundation; Arthritis Foundation Inc.; The Arthritis Foundation, Inc; Arthritis Foundation Inc; Arthritis Foundation, Inc.; AF || NOT MATCHED || National Institute of General Medical Sciences; NIGMS; U.S. National Institute of General Medical Sciences</t>
  </si>
  <si>
    <t>https://openalex.org/funders/f4320332161 || https://openalex.org/funders/f4320337354 || https://openalex.org/funders/f4320306237</t>
  </si>
  <si>
    <t>Deuterated N-difluoromethylthiophthalimide: A stable, scalable reagent for radical and electrophilic deuteriodifluoromethylthiolations</t>
  </si>
  <si>
    <t>https://doi.org/10.1016/j.cclet.2022.01.013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</si>
  <si>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Fundamental Research Funds for the Central Universities; Fundamental Research Funds for the Central Universities of China; Fundamental Research Fund for the Central Universities || Natural Science Foundation of Jiangsu Province; Jiangsu Provincial Natural Science Foundation; Jiangsu Natural Science Foundation; Jiangsu Province Natural Science Foundation || China Postdoctoral Science Foundation || Priority Academic Program Development of Jiangsu Higher Education Institutions; PAPD || NOT MATCHED</t>
  </si>
  <si>
    <t>https://openalex.org/funders/f4320322769 || https://openalex.org/funders/f4320327518 || https://openalex.org/funders/f4320321001 || https://openalex.org/funders/f4320321543 || https://openalex.org/funders/f4320335787</t>
  </si>
  <si>
    <t>Primer evaluation and development of a droplet digital PCR protocol targeting amoA genes for the quantification of Comammox in lakes</t>
  </si>
  <si>
    <t>https://doi.org/10.1038/s41598-021-82613-6</t>
  </si>
  <si>
    <t>Multiple heteroatom-doped photoluminescent carbon dots for ratiometric detection of Hg2+ ions in cell imaging and environmental applications</t>
  </si>
  <si>
    <t>https://doi.org/10.1039/d1ay02077c</t>
  </si>
  <si>
    <t>Adaptive Frequency-Domain Channel Estimator in 4 x 4 MIMO-OFDM Modems</t>
  </si>
  <si>
    <t>https://doi.org/10.1109/TVLSI.2008.2005672</t>
  </si>
  <si>
    <t>National Science Council; National Science Council, Taiwan; National Science Council of Taiwan; NSC</t>
  </si>
  <si>
    <t>Effect of a model predictive control on the design of a power take-off system for wave converters</t>
  </si>
  <si>
    <t>https://doi.org/10.1016/j.apor.2021.102836</t>
  </si>
  <si>
    <t>Pawsey Supercomputing Research Centre; PSC; Pawsey Supercomputing Centre || Australian Government; Federal Government; Commonwealth Government of Australia; Commonwealth Government; Government of Australia || Government of Western Australia; Western Australian Government; WA Government</t>
  </si>
  <si>
    <t>https://openalex.org/funders/f4320315885 || https://openalex.org/institutions/i2801909468 || https://openalex.org/funders/f4320326768</t>
  </si>
  <si>
    <t>Extended tuning of mid-ir quantum cascade lasers using integrated resistive heaters</t>
  </si>
  <si>
    <t>https://doi.org/10.1364/OE.23.029715</t>
  </si>
  <si>
    <t>Dunkl's Theory and Jackson's Theorem in the Space L-2(R-d) with Power Weight</t>
  </si>
  <si>
    <t>https://doi.org/10.1134/S0081543811050099</t>
  </si>
  <si>
    <t>Asymptotic nonlinear stability of a composite wave of two traveling waves to a chemotaxis model</t>
  </si>
  <si>
    <t>https://doi.org/10.1002/mma.4355</t>
  </si>
  <si>
    <t>An Image Guided Algorithm for Range Map Super-resolution</t>
  </si>
  <si>
    <t>https://doi.org/10.1117/12.2288074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</si>
  <si>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International Cooperation Project of Ningbo City; International Science and Technology Cooperation Project of Ningbo City; 宁波市国际科技合作项目</t>
  </si>
  <si>
    <t>https://openalex.org/funders/f4320336547 || https://openalex.org/funders/f4320321001</t>
  </si>
  <si>
    <t>Assessment of absorbed power density and temperature rise for nonplanar body model under electromagnetic exposure above 6 GHz</t>
  </si>
  <si>
    <t>https://doi.org/10.1088/1361-6560/abbdb7</t>
  </si>
  <si>
    <t>Ministry of Internal Affairs and Communications; MIC</t>
  </si>
  <si>
    <t>https://openalex.org/funders/f4320325628</t>
  </si>
  <si>
    <t>Desulfurization of Model Oil Containing Dibenzothiophene or 4,6-Dimethyl Dibenzothiophene by Alginate Immobilized Cells</t>
  </si>
  <si>
    <t>https://doi.org/10.4028/www.scientific.net/AMR.233-235.1171</t>
  </si>
  <si>
    <t>Oblique incidence properties of locally resonant sonic materials with resonance and Bragg scattering effects</t>
  </si>
  <si>
    <t>https://doi.org/10.1088/1674-1056/22/7/074302</t>
  </si>
  <si>
    <t>Challenges in integrative approaches to modelling the marine ecosystems of the North Atlantic: Physics to fish and coasts to ocean</t>
  </si>
  <si>
    <t>https://doi.org/10.1016/j.pocean.2014.04.024</t>
  </si>
  <si>
    <t>NOT MATCHED || NOT MATCHED || Natural Environment Research Council; NERC || Natural Environment Research Council; NERC</t>
  </si>
  <si>
    <t>https://openalex.org/funders/f4320334631</t>
  </si>
  <si>
    <t>Drug safety Africa: An overview of safety pharmacology &amp; toxicology in South Africa</t>
  </si>
  <si>
    <t>https://doi.org/10.1016/j.vascn.2019.106579</t>
  </si>
  <si>
    <t>Medical Research Council; MRC; UK Medical Research Council || Methodist Rehabilitation Center; MRC</t>
  </si>
  <si>
    <t>https://openalex.org/funders/f4320334626 || https://openalex.org/institutions/i4210140131</t>
  </si>
  <si>
    <t>Zoonotic vaccinia virus outbreaks in Brazil</t>
  </si>
  <si>
    <t>https://doi.org/10.2217/FVL.11.46</t>
  </si>
  <si>
    <t>Patients with systemic lupus erythematosus show increased proportions of CD19(+)CD20(-)B cells and secretion of related autoantibodies</t>
  </si>
  <si>
    <t>https://doi.org/10.1007/s10067-020-05220-2</t>
  </si>
  <si>
    <t>Natural Science Foundation of Anhui Province; 安徽省自然科学基金; Anhui Provincial Natural Science Foundation; NSF of Anhui Province || NOT MATCHED || NOT MATCHED || NOT MATCHED || NOT MATCHED</t>
  </si>
  <si>
    <t>https://openalex.org/funders/f4320334897</t>
  </si>
  <si>
    <t>Perceptions of ecosystem services, disservices and willingness-to-pay for urban green space conservation</t>
  </si>
  <si>
    <t>https://doi.org/10.1016/j.jenvman.2020.110140</t>
  </si>
  <si>
    <t>Huazhong University of Science and Technology; HUST</t>
  </si>
  <si>
    <t>https://openalex.org/funders/f4320321883</t>
  </si>
  <si>
    <t>Cross layer optimization for cloud-based radio over optical fiber networks</t>
  </si>
  <si>
    <t>https://doi.org/10.1016/j.yofte.2016.07.008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</si>
  <si>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Fundamental Research Funds for the Central Universities; Fundamental Research Funds for the Central Universities of China; Fundamental Research Fund for the Central Universities || State Key Laboratory of Information Photonics and Optical Communications; 信息光子学与光通信国家重点实验室; State Key Lab of Information Photonics and Optical Communications || National Science and Technology Planning Project; National Science and Technology Support Project of China; National Science and Technology Specific Project of China || State Key Laboratory of Advanced Optical Communication Systems and Networks; State Key Laboratory of Advanced Optical Communication Systems &amp; Networks; State Key Laboratory on Local Fiber-Optical Communication Networks and Advanced Optical Communication Systems; State Key Laboratory on Advanced Optical Communication Systems and Networks; LOCT</t>
  </si>
  <si>
    <t>https://openalex.org/funders/f4320335961 || https://openalex.org/institutions/i4391767763 || https://openalex.org/funders/f4320321001 || https://openalex.org/funders/f4320335787 || https://openalex.org/funders/f4320327025</t>
  </si>
  <si>
    <t>Human health risks associated with heavy metals in soil in different areas of San Luis Potosi, Mexico</t>
  </si>
  <si>
    <t>https://doi.org/10.1080/10807039.2015.1064760</t>
  </si>
  <si>
    <t>Consejo Nacional de Ciencia y Tecnología; National Council of Science and Technology, Mexico; CONACYT</t>
  </si>
  <si>
    <t>https://openalex.org/funders/f4320321739</t>
  </si>
  <si>
    <t>Hydrodynamics and water renewal in the Pearl River Estuary, China: A numerical study from the perspective of water age</t>
  </si>
  <si>
    <t>https://doi.org/10.1016/j.oceaneng.2021.109639</t>
  </si>
  <si>
    <t>Southern Marine Science and Engineering Guangdong Laboratory (Guangzhou); 南方海洋科学与工程广东省实验室; 南方海洋科学与工程广东省实验室（广州） || Guangdong Province Introduction of Innovative R&amp;D Team; Guangdong Innovative and Entrepreneurial Research Team Program; Introduction of Innovative R&amp;D Team Program of Guangdong Province; Guangdong Innovative Research Team Program || NOT MATCHED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</t>
  </si>
  <si>
    <t>https://openalex.org/funders/f4320333334 || https://openalex.org/funders/f4320321001 || https://openalex.org/funders/f4320330495</t>
  </si>
  <si>
    <t>Gender moderates the health-effects of job strain in managers</t>
  </si>
  <si>
    <t>https://doi.org/10.1007/s00420-009-0477-7</t>
  </si>
  <si>
    <t>Stifterverband; Donors Association for the Promotion of Humanities and Sciences in Germany; Stifterverband; Stifterverband für die Deutsche Wissenschaft</t>
  </si>
  <si>
    <t>https://openalex.org/funders/f4320325076</t>
  </si>
  <si>
    <t>Infectious disease isolation facility with advanced engineering design: Need of the hour Response</t>
  </si>
  <si>
    <t>https://doi.org/10.4103/0971-5916.286224</t>
  </si>
  <si>
    <t>A novel passive water sampler for in situ sampling of antibiotics</t>
  </si>
  <si>
    <t>https://doi.org/10.1039/c2em30091e</t>
  </si>
  <si>
    <t>NOT MATCHED || Commonwealth Scholarship Commission; CSC || Natural Environment Research Council; NERC</t>
  </si>
  <si>
    <t>https://openalex.org/funders/f4320320351 || https://openalex.org/funders/f4320334631</t>
  </si>
  <si>
    <t>Low temperature proton conduction in bulk nanometric TiO2 prepared by high-pressure field assisted sintering</t>
  </si>
  <si>
    <t>https://doi.org/10.1557/jmr.2012.158</t>
  </si>
  <si>
    <t>Fondazione Cariplo; Cariplo Foundation</t>
  </si>
  <si>
    <t>https://openalex.org/funders/f4320321499</t>
  </si>
  <si>
    <t>Obeticholic acid ameliorates obesity and hepatic steatosis by activating brown fat</t>
  </si>
  <si>
    <t>https://doi.org/10.3892/etm.2021.10423</t>
  </si>
  <si>
    <t>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Chinese Academy of Sciences; CAS; 中国科学院 || NOT MATCHED || NOT MATCHED</t>
  </si>
  <si>
    <t>https://openalex.org/funders/f4320335777 || https://openalex.org/funders/f4320321133 || https://openalex.org/funders/f4320321001</t>
  </si>
  <si>
    <t>An Elliptic Garnier System</t>
  </si>
  <si>
    <t>https://doi.org/10.1007/s00220-017-2934-6</t>
  </si>
  <si>
    <t>National Science Foundation; U.S. National Science Foundation; USA NSF; USNSF; NSF; US National Science Foundation; US NSF || National Science Foundation; U.S. National Science Foundation; USA NSF; USNSF; NSF; US National Science Foundation; US NSF</t>
  </si>
  <si>
    <t>Spanish-speaking Mexican-American families' involvement in school-based activities and their children's literacy: The implications of having teachers who speak Spanish and English</t>
  </si>
  <si>
    <t>https://doi.org/10.1016/j.ecresq.2011.09.001</t>
  </si>
  <si>
    <t>Eunice Kennedy Shriver National Institute of Child Health and Human Development; NIH Eunice Kennedy Shriver National Institute of Child Health and Human Development; NIH Eunice Kennedy Shriver National Institute of Child Health &amp; Human Development; Eunice Kennedy Shriver National Institute of Child Health and Human Development at the National Institutes of Health; NICHD; National Institutes of Health\/Eunice Kennedy Shriver National Institute of Child Health &amp; Human Development; Eunice Kennedy Shriver National Institute of Child Health &amp; Human Development; Instituto Nacional de Salud Infantil y Desarrollo Humano Eunice Kennedy Shriver; NIH\/NICHD; Eunice Kennedy Shriver National Institute of Child Health and Human Development of the National Institutes of Health; NIH\/Eunice Kennedy Shriver National Institute of Child Health and Human Development || National Institute of Child Health and Human Development; NICHD</t>
  </si>
  <si>
    <t>https://openalex.org/funders/f4320337364 || https://openalex.org/funders/f4320337611</t>
  </si>
  <si>
    <t>Widespread air pollutants of the North China Plain during the Asian summer monsoon season: a case study</t>
  </si>
  <si>
    <t>https://doi.org/10.5194/acp-18-8491-2018</t>
  </si>
  <si>
    <t>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Fundamental Research Funds for the Central Universities; Fundamental Research Funds for the Central Universities of China; Fundamental Research Fund for the Central Universities || Chinese Academy of Sciences; CAS; 中国科学院</t>
  </si>
  <si>
    <t>https://openalex.org/funders/f4320335777 || https://openalex.org/funders/f4320321133 || https://openalex.org/funders/f4320321001 || https://openalex.org/funders/f4320335787</t>
  </si>
  <si>
    <t>Comparative Study of Bezafibrate and Pravastatin in Patients With Coronary Artery Disease and High Levels of Remnant Lipoprotein</t>
  </si>
  <si>
    <t>https://doi.org/10.1253/circj.CJ-10-0079</t>
  </si>
  <si>
    <t>Ministry of Education, Culture, Sports, Science and Technology; Monbu Kagakusho; 文部科学省; MEXT; Monbusho || NOT MATCHED</t>
  </si>
  <si>
    <t>300,000 IU or 600,000 IU of oral vitamin D3 for treatment of nutritional rickets: A randomized controlled trial</t>
  </si>
  <si>
    <t>https://doi.org/10.1007/s13312-014-0399-7</t>
  </si>
  <si>
    <t>Indian Council of Medical Research; ICMR || NOT MATCHED</t>
  </si>
  <si>
    <t>https://openalex.org/funders/f4320320720</t>
  </si>
  <si>
    <t>Bacterial Contamination of Eggshells in Furnished and Conventional Cages</t>
  </si>
  <si>
    <t>https://doi.org/10.3382/japr.2006-00058</t>
  </si>
  <si>
    <t>Perspective: Spectroscopy and kinetics of small gaseous Criegee intermediates</t>
  </si>
  <si>
    <t>https://doi.org/10.1063/1.4923165</t>
  </si>
  <si>
    <t>Ministry of Science and Technology, Taiwan; Ministry of Science and Technology of Taiwan; MOST; Ministry of Science and Technology, R.O.C. (Taiwan) || NOT MATCHED</t>
  </si>
  <si>
    <t>Effect of nitrogen-doping and post annealing on wettability and band gap energy of TiO2 thin film</t>
  </si>
  <si>
    <t>https://doi.org/10.1016/j.apsusc.2019.144048</t>
  </si>
  <si>
    <t>Olfaction in female Wistar rats is influenced by dopaminergic periglomerular neurons after nigral and bulbar lesions</t>
  </si>
  <si>
    <t>https://doi.org/10.1097/FBP.0000000000000443</t>
  </si>
  <si>
    <t>Coordenação de Aperfeiçoamento de Pessoal de Nível Superior; Coordination for the Improvement of Higher Education Personnel; CAPES; Brazilian Federal Agency for the Support and Evaluation of Graduate Education || NOT MATCHED || NOT MATCHED || Conselho Nacional de Desenvolvimento Científico e Tecnológico; National Council for Scientific and Technological Development; Brazilian National Council for Research and Development; CNPq || Danida Fellowship Centre; DFC || Medical Research Council; MRC; UK Medical Research Council</t>
  </si>
  <si>
    <t>https://openalex.org/funders/f4320334626 || https://openalex.org/funders/f4320321091 || https://openalex.org/funders/f4320322025 || https://openalex.org/funders/f4320320942</t>
  </si>
  <si>
    <t>Small-Size Eight-Band Frequency Reconfigurable Antenna Loading a MEMS Switch for Mobile Handset Applications</t>
  </si>
  <si>
    <t>https://doi.org/10.1155/2014/143415</t>
  </si>
  <si>
    <t>Using the Stroop task to investigate the neural correlates of symptom change in schizophrenia</t>
  </si>
  <si>
    <t>https://doi.org/10.1192/bjp.bp.108.055459</t>
  </si>
  <si>
    <t>Nederlandse Organisatie voor Wetenschappelijk Onderzoek; Dutch Research Council; Dutch National Scientific Foundation; Dutch National Science Foundation; NWO; Netherlands Organisation for Scientific Research || Wellcome Trust; The Wellcome Trust; WT; Wellcome || Psychiatry Research Trust; The Psychiatry Research Trust; PRT</t>
  </si>
  <si>
    <t>https://openalex.org/funders/f4320321800 || https://openalex.org/funders/f4320316428 || https://openalex.org/funders/f4320311904</t>
  </si>
  <si>
    <t>Decreased collagen organization and content are associated with reduced strength of demineralized and intact bone in the SAMP6 mouse</t>
  </si>
  <si>
    <t>https://doi.org/10.1359/JBMR.050909</t>
  </si>
  <si>
    <t>Sedimentary environment and organic matter accumulation of Neoproterozoic black shale in the North China Craton: A case study of the Tonian Baishugou Formation in the Luonan area</t>
  </si>
  <si>
    <t>https://doi.org/10.1016/j.palaeo.2020.109694</t>
  </si>
  <si>
    <t>Anti-estrogenic activity of a human resveratrol metabolite</t>
  </si>
  <si>
    <t>https://doi.org/10.1016/j.numecd.2013.01.002</t>
  </si>
  <si>
    <t>Osaka University; 大阪大学; OU || NOT MATCHED</t>
  </si>
  <si>
    <t>https://openalex.org/funders/f4320322451</t>
  </si>
  <si>
    <t>The rostromedial tegmental nucleus modulates the development of stress-induced helpless behavior</t>
  </si>
  <si>
    <t>https://doi.org/10.1016/j.bbr.2018.06.014</t>
  </si>
  <si>
    <t>NOT MATCHED || NOT MATCHED || National Institute of Mental Health; Instituto Nacional de la Salud Mental; NIMH; Mental Health NIMH</t>
  </si>
  <si>
    <t>THE STRENGTH ANALYSIS OF Cu/alpha-Al2O3 INTERFACES AS A KEY FOR RATIONAL COMPOSITE DESIGN</t>
  </si>
  <si>
    <t>https://doi.org/10.1515/amm-2015-0332</t>
  </si>
  <si>
    <t>Ministerstwo Edukacji i Nauki; Ministry of Science and Higher Education; MNiSW; Ministry of Science and Higher Education, Republic of Poland; Ministerstwo Nauki i Szkolnictwa Wyższego</t>
  </si>
  <si>
    <t>https://openalex.org/funders/f4320322733</t>
  </si>
  <si>
    <t>Identification for a Large-volume Food-borne Bacteria on a Fully Integrated Portable Centrifugal Disc</t>
  </si>
  <si>
    <t>https://doi.org/10.5220/0007690401140118</t>
  </si>
  <si>
    <t>Ministry of Science, ICT and Future Planning; MSIP || Korea Health Industry Development Institute; KHIDI</t>
  </si>
  <si>
    <t>https://openalex.org/funders/f4320322030 || https://openalex.org/funders/f4320322107</t>
  </si>
  <si>
    <t>Bad guys turned nice? A critical assessment of Wolbachia mutualisms in arthropod hosts</t>
  </si>
  <si>
    <t>https://doi.org/10.1111/brv.12098</t>
  </si>
  <si>
    <t>TGF-beta Negatively Regulates CXCL1 Chemokine Expression in Mammary Fibroblasts through Enhancement of Smad2/3 and Suppression of HGF/c-Met Signaling Mechanisms</t>
  </si>
  <si>
    <t>https://doi.org/10.1371/journal.pone.0135063</t>
  </si>
  <si>
    <t>National Cancer Institute; NCI; Instituto Nacional del Cáncer || Kansas Bioscience Authority; KBA || University of Kansas; KU; The University of Kansas; Kansas University; Universitas Kansiensis || National Cancer Institute; NCI; Instituto Nacional del Cáncer</t>
  </si>
  <si>
    <t>https://openalex.org/funders/f4320337351 || https://openalex.org/funders/f4320310131 || https://openalex.org/funders/f4320310105</t>
  </si>
  <si>
    <t>Tunable upconversion of holmium sublattice through interfacial energy transfer for anti-counterfeiting</t>
  </si>
  <si>
    <t>https://doi.org/10.1039/d0nr09068a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</si>
  <si>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Fundamental Research Funds for the Central Universities; Fundamental Research Funds for the Central Universities of China; Fundamental Research Fund for the Central Universities || Guangdong Provincial Pearl River Talents Program; Guangdong Pearl River Talents Program; Pearl River Talent Plan of Guangdong; Pearl River Talent Recruitment Program; 广东珠江人才计划 || Guangdong Provincial Pearl River Talents Program; Guangdong Pearl River Talents Program; Pearl River Talent Plan of Guangdong; Pearl River Talent Recruitment Program; 广东珠江人才计划</t>
  </si>
  <si>
    <t>https://openalex.org/funders/f4320335787 || https://openalex.org/funders/f4320334009 || https://openalex.org/funders/f4320321001</t>
  </si>
  <si>
    <t>Synthesis, crystal structure, DNA interaction and anticancer activity of tridentate copper(II) complexes</t>
  </si>
  <si>
    <t>https://doi.org/10.1016/j.jinorgbio.2012.09.019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</si>
  <si>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NOT MATCHED || Specialized Research Fund for the Doctoral Program of Higher Education of China; Research Fund for the Doctoral Program of Higher Education of China; SRFDP; Specialized Research Fund for the Doctoral Program of Higher Education; Specialized Research Fund for the Doctoral Program of Higher Education (SRFDP) of the Ministry of Education of China; Research Fund for the Doctoral Program of Higher Education || Sun Yat-sen University; SYSU</t>
  </si>
  <si>
    <t>https://openalex.org/funders/f4320321160 || https://openalex.org/funders/f4320336024 || https://openalex.org/funders/f4320321001</t>
  </si>
  <si>
    <t>PODS-covered PDA film based formaldehyde sensor for avoiding humidity false response</t>
  </si>
  <si>
    <t>https://doi.org/10.1016/j.snb.2017.09.082</t>
  </si>
  <si>
    <t>Using Utilitarian Plants for Lemur Conservation</t>
  </si>
  <si>
    <t>https://doi.org/10.1007/s10764-021-00200-y</t>
  </si>
  <si>
    <t>Conceptual modelling of the Failure management process in the manufacturing industry</t>
  </si>
  <si>
    <t>https://doi.org/10.1080/14783363.2017.1309128</t>
  </si>
  <si>
    <t>Evaluation of fishery-dependent sampling strategies for monitoring a small-scale beach clam fishery</t>
  </si>
  <si>
    <t>https://doi.org/10.1016/j.fishres.2016.01.007</t>
  </si>
  <si>
    <t>Fisheries Research and Development Corporation; FRDC || Fisheries Research and Development Corporation; FRDC</t>
  </si>
  <si>
    <t>https://openalex.org/funders/f4320320419</t>
  </si>
  <si>
    <t>EGFR/cell membrane chromatography-online-high performance liquid chromatography/mass spectrometry method for screening EGFR antagonists from Radix Angelicae Pubescentis</t>
  </si>
  <si>
    <t>https://doi.org/10.1007/s11426-010-4010-3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</si>
  <si>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Program for New Century Excellent Talents in University; New Century Excellent Talents Program; Program for New Century Excellent Talents; NCET</t>
  </si>
  <si>
    <t>Complete Atrioventricular Block Presenting With Syncope Caused by Severe Hypothyroidism</t>
  </si>
  <si>
    <t>https://doi.org/10.4021/cr221w</t>
  </si>
  <si>
    <t>Inje University; Inje; 인제대학교</t>
  </si>
  <si>
    <t>https://openalex.org/funders/f4320321371</t>
  </si>
  <si>
    <t>Physiological Properties of Dietary Ellagitannin-Rich Preparations Obtained from Strawberry Pomace Using Different Extraction Methods</t>
  </si>
  <si>
    <t>https://doi.org/10.1515/pjfns-2015-0007</t>
  </si>
  <si>
    <t>Narodowe Centrum Nauki; National Science Centre; NCN || Ministerstwo Edukacji i Nauki; Ministry of Science and Higher Education; MNiSW; Ministry of Science and Higher Education, Republic of Poland; Ministerstwo Nauki i Szkolnictwa Wyższego</t>
  </si>
  <si>
    <t>https://openalex.org/funders/f4320322511 || https://openalex.org/funders/f4320322733</t>
  </si>
  <si>
    <t>Human population structure detection via multilocus genotype clustering</t>
  </si>
  <si>
    <t>https://doi.org/10.1186/1471-2156-8-34</t>
  </si>
  <si>
    <t>National Institute of General Medical Sciences; NIGMS; U.S. National Institute of General Medical Sciences || National Institute of Neurological Disorders and Stroke; National Institute of Neurological Disorders &amp; Stroke; NIH\/National Institute of Neurological Disorders and Stroke; The National Institute of Neurological Disorders and Stroke; Instituto Nacional de Trastornos Neurológicos y Accidentes Cerebrovasculares; NIH National Institute of Neurological Disorders and Stroke; NINDS || National Institute of Neurological Disorders and Stroke; National Institute of Neurological Disorders &amp; Stroke; NIH\/National Institute of Neurological Disorders and Stroke; The National Institute of Neurological Disorders and Stroke; Instituto Nacional de Trastornos Neurológicos y Accidentes Cerebrovasculares; NIH National Institute of Neurological Disorders and Stroke; NINDS</t>
  </si>
  <si>
    <t>https://openalex.org/funders/f4320337354 || https://openalex.org/funders/f4320337359</t>
  </si>
  <si>
    <t>Structural, electronic and elastic properties of Y3AlC3, YAl3C3 and Y3AlC via first principles study</t>
  </si>
  <si>
    <t>https://doi.org/10.1016/j.jallcom.2015.10.259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</si>
  <si>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Natural Science Foundation of Hebei Province; Hebei Provincial Natural Science Foundation of China; Hebei Provincial Natural Science Foundation || China Postdoctoral Science Foundation</t>
  </si>
  <si>
    <t>https://openalex.org/funders/f4320322163 || https://openalex.org/funders/f4320321001 || https://openalex.org/funders/f4320321543</t>
  </si>
  <si>
    <t>The preponderance of P450s in the Mycobacterium tuberculosis genome</t>
  </si>
  <si>
    <t>https://doi.org/10.1016/j.tim.2006.03.002</t>
  </si>
  <si>
    <t>Biotechnology and Biological Sciences Research Council; BBSRC; The Biotechnology And Biological Sciences Research Council</t>
  </si>
  <si>
    <t>https://openalex.org/funders/f4320334629</t>
  </si>
  <si>
    <t>Progression of Geographic Atrophy and Genotype in Age-Related Macular Degeneration</t>
  </si>
  <si>
    <t>https://doi.org/10.1016/j.ophtha.2009.12.012</t>
  </si>
  <si>
    <t>NOT MATCHED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NOT MATCHED || Research to Prevent Blindness; Research to Prevent Blindness, Inc; Research To Prevent Blindness, Inc.; RESEARCH TO PREVENT BLINDNESS INC; RPB || Foundation Fighting Blindness; Foundation Fighting Blindness, Inc.; FFB; The Foundation Fighting Blindness; FndFightingBlindness; Foundation Fighting Blindness Inc || National Eye Institute; NIH\/National Eye Institute; The National Eye Institute; NEI; Instituto Nacional del Ojo</t>
  </si>
  <si>
    <t>https://openalex.org/funders/f4320306811 || https://openalex.org/funders/f4320306340 || https://openalex.org/funders/f4320321001 || https://openalex.org/funders/f4320337350</t>
  </si>
  <si>
    <t>Dynamic analysis of disturbance propagation in ecological networks with quarantine items and proportional migration</t>
  </si>
  <si>
    <t>https://doi.org/10.1142/S1793524522500462</t>
  </si>
  <si>
    <t>Targeting Sirtuin-1 in Huntington's Disease: Rationale and Current Status</t>
  </si>
  <si>
    <t>https://doi.org/10.1007/s40263-013-0055-0</t>
  </si>
  <si>
    <t>National Institutes of Health; US National Institutes of Health; Institutos Nacionales de la Salud; NIH || Hereditary Disease Foundation; HDF; Hereditary Disease Foundation, Inc.; Hereditary Disease Foundation, Inc; The Hereditary Disease Foundation || National Institute of Diabetes and Digestive and Kidney Diseases; NIH\/National Institute of Diabetes, Digestive &amp; Kidney Diseases; NIH National Institute of Diabetes and Digestive and Kidney Diseases; NIDDK; National Institute of Diabetes &amp; Digestive &amp; Kidney Diseases || National Institute of Neurological Disorders and Stroke; National Institute of Neurological Disorders &amp; Stroke; NIH\/National Institute of Neurological Disorders and Stroke; The National Institute of Neurological Disorders and Stroke; Instituto Nacional de Trastornos Neurológicos y Accidentes Cerebrovasculares; NIH National Institute of Neurological Disorders and Stroke; NINDS</t>
  </si>
  <si>
    <t>https://openalex.org/funders/f4320332161 || https://openalex.org/funders/f4320337359 || https://openalex.org/funders/f4320337357 || https://openalex.org/funders/f4320306725</t>
  </si>
  <si>
    <t>Prediction scores in gastrointestinal bleeding: a systematic review and quantitative appraisal</t>
  </si>
  <si>
    <t>https://doi.org/10.1055/s-0032-1309361</t>
  </si>
  <si>
    <t>AstraZeneca; AstraZeneca PLC || Janssen Biotech; Janssen; Janssen Biotech Inc.; Janssen Biotech, Inc.; Janssen Biotech, Inc; Janssen Biotech Inc</t>
  </si>
  <si>
    <t>https://openalex.org/funders/f4320307770 || https://openalex.org/funders/f4320337449</t>
  </si>
  <si>
    <t>Effects of Awareness on Numerosity Adaptation</t>
  </si>
  <si>
    <t>https://doi.org/10.1371/journal.pone.0077556</t>
  </si>
  <si>
    <t>Design and fabrication of Lithium Niobate based single mode Y-branch APE waveguide</t>
  </si>
  <si>
    <t>https://doi.org/10.1117/12.2283507</t>
  </si>
  <si>
    <t>Society of Thoracic Surgeons; STS</t>
  </si>
  <si>
    <t>https://openalex.org/funders/f4320309526</t>
  </si>
  <si>
    <t>The IgE and basophil responses to Ara h 2 and Ara h 6 are good predictors of peanut allergy in children</t>
  </si>
  <si>
    <t>https://doi.org/10.1016/j.jaci.2016.06.041</t>
  </si>
  <si>
    <t>Thermo Scientific; Thermo Fisher; ThermoFisher</t>
  </si>
  <si>
    <t>https://openalex.org/funders/f4320308288</t>
  </si>
  <si>
    <t>Functional survival of rat pituitary gland in hypothermic storage for pituitary transplantation</t>
  </si>
  <si>
    <t>https://doi.org/10.1007/s11102-019-00959-7</t>
  </si>
  <si>
    <t>Electronic structure and thermoelectric transport of black phosphorus</t>
  </si>
  <si>
    <t>https://doi.org/10.1103/PhysRevB.96.075118</t>
  </si>
  <si>
    <t>Conselho Nacional de Desenvolvimento Científico e Tecnológico; National Council for Scientific and Technological Development; Brazilian National Council for Research and Development; CNPq || Medical Research Council; MRC; UK Medical Research Council || Deutsche Forschungsgemeinschaft; German Research Association; DFG; German Research Foundation || Engineering and Physical Sciences Research Council; EPSRC || Office of Science; DOE's Office of Science; Department of Energy's (DOE's) Office of Science; The DOE Office of Science; U.S. DOE Office of Science; U.S. Department of Energy Office of Science; U.S. Dept. of Energy Office of Science; DOE Office of Science; SC</t>
  </si>
  <si>
    <t>https://openalex.org/funders/f4320334626 || https://openalex.org/funders/f4320322025 || https://openalex.org/funders/f4320332359 || https://openalex.org/funders/f4320334627 || https://openalex.org/funders/f4320320879</t>
  </si>
  <si>
    <t>Orf239342 from the mushroom Agaricus bisporus is a mannose binding protein</t>
  </si>
  <si>
    <t>https://doi.org/10.1016/j.bbrc.2019.05.107</t>
  </si>
  <si>
    <t>NOT MATCHED || Institut Teknologi Bandung; Bandung Institute of Technology; ITB; Institute Teknologi Bandung || NOT MATCHED</t>
  </si>
  <si>
    <t>https://openalex.org/funders/f4320329091</t>
  </si>
  <si>
    <t>Stress among public middle managers dealing with reforms</t>
  </si>
  <si>
    <t>https://doi.org/10.1108/JHOM-06-2016-0111</t>
  </si>
  <si>
    <t>Schweizerischer Nationalfonds zur Förderung der Wissenschaftlichen Forschung; Fondo Nazionale Svizzero; Fonds National Suisse; Schweizerische Nationalfonds; Fondo Nazionale Svizzero per la Ricerca Scientifica; SNSF; Fonds National Suisse de la Recherche Scientifique; Swiss National Science Foundation; FNS; SNF; Schweizerischer Nationalfonds</t>
  </si>
  <si>
    <t>https://openalex.org/funders/f4320320924</t>
  </si>
  <si>
    <t>Interaction mechanism between green tea extract and human alpha-amylase for reducing starch digestion</t>
  </si>
  <si>
    <t>https://doi.org/10.1016/j.foodchem.2015.02.049</t>
  </si>
  <si>
    <t>Efficient and Selective Electrochemical and Photoelectrochemical Reduction of 5-Hydroxymethylfurfural to 2,5-Bis(hydroxymethyl)furan using Water as the Hydrogen Source</t>
  </si>
  <si>
    <t>https://doi.org/10.1021/acscatal.5b02586</t>
  </si>
  <si>
    <t>University of Wisconsin-Madison; Madison; Wisconsin; Universitas Wisconsinensis; University of Wisconsin; UW–Madison; Universitatis Wisconsinensis; UW || Basic Energy Sciences; BES; DOE Office of Basic Energy Sciences; DOE Basic Energy Sciences; Office of Basic Energy Sciences; US Department of Energy's Basic Energy Sciences; Department of Energy Basic Energy Sciences Program</t>
  </si>
  <si>
    <t>https://openalex.org/funders/f4320309434 || https://openalex.org/funders/f4320337480</t>
  </si>
  <si>
    <t>An observational study of glycemic control in canagliflozin treated patients</t>
  </si>
  <si>
    <t>https://doi.org/10.1185/03007995.2015.1047748</t>
  </si>
  <si>
    <t>Janssen Scientific Affairs (United States); JSA; Janssen Scientific Affairs; Janssen Scientific Affairs, LLC</t>
  </si>
  <si>
    <t>https://openalex.org/institutions/i4391767992</t>
  </si>
  <si>
    <t>Genomic methods in profiling DNA accessibility and factor localization</t>
  </si>
  <si>
    <t>https://doi.org/10.1007/s10577-019-09619-9</t>
  </si>
  <si>
    <t>Charles E. Kaufman Foundation; THE CHARLES E. KAUFMAN FOUNDATION; Kaufman Foundation; The Charles E Kaufman Foundation; CHARLES E KAUFMAN FOUNDATION || National Institutes of Health; US National Institutes of Health; Institutos Nacionales de la Salud; NIH</t>
  </si>
  <si>
    <t>https://openalex.org/funders/f4320332161 || https://openalex.org/funders/f4320314808</t>
  </si>
  <si>
    <t>Multiple Pathways Mediate Luteinizing Hormone Regulation of cGMP Signaling in the Mouse Ovarian Follicle</t>
  </si>
  <si>
    <t>https://doi.org/10.1095/biolreprod.113.116814</t>
  </si>
  <si>
    <t>National Institutes of Health; US National Institutes of Health; Institutos Nacionales de la Salud; NIH || NOT MATCHED || China Scholarship Council; CSC || Eunice Kennedy Shriver National Institute of Child Health and Human Development; NIH Eunice Kennedy Shriver National Institute of Child Health and Human Development; NIH Eunice Kennedy Shriver National Institute of Child Health &amp; Human Development; Eunice Kennedy Shriver National Institute of Child Health and Human Development at the National Institutes of Health; NICHD; National Institutes of Health\/Eunice Kennedy Shriver National Institute of Child Health &amp; Human Development; Eunice Kennedy Shriver National Institute of Child Health &amp; Human Development; Instituto Nacional de Salud Infantil y Desarrollo Humano Eunice Kennedy Shriver; NIH\/NICHD; Eunice Kennedy Shriver National Institute of Child Health and Human Development of the National Institutes of Health; NIH\/Eunice Kennedy Shriver National Institute of Child Health and Human Development || National Institute of General Medical Sciences; NIGMS; U.S. National Institute of General Medical Sciences</t>
  </si>
  <si>
    <t>https://openalex.org/funders/f4320332161 || https://openalex.org/funders/f4320337354 || https://openalex.org/funders/f4320322725 || https://openalex.org/funders/f4320337611</t>
  </si>
  <si>
    <t>Immune Checkpoint Inhibitors in Challenging Populations</t>
  </si>
  <si>
    <t>https://doi.org/10.1002/cncr.30642</t>
  </si>
  <si>
    <t>National Cancer Institute; NCI; Instituto Nacional del Cáncer || Cancer Institute NSW; Cancer Institute New South Wales || National Cancer Institute; NCI; Instituto Nacional del Cáncer</t>
  </si>
  <si>
    <t>https://openalex.org/funders/f4320337351 || https://openalex.org/funders/f4320320543</t>
  </si>
  <si>
    <t>Microwave-Assisted Synthesis of Polysubstituted 4-Quinolones from Deprotonated alpha-Aminonitriles</t>
  </si>
  <si>
    <t>https://doi.org/10.1002/ejoc.201000858</t>
  </si>
  <si>
    <t>A Rhodium-Cyanine Fluorescent Probe: Detection and Signaling of Mismatches in DNA</t>
  </si>
  <si>
    <t>https://doi.org/10.1021/jacs.7b10639</t>
  </si>
  <si>
    <t>National Institutes of Health; US National Institutes of Health; Institutos Nacionales de la Salud; NIH || National Institute of General Medical Sciences; NIGMS; U.S. National Institute of General Medical Sciences</t>
  </si>
  <si>
    <t>https://openalex.org/funders/f4320332161 || https://openalex.org/funders/f4320337354</t>
  </si>
  <si>
    <t>Microbial melanin physiology under stress conditions and gamma radiation protection studies</t>
  </si>
  <si>
    <t>https://doi.org/10.1016/j.radphyschem.2019.05.002</t>
  </si>
  <si>
    <t>NOT MATCHED || Egyptian Atomic Energy Authority; EAEA || Department of Chemical Engineering, Universiti Teknologi Petronas; Department of Chemical Engineering, UTP || Military Technical College; MTC</t>
  </si>
  <si>
    <t>https://openalex.org/institutions/i3089115 || https://openalex.org/institutions/i4210100308 || https://openalex.org/funders/f4320335155</t>
  </si>
  <si>
    <t>A direct matrix method for computing analytical Jacobians of discretized nonlinear integro-differential equations</t>
  </si>
  <si>
    <t>https://doi.org/10.1016/j.jcp.2009.04.031</t>
  </si>
  <si>
    <t>NOT MATCHED || NOT MATCHED || Institute of High Performance Computing; IHPC; Institute of High Performance Computing</t>
  </si>
  <si>
    <t>https://openalex.org/institutions/i3004594783</t>
  </si>
  <si>
    <t>The Drivers of Voluntary Transparency in Nonprofits: Professionalization and Partnerships with Firms as Determinants</t>
  </si>
  <si>
    <t>https://doi.org/10.1007/s11266-017-9882-9</t>
  </si>
  <si>
    <t>Carrier transport analysis of n-ZnO:Al/p-GaN:Mg heterojunction light-emitting diodes</t>
  </si>
  <si>
    <t>https://doi.org/10.1116/1.4913872</t>
  </si>
  <si>
    <t>National Research Foundation of Korea; NRF; 한국연구재단이 창의적 연구와 || National Research Foundation of Korea; NRF; 한국연구재단이 창의적 연구와</t>
  </si>
  <si>
    <t>Layer-by-layer anionic diffusion in two-dimensional halide perovskite vertical heterostructures</t>
  </si>
  <si>
    <t>https://doi.org/10.1038/s41565-021-00848-w</t>
  </si>
  <si>
    <t>Office of Naval Research; U.S. Department of the Navy Office of Naval Research; US Department of the Navy Office of Naval Research; US Office of Naval Research; Department of the Navy's Office of Naval Research; United States Office of Naval Research; Naval Research; ONR; The Office of Naval Research; U.S. Office of Naval Research || NOT MATCHED || NOT MATCHED || Air Force Office of Scientific Research; AFOSR; The Air Force Office of Scientific Research; US Air Force Office of Scientific Research; United States Air Force Office of Scientific Research; AF Office of Scientific Research || NOT MATCHED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Natural Science Foundation of Shanghai; Shanghai Municipal Natural Science Fund; Natural Science Foundation of Shanghai Municipality; Shanghai Municipal Natural Science Foundation; Shanghai Natural Science Foundation || NOT MATCHED</t>
  </si>
  <si>
    <t>https://openalex.org/funders/f4320338279 || https://openalex.org/funders/f4320337345 || https://openalex.org/funders/f4320309612 || https://openalex.org/funders/f4320321001</t>
  </si>
  <si>
    <t>Optically transparent fluorine-containing polycarbonates with high refractive indices for thermo-optic switches</t>
  </si>
  <si>
    <t>https://doi.org/10.1039/c7qm00209b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</si>
  <si>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Jilin University; 吉林大学; JLU</t>
  </si>
  <si>
    <t>https://openalex.org/funders/f4320322300 || https://openalex.org/funders/f4320321001</t>
  </si>
  <si>
    <t>Efficient initiators for the ring-opening polymerization of L-lactide: Synthesis and characterization of NNO-tridentate Schiff-base zinc complexes</t>
  </si>
  <si>
    <t>https://doi.org/10.1002/pola.22956</t>
  </si>
  <si>
    <t>Moving the dial on prenatal stress mechanisms of neurodevelopmental vulnerability to mental health problems: A personalized prevention proof of concept</t>
  </si>
  <si>
    <t>https://doi.org/10.1002/dev.22057</t>
  </si>
  <si>
    <t>Tenuifolin, a saponin derived from Radix Polygalae, exhibits sleep-enhancing effects in mice</t>
  </si>
  <si>
    <t>https://doi.org/10.1016/j.phymed.2016.10.015</t>
  </si>
  <si>
    <t>Caveolin-1 Plays a Crucial Role in Inhibiting Neuronal Differentiation of Neural Stem/Progenitor Cells via VEGF Signaling-Dependent Pathway</t>
  </si>
  <si>
    <t>https://doi.org/10.1371/journal.pone.0022901</t>
  </si>
  <si>
    <t>Research Grants Council, University Grants Committee; 研究資助局; 研究資助局 || University of Hong Kong; HKU; The University of Hong Kong; 香港大學 || NOT MATCHED</t>
  </si>
  <si>
    <t>https://openalex.org/funders/f4320321592 || https://openalex.org/funders/f4320322170</t>
  </si>
  <si>
    <t>Flame-resistant Ca-containing AZ31 magnesium alloy sheets with good mechanical properties fabricated by a combination of strip casting and high-ratio differential speed rolling methods</t>
  </si>
  <si>
    <t>https://doi.org/10.1007/s12540-015-4338-5</t>
  </si>
  <si>
    <t>Ministry of Education, Science and Technology; Korean Ministry of Education, Science and Technology; MEST</t>
  </si>
  <si>
    <t>https://openalex.org/funders/f4320322349</t>
  </si>
  <si>
    <t>Optimization of heterologous DNA-prime, protein boost regimens and site of vaccination to enhance therapeutic immunity against human papillomavirus-associated disease</t>
  </si>
  <si>
    <t>https://doi.org/10.1186/s13578-016-0080-z</t>
  </si>
  <si>
    <t>NOT MATCHED || NOT MATCHED || National Cancer Institute; NCI; Instituto Nacional del Cáncer</t>
  </si>
  <si>
    <t>Multiparticle diffusion limited kA -&gt; empty set reaction in small volumes</t>
  </si>
  <si>
    <t>https://doi.org/10.1088/0953-8984/22/49/495102</t>
  </si>
  <si>
    <t>Micro Cooling Concepts (United States); MC2 || NOT MATCHED</t>
  </si>
  <si>
    <t>https://openalex.org/institutions/i4210093762</t>
  </si>
  <si>
    <t>Synthesis and SAR of thieno[3,2-b]pyridinyl urea derivatives as urotensin-II receptor antagonists</t>
  </si>
  <si>
    <t>https://doi.org/10.1016/j.bmcl.2014.09.089</t>
  </si>
  <si>
    <t>Ministry of Science, ICT and Future Planning; MSIP || NOT MATCHED</t>
  </si>
  <si>
    <t>https://openalex.org/funders/f4320322030</t>
  </si>
  <si>
    <t>Stereoselective Synthesis of Dispirooxindoles Incorporating Pyrrolo[2,1-a]isoquinoline via [3+2] Cycloaddition of Azomethine Ylides with a Thiazolo[3,2-a]indole Dipolarophile</t>
  </si>
  <si>
    <t>https://doi.org/10.1055/a-1777-2423</t>
  </si>
  <si>
    <t>University Grants Commission; UGC; University Grants Commission India; विश्वविद्यालय अनुदान आयोग; यूजीसी || NOT MATCHED</t>
  </si>
  <si>
    <t>Multi-ethnic SULT1A1 copy number profiling with multiplex ligation-dependent probe amplification</t>
  </si>
  <si>
    <t>https://doi.org/10.2217/pgs-2018-0047</t>
  </si>
  <si>
    <t>National Institute of General Medical Sciences; NIGMS; U.S. National Institute of General Medical Sciences</t>
  </si>
  <si>
    <t>(Multi)wavelets increase both accuracy and efficiency of standard Godunov-type hydrodynamic models: Robust 2D approaches</t>
  </si>
  <si>
    <t>https://doi.org/10.1016/j.advwatres.2020.103693</t>
  </si>
  <si>
    <t>Engineering and Physical Sciences Research Council; EPSRC || Engineering and Physical Sciences Research Council; EPSRC</t>
  </si>
  <si>
    <t>Anti-Mullerian hormone levels in American girls by age and race/ethnicity</t>
  </si>
  <si>
    <t>https://doi.org/10.1515/jpem-2014-0242</t>
  </si>
  <si>
    <t>NOT MATCHED || Children's Healthcare of Atlanta; CHOA || Morehouse School of Medicine; MSM || Children's Healthcare of Atlanta; CHOA || NOT MATCHED || NOT MATCHED</t>
  </si>
  <si>
    <t>https://openalex.org/funders/f4320313524 || https://openalex.org/funders/f4320317695</t>
  </si>
  <si>
    <t>COVID-19, social isolation and the mental health of autistic people and their families: A qualitative study</t>
  </si>
  <si>
    <t>https://doi.org/10.1177/13623613211035936</t>
  </si>
  <si>
    <t>Australian Research Council; The Australian Research Council; ARC || Cooperative Research Centre for Living with Autism; Autism CRC || Cooperative Research Centres, Australian Government Department of Industry; CRC; Cooperative Research Centres Projects; CRCs; Cooperative Research Centres; CRC-P</t>
  </si>
  <si>
    <t>https://openalex.org/funders/f4320334704 || https://openalex.org/funders/f4320312057 || https://openalex.org/funders/f4320321836</t>
  </si>
  <si>
    <t>Differential effects of habitat loss on occupancy patterns of the eastern green lizard Lacerta viridis at the core and periphery of its distribution range</t>
  </si>
  <si>
    <t>https://doi.org/10.1371/journal.pone.0229600</t>
  </si>
  <si>
    <t>NOT MATCHED || Heinrich Böll Stiftung; Heinrich Boell Foundation; Heinrich Böll Foundation</t>
  </si>
  <si>
    <t>https://openalex.org/funders/f4320311215</t>
  </si>
  <si>
    <t>Theoretical Progress on the Relationship between the Structures and Properties of Perovskite Solar Cells</t>
  </si>
  <si>
    <t>https://doi.org/10.1002/adts.202000022</t>
  </si>
  <si>
    <t>Science Challenge Project; Science Challenge Program; Science Challenging Program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NOT MATCHED || Beijing Computational Science Research Center; CSRC; 北京计算科学研究中心 || Fundamental Research Funds for the Central Universities; Fundamental Research Funds for the Central Universities of China; Fundamental Research Fund for the Central Universities</t>
  </si>
  <si>
    <t>https://openalex.org/funders/f4320336025 || https://openalex.org/institutions/i4210139958 || https://openalex.org/funders/f4320321001 || https://openalex.org/funders/f4320335787</t>
  </si>
  <si>
    <t>Regulation of volume-sensitive osmolyte efflux from human SH-SY5Y neuroblastoma cells following activation of lysophospholipid receptors</t>
  </si>
  <si>
    <t>https://doi.org/10.1124/jpet.105.098467</t>
  </si>
  <si>
    <t>Correlation of ultrasonic scatterer size estimates for the statistical analysis and optimization of angular compounding</t>
  </si>
  <si>
    <t>https://doi.org/10.1121/1.1756615</t>
  </si>
  <si>
    <t>National Cancer Institute; NCI; Instituto Nacional del Cáncer || National Institute of Biomedical Imaging and Bioengineering; NIH National Institute of Biomedical Imaging &amp; Bioengineering; National Institute of Biomedical Imaging &amp; Bioengineering; The National Institute of Biomedical Imaging and Bioengineering; NIH National Institute of Biomedical Imaging and Bioengineering; Instituto Nacional de Imágenes Biomédicas y Bioingeniería; NIBIB || National Cancer Institute; NCI; Instituto Nacional del Cáncer || National Institute of Biomedical Imaging and Bioengineering; NIH National Institute of Biomedical Imaging &amp; Bioengineering; National Institute of Biomedical Imaging &amp; Bioengineering; The National Institute of Biomedical Imaging and Bioengineering; NIH National Institute of Biomedical Imaging and Bioengineering; Instituto Nacional de Imágenes Biomédicas y Bioingeniería; NIBIB</t>
  </si>
  <si>
    <t>https://openalex.org/funders/f4320337351 || https://openalex.org/funders/f4320337363</t>
  </si>
  <si>
    <t>Solar Wind Electron Energization by Plasma Turbulence</t>
  </si>
  <si>
    <t>https://doi.org/10.1088/1742-6596/642/1/012030</t>
  </si>
  <si>
    <t>Directorate for Geosciences; NSF Directorate for Geosciences; Geosciences; GEOSCIENCES DIRECTORATE; National Science Foundation Geosciences Directorate; GEO; GEO\/OAD</t>
  </si>
  <si>
    <t>https://openalex.org/funders/f4320332171</t>
  </si>
  <si>
    <t>Renal Tubular Dysfunction in Pediatric Urolithiasis: Proteomic Evidence</t>
  </si>
  <si>
    <t>https://doi.org/10.1016/j.urology.2016.02.003</t>
  </si>
  <si>
    <t>Children’s Hospital of Michigan Foundation; CHMF; CHM Foundation || NOT MATCHED || University of Arizona Cancer Center; Arizona Cancer Center; UArizona Cancer Center; The University of Arizona Cancer Center; Cancer Center; UACC; UA Cancer Center || NOT MATCHED || Wayne State University; WSU || National Cancer Institute; NCI; Instituto Nacional del Cáncer || National Institute of Diabetes and Digestive and Kidney Diseases; NIH\/National Institute of Diabetes, Digestive &amp; Kidney Diseases; NIH National Institute of Diabetes and Digestive and Kidney Diseases; NIDDK; National Institute of Diabetes &amp; Digestive &amp; Kidney Diseases || National Institute of Environmental Health Sciences; The National Institute of Environmental Health Sciences; NIH National Institute of Environmental Health Sciences; NIEHS || National Institutes of Health; US National Institutes of Health; Institutos Nacionales de la Salud; NIH</t>
  </si>
  <si>
    <t>https://openalex.org/funders/f4320332161 || https://openalex.org/funders/f4320337351 || https://openalex.org/funders/f4320337357 || https://openalex.org/funders/f4320309707 || https://openalex.org/funders/f4320337361 || https://openalex.org/funders/f4320309272 || https://openalex.org/funders/f4320311329</t>
  </si>
  <si>
    <t>Low MFN2 expression related to ageing in granulosa cells is associated with assisted reproductive technology outcome</t>
  </si>
  <si>
    <t>https://doi.org/10.1016/j.rbmo.2018.10.011</t>
  </si>
  <si>
    <t>Estimate error of frequency-dependent Q introduced by linear regression and its nonlinear implementation</t>
  </si>
  <si>
    <t>https://doi.org/10.1088/1742-2132/13/1/11</t>
  </si>
  <si>
    <t>Design, simulation, and fabrication of an ingestible capsule with gastric balloon for obesity treatment</t>
  </si>
  <si>
    <t>https://doi.org/10.1088/2057-1976/ac1d88</t>
  </si>
  <si>
    <t>Fundação para a Ciência e a Tecnologia; FCT; Portuguese Science and Technology Foundation; Foundation for Science and Technology</t>
  </si>
  <si>
    <t>https://openalex.org/funders/f4320334779</t>
  </si>
  <si>
    <t>Genomic dissection of microbial pathogenesis in cultured Drosophila cells</t>
  </si>
  <si>
    <t>https://doi.org/10.1016/j.tim.2006.01.008</t>
  </si>
  <si>
    <t>Vesicles and red blood cells in flow: From individual dynamics to rheology</t>
  </si>
  <si>
    <t>https://doi.org/10.1016/j.crhy.2009.10.001</t>
  </si>
  <si>
    <t>Centre National d’Etudes Spatiales; National Centre for Space Research, France; CNES || NOT MATCHED || National Science Foundation; U.S. National Science Foundation; USA NSF; USNSF; NSF; US National Science Foundation; US NSF</t>
  </si>
  <si>
    <t>https://openalex.org/funders/f4320306076 || https://openalex.org/funders/f4320321519</t>
  </si>
  <si>
    <t>An association between biased impression updating and relationship facilitation: A behavioral and fMRI investigation</t>
  </si>
  <si>
    <t>https://doi.org/10.1016/j.jesp.2019.103916</t>
  </si>
  <si>
    <t>John Templeton Foundation; مؤسسة جون تمبلتون; Fundación John Templeton; Templeton Foundation; Fundação John Templeton; JTF; The John Templeton Foundation || NOT MATCHED</t>
  </si>
  <si>
    <t>https://openalex.org/funders/f4320306193</t>
  </si>
  <si>
    <t>Characterization of Filippov representable maps and Clarke subdifferentials</t>
  </si>
  <si>
    <t>https://doi.org/10.1007/s10107-020-01540-y</t>
  </si>
  <si>
    <t>Laboratoire de Mathématiques de Bretagne Atlantique; LMBA || Fondo Nacional de Desarrollo Científico y Tecnológico; National Fund for Scientific and Technological Development; FONDECYT; El Fondo Nacional de Desarrollo Científico y Tecnológico || Fondo Nacional de Desarrollo Científico y Tecnológico; National Fund for Scientific and Technological Development; FONDECYT; El Fondo Nacional de Desarrollo Científico y Tecnológico || Ministerio de Ciencia e Innovación; Ministeri de Ciència i Innovació; MICINN; Ministry of Science and Innovation; Spanish Ministry of Science and Innovation || European Commission; Europeiska kommissionen; Ευρωπαϊκής Επιτροπής; Comisia Europeană; Europese Commissie; Euroopa Komisjoni; Eiropas Komisiju; Euroopan komission; Europskoj komisiji; EU; Choimisiúin Eorpaigh; EU-Kommissionen; Evropski komisiji; EC; Comisión Europea; Europos Komisijos; Europäische Kommission; La Commissione europea; Evropské komise; Comissão Europeia; Európskej komisii; Европейската комисия; Európai Bizottságról; Komisja Europejska; Commissione europea; European Union; Commission européenne || Air Force Office of Scientific Research; AFOSR; The Air Force Office of Scientific Research; US Air Force Office of Scientific Research; United States Air Force Office of Scientific Research; AF Office of Scientific Research || NOT MATCHED</t>
  </si>
  <si>
    <t>https://openalex.org/funders/f4320338073 || https://openalex.org/funders/f4320338279 || https://openalex.org/funders/f4320322930 || https://openalex.org/institutions/i4210119023 || https://openalex.org/funders/f4320320300</t>
  </si>
  <si>
    <t>Matched Filters for Noisy Induced Subgraph Detection</t>
  </si>
  <si>
    <t>https://doi.org/10.1109/TPAMI.2019.2914651</t>
  </si>
  <si>
    <t>Air Force Research Laboratory; U.S. Air Force Research Lab; AFResearchLab; US Air Force Research Laboratory; US Air Force Research Lab; The Air Force Research Laboratory; U.S. Air Force Research Laboratory; AFRL; Air Force Research Lab || Defense Advanced Research Projects Agency; US Defense Advanced Research Projects Agency; DARPA; U.S. Defense Advanced Research Projects Agency; United States Defense Advanced Research Projects Agency; The Defense Advanced Research Projects Agency || National Institutes of Health; US National Institutes of Health; Institutos Nacionales de la Salud; NIH || NOT MATCHED</t>
  </si>
  <si>
    <t>https://openalex.org/funders/f4320338294 || https://openalex.org/funders/f4320332180 || https://openalex.org/funders/f4320332161</t>
  </si>
  <si>
    <t>Foams Made of Engineered Recombinant Spider Silk Proteins as 3D Scaffolds for Cell Growth</t>
  </si>
  <si>
    <t>https://doi.org/10.1021/acsbiomaterials.5b00483</t>
  </si>
  <si>
    <t>The potential impact of the National Osteoporosis Foundation guidance on treatment eligibility in the USA: an update in NHANES 2005-2008</t>
  </si>
  <si>
    <t>https://doi.org/10.1007/s00198-011-1694-y</t>
  </si>
  <si>
    <t>Agricultural Research Service; U.S. Department of Agriculture's Agricultural Research Service; Agricultural Research Service, US Department of Agriculture; USDA-ARS; USDA Agricultural Research Service; USDA\/ARS; USDA ARS; ARS; U.S. Department of Agriculture, Agricultural Research Service; USDA-Agricultural Research Service; USDA, Agricultural Research Service</t>
  </si>
  <si>
    <t>https://openalex.org/funders/f4320332605</t>
  </si>
  <si>
    <t>Classifying tilting modules over the Auslander algebras of radical square zero Nakayama algebras</t>
  </si>
  <si>
    <t>https://doi.org/10.1142/S0219498822500414</t>
  </si>
  <si>
    <t>On the SVMpath Singularity</t>
  </si>
  <si>
    <t>https://doi.org/10.1109/TNNLS.2013.2262180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</si>
  <si>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Priority Academic Program Development of Jiangsu Higher Education Institutions; PAPD || NOT MATCHED || Research Grants Council, University Grants Committee; 研究資助局; 研究資助局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Natural Science Foundation of Guangdong Province; Guangdong Natural Science Foundation; Guangdong Provincial Natural Science Foundation; Natural Science Foundation of Guangdong || NOT MATCHED</t>
  </si>
  <si>
    <t>https://openalex.org/funders/f4320321592 || https://openalex.org/funders/f4320327518 || https://openalex.org/funders/f4320321921 || https://openalex.org/funders/f4320321001</t>
  </si>
  <si>
    <t>Comparative Analysis of River Flow Modelling by Using Supervised Learning Technique</t>
  </si>
  <si>
    <t>https://doi.org/10.1088/1742-6596/995/1/012045</t>
  </si>
  <si>
    <t>Universiti Tun Hussein Onn Malaysia; University Tun Hussein Onn Malaysia; Tun Hussein Onn University of Malaysia; UTHM</t>
  </si>
  <si>
    <t>https://openalex.org/funders/f4320310112</t>
  </si>
  <si>
    <t>Simultaneous determination of five triterpenoid saponins in different parts of Lonicera macranthoides by RRLC-MS/MS method</t>
  </si>
  <si>
    <t>https://doi.org/10.1691/ph.2016.6012</t>
  </si>
  <si>
    <t>Systemic Intravenous Lidocaine for the Treatment of Complex Regional Pain Syndrome: A Case Report and Literature Review</t>
  </si>
  <si>
    <t>https://doi.org/10.1097/MJT.0000000000000345</t>
  </si>
  <si>
    <t xml:space="preserve">James J. Peters VA Medical Center; Bronx Veterans Hospital; James J. Peters VAMC </t>
  </si>
  <si>
    <t>https://openalex.org/institutions/i4210116369</t>
  </si>
  <si>
    <t>Tear Properties and Meso-scale Mechanism of Multi-axial Warp-knitted Fabric from Various Architectures: Studied by Photography</t>
  </si>
  <si>
    <t>https://doi.org/10.1007/s12221-013-1953-y</t>
  </si>
  <si>
    <t>National Science and Technology Planning Project; National Science and Technology Support Project of China; National Science and Technology Specific Project of China || NOT MATCHED</t>
  </si>
  <si>
    <t>https://openalex.org/funders/f4320335961</t>
  </si>
  <si>
    <t>Chemogenomics analysis of drug targets for the treatment of acute promyelocytic leukemia</t>
  </si>
  <si>
    <t>https://doi.org/10.1007/s00277-019-03888-4</t>
  </si>
  <si>
    <t>China Postdoctoral Science Foundation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</t>
  </si>
  <si>
    <t>https://openalex.org/funders/f4320321001 || https://openalex.org/funders/f4320321543</t>
  </si>
  <si>
    <t>eDNA metabarcoding as a promising conservation tool for monitoring fish diversity in a coastal wetland of the Pearl River Estuary compared to bottom trawling</t>
  </si>
  <si>
    <t>https://doi.org/10.1016/j.scitotenv.2019.134704</t>
  </si>
  <si>
    <t>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 || Central Public-interest Scientific Institution Basal Research Fund, Chinese Academy of Fishery Sciences; Central Public-interest Scientific Institution Basal Research Fund, CAFS</t>
  </si>
  <si>
    <t>https://openalex.org/funders/f4320335777 || https://openalex.org/funders/f4320338141</t>
  </si>
  <si>
    <t>Probing the phenomenon of trained immunity in invertebrates during a transgenerational study, using brine shrimp Artemia as a model system</t>
  </si>
  <si>
    <t>https://doi.org/10.1038/srep21166</t>
  </si>
  <si>
    <t>Universiteit Gent; Ghent University; UGent || Belgian Federal Science Policy Office; BELSPO; Federaal Wetenschapsbeleid; Belgian Science Policy Office; Politique Scientifique Fédérale</t>
  </si>
  <si>
    <t>https://openalex.org/funders/f4320321454 || https://openalex.org/funders/f4320322603</t>
  </si>
  <si>
    <t>Refined phosphopeptide enrichment by phosphate additive and the analysis of human brain phosphoproteome</t>
  </si>
  <si>
    <t>https://doi.org/10.1002/pmic.201400171</t>
  </si>
  <si>
    <t>National Institutes of Health; US National Institutes of Health; Institutos Nacionales de la Salud; NIH || Arizona Department of Health Services; ADHS || Arizona Biomedical Research Commission; ABRC || Michael J. Fox Foundation for Parkinson's Research; Michael J Fox Foundation for Parkinson's Disease Research; The Michael J. Fox Foundation; MJFF; Fundación Michael J. Fox; Michael J. Fox Foundation; Michael J Fox Foundation for Parkinson's Research; The Michael J. Fox Foundation for Parkinson's Research || American Lebanese Syrian Associated Charities; ALSAC || University of Arizona Cancer Center; Arizona Cancer Center; UArizona Cancer Center; The University of Arizona Cancer Center; Cancer Center; UACC; UA Cancer Center || National Cancer Institute; NCI; Instituto Nacional del Cáncer || National Institute of Neurological Disorders and Stroke; National Institute of Neurological Disorders &amp; Stroke; NIH\/National Institute of Neurological Disorders and Stroke; The National Institute of Neurological Disorders and Stroke; Instituto Nacional de Trastornos Neurológicos y Accidentes Cerebrovasculares; NIH National Institute of Neurological Disorders and Stroke; NINDS || National Institute on Aging; The National Institute on Aging; NIA; NIH NATIONAL INSTITUTE ON AGING; U.S. National Institute on Aging</t>
  </si>
  <si>
    <t>https://openalex.org/funders/f4320306136 || https://openalex.org/funders/f4320332140 || https://openalex.org/funders/f4320337351 || https://openalex.org/funders/f4320337359 || https://openalex.org/funders/f4320313598 || https://openalex.org/funders/f4320309707 || https://openalex.org/funders/f4320309677 || https://openalex.org/funders/f4320332161 || https://openalex.org/funders/f4320337337</t>
  </si>
  <si>
    <t>Should GPs have direct access to imaging for headache? A qualitative study of patients' views in the UK</t>
  </si>
  <si>
    <t>https://doi.org/10.1136/bmjopen-2019-029376</t>
  </si>
  <si>
    <t>Guy's and St Thomas' Charity; Guy's and St Thomas' NHS Foundation Trust; Guy's &amp; St Thomas' Foundation</t>
  </si>
  <si>
    <t>https://openalex.org/funders/f4320320083</t>
  </si>
  <si>
    <t>Pathophysiology and pharmacology of G protein-coupled receptors in the heart</t>
  </si>
  <si>
    <t>https://doi.org/10.1093/cvr/cvac171</t>
  </si>
  <si>
    <t>Exchange of GATA factors mediates transitions in looped chromatin organization at a developmentally regulated gene locus</t>
  </si>
  <si>
    <t>https://doi.org/10.1016/j.molcel.2007.11.020</t>
  </si>
  <si>
    <t>National Heart, Lung, and Blood Institute; NIH\/National Heart, Lung and Blood Institute; National Heart Lung &amp; Blood Institute; NHLBI || National Institute of Diabetes and Digestive and Kidney Diseases; NIH\/National Institute of Diabetes, Digestive &amp; Kidney Diseases; NIH National Institute of Diabetes and Digestive and Kidney Diseases; NIDDK; National Institute of Diabetes &amp; Digestive &amp; Kidney Diseases || National Heart, Lung, and Blood Institute; NIH\/National Heart, Lung and Blood Institute; National Heart Lung &amp; Blood Institute; NHLBI || National Institute of Diabetes and Digestive and Kidney Diseases; NIH\/National Institute of Diabetes, Digestive &amp; Kidney Diseases; NIH National Institute of Diabetes and Digestive and Kidney Diseases; NIDDK; National Institute of Diabetes &amp; Digestive &amp; Kidney Diseases</t>
  </si>
  <si>
    <t>https://openalex.org/funders/f4320337338 || https://openalex.org/funders/f4320337357</t>
  </si>
  <si>
    <t>Research on heat transfer of submersible motor based on fluid network decoupling</t>
  </si>
  <si>
    <t>https://doi.org/10.1016/j.ijheatmasstransfer.2019.03.002</t>
  </si>
  <si>
    <t>Thermal regime of the lower crust in the eastern Khondalite Belt, North China Craton, constrained by Zr-in-rutile thermometry mapping</t>
  </si>
  <si>
    <t>https://doi.org/10.1016/j.precamres.2022.106720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</si>
  <si>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Chinese Academy of Sciences; CAS; 中国科学院 || National Science Foundation; U.S. National Science Foundation; USA NSF; USNSF; NSF; US National Science Foundation; US NSF || Youth Innovation Promotion Association of the Chinese Academy of Sciences; CAS YIPA; YIPA CAS; Youth Innovation Promotion Association, Chinese Academy of Sciences; Youth Innovation Promotion Association of Chinese Academy of Sciences; 中国科学院青年创新促进会; Youth Innovation Promotion Association, CAS; Youth Innovation Promotion Association CAS</t>
  </si>
  <si>
    <t>https://openalex.org/funders/f4320306076 || https://openalex.org/funders/f4320322847 || https://openalex.org/funders/f4320321133 || https://openalex.org/funders/f4320321001</t>
  </si>
  <si>
    <t>In situ delta C-13 and delta O-18 microanalysis by SIMS: A method for characterizing the carbonate components of natural and engineered CO2-reservoirs</t>
  </si>
  <si>
    <t>https://doi.org/10.1016/j.ijggc.2016.12.013</t>
  </si>
  <si>
    <t>Chemical Sciences, Geosciences, and Biosciences Division; Chemical Sciences, Geosciences, and Energy Biosciences; CSGB Division; CSGB; Chemical Sciences, Geosciences, &amp; Biosciences (CSGB) Division || National Science Foundation; U.S. National Science Foundation; USA NSF; USNSF; NSF; US National Science Foundation; US NSF || Division of Earth Sciences; NSF Division of Earth Sciences; Earth Sciences; EAR; GEO\/EAR</t>
  </si>
  <si>
    <t>https://openalex.org/funders/f4320306076 || https://openalex.org/funders/f4320337744 || https://openalex.org/funders/f4320337403</t>
  </si>
  <si>
    <t>A Two-Level Cross-Sectional Optimization Approach for Automotive Body Concept Design</t>
  </si>
  <si>
    <t>https://doi.org/10.1007/s42154-018-0022-z</t>
  </si>
  <si>
    <t>Carbonized Cow Dung as a High Performance and Low Cost Anode Material for Bioelectrochemical Systems</t>
  </si>
  <si>
    <t>https://doi.org/10.3389/fmicb.2018.02760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</si>
  <si>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Science and Technology Program of Zhejiang Province; 浙江省科技计划项目; Zhejiang Science and Technology Project; Major Science and Technology Projects of Zhejiang Province; Key Projects of Department of Science and Technology in Zhejiang Province; 浙江省重大科技专项; Science and Technology Project of Zhejiang Province || Natural Science Foundation of Zhejiang Province; Zhejiang Natural Science Foundation; ZJNSF; 浙江省自然科学基金根据国; Zhejiang Provincial Natural Science Foundation</t>
  </si>
  <si>
    <t>https://openalex.org/funders/f4320338464 || https://openalex.org/funders/f4320338469 || https://openalex.org/funders/f4320321001</t>
  </si>
  <si>
    <t>The synthesis of highly functionalised pyridines using Ghosez-type reactions of dihydropyrazoles</t>
  </si>
  <si>
    <t>https://doi.org/10.1016/j.tet.2008.07.063</t>
  </si>
  <si>
    <t>NOT MATCHED || NOT MATCHED || National Institutes of Health; US National Institutes of Health; Institutos Nacionales de la Salud; NIH || National Institute of Allergy and Infectious Diseases; NIAID; Instituto Nacional de Alergias y Enfermedades Infecciosas</t>
  </si>
  <si>
    <t>Effects of feeding reduced crude protein diets on growth performance, nitrogen excretion, and plasma uric acid concentration of broiler chicks during the starter period</t>
  </si>
  <si>
    <t>https://doi.org/10.3382/ps/pex395</t>
  </si>
  <si>
    <t>Alabama Agricultural Experiment Station; Auburn University, Alabama Agricultural Experiment Station; Alabama Agricultural Experiment Station, Auburn University; AAES; Alabama Agricultural Experiment Station at Auburn University || National Institute of Food and Agriculture; USDA National Institute of Food and Agriculture; U.S. Department of Agriculture, National Institute of Food and Agriculture; NIFA USDA; NIFA; National Institute of Food and Agriculture (USDA); National Institute of Food &amp; Agriculture; USDA\/NIFA; National Institute for Food and Agriculture of the United States Department of Agriculture; USDA - NIFA; USDA\/National Institute of Food and Agriculture; USDA's National Institute of Food and Agriculture; USDA NIFA; National Institute of Food and Agriculture at USDA</t>
  </si>
  <si>
    <t>https://openalex.org/funders/f4320332299 || https://openalex.org/funders/f4320332725</t>
  </si>
  <si>
    <t>Exciton-polaritons in a ZnO-based microcavity: polarization dependence and nonlinear occupation</t>
  </si>
  <si>
    <t>https://doi.org/10.1088/1367-2630/13/3/033014</t>
  </si>
  <si>
    <t>NOT MATCHED || European Social Fund; ESF; The European Social Fund; Europäische Sozialfonds; Fondo Sociale Europeo; Fonds Social Européen; Fondo Social Europeo || NOT MATCHED</t>
  </si>
  <si>
    <t>Full-length ribosome density prediction by a multi-input and multi-output model</t>
  </si>
  <si>
    <t>https://doi.org/10.1371/journal.pcbi.1008842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</si>
  <si>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NOT MATCHED || NOT MATCHED</t>
  </si>
  <si>
    <t>An Epistatic Relationship between the Viral Protein Kinase UL97 and the UL133-UL138 Latency Locus during the Human Cytomegalovirus Lytic Cycle</t>
  </si>
  <si>
    <t>https://doi.org/10.1128/JVI.00447-14</t>
  </si>
  <si>
    <t>American Heart Association; AMERICAN HEART ASSOCIATION INC; AMERICAN HEART ASSN.; American Heart Association, Inc.; AHA; American Heart Assn; AMERICAN HEART ASSOC.; American Heart Association, Inc || National Institute of General Medical Sciences; NIGMS; U.S. National Institute of General Medical Sciences || National Institute of Allergy and Infectious Diseases; NIAID; Instituto Nacional de Alergias y Enfermedades Infecciosas || National Institute of Allergy and Infectious Diseases; NIAID; Instituto Nacional de Alergias y Enfermedades Infecciosas || National Institute of General Medical Sciences; NIGMS; U.S. National Institute of General Medical Sciences</t>
  </si>
  <si>
    <t>https://openalex.org/funders/f4320337354 || https://openalex.org/funders/f4320306230 || https://openalex.org/funders/f4320337355</t>
  </si>
  <si>
    <t>Metabolic Alterations in Cancer Cells and the Emerging Role of Oncometabolites as Drivers of Neoplastic Change</t>
  </si>
  <si>
    <t>https://doi.org/10.3390/antiox7010016</t>
  </si>
  <si>
    <t>NOT MATCHED || National Center for Advancing Translational Sciences; NCATS; NIH-NCATS; NIH's National Center for Advancing Translational; NCATS NIH</t>
  </si>
  <si>
    <t>ERP Responses to Regional Accent Reflect Two Distinct Processes of Perceptual Compensation</t>
  </si>
  <si>
    <t>https://doi.org/10.3389/fnins.2019.00546</t>
  </si>
  <si>
    <t>Nederlandse Organisatie voor Wetenschappelijk Onderzoek; Dutch Research Council; Dutch National Scientific Foundation; Dutch National Science Foundation; NWO; Netherlands Organisation for Scientific Research</t>
  </si>
  <si>
    <t>https://openalex.org/funders/f4320321800</t>
  </si>
  <si>
    <t>Doxorubicin-Induced Cardiotoxicity and Cardioprotective Agents: Classic and New Players in the Game</t>
  </si>
  <si>
    <t>https://doi.org/10.2174/1381612825666190312110836</t>
  </si>
  <si>
    <t>Fundação de Amparo à Pesquisa do Estado de Goiás; Foundation for Research Support of the State of Goiás; FAPEG; Goiás State Research Support Foundation; Research Support Foundation of the State of Goiás || Conselho Nacional de Desenvolvimento Científico e Tecnológico; National Council for Scientific and Technological Development; Brazilian National Council for Research and Development; CNPq</t>
  </si>
  <si>
    <t>https://openalex.org/funders/f4320322025 || https://openalex.org/funders/f4320323204</t>
  </si>
  <si>
    <t>Fixed-target serial oscillation crystallography at room temperature</t>
  </si>
  <si>
    <t>https://doi.org/10.1107/S2052252519001453</t>
  </si>
  <si>
    <t>National Science Foundation; U.S. National Science Foundation; USA NSF; USNSF; NSF; US National Science Foundation; US NSF || National Institute of General Medical Sciences; NIGMS; U.S. National Institute of General Medical Sciences || National Institute of General Medical Sciences; NIGMS; U.S. National Institute of General Medical Sciences || Max-Planck-Gesellschaft; Max-Planck-Gesellschaft zur Förderung der Wissenschaften; MPG; Max Planck Society for the Advancement of Science; Max Planck Society || Canada Excellence Research Chairs, Government of Canada; Chaires d'excellence en recherche du Canada; Canada Excellence Research Chairs Program; CERC</t>
  </si>
  <si>
    <t>https://openalex.org/funders/f4320321481 || https://openalex.org/funders/f4320306076 || https://openalex.org/funders/f4320337354 || https://openalex.org/funders/f4320322434</t>
  </si>
  <si>
    <t>Quantification of water in ethanol using a photothermal transparent transducer</t>
  </si>
  <si>
    <t>https://doi.org/10.1016/j.snb.2012.12.121</t>
  </si>
  <si>
    <t>Conselho Nacional de Desenvolvimento Científico e Tecnológico; National Council for Scientific and Technological Development; Brazilian National Council for Research and Development; CNPq || Coordenação de Aperfeiçoamento de Pessoal de Nível Superior; Coordination for the Improvement of Higher Education Personnel; CAPES; Brazilian Federal Agency for the Support and Evaluation of Graduate Education || Fundação de Apoio ao Desenvolvimento do Ensino, Ciência e Tecnologia do Estado de Mato Grosso do Sul; Foundation for Support and Development of Education, Science and Technology of the State of Mato Grosso do Sul; Foundation for Support and Development of Education, Science and Technology of Mato Grosso do Sul; Support Foundation for the Development of Education, Science and Technology of the State of Mato Grosso do Sul; FUNDECT || National Institute of Science and Technology; NIST; ନେସନାଲ ଇନଷ୍ଟିଚ୍ୟୁଟ୍ ଅଫ୍ ସାଇନ୍ସ ଆଣ୍ଡ ଟେକ୍ନୋଲୋଜି</t>
  </si>
  <si>
    <t>https://openalex.org/funders/f4320321091 || https://openalex.org/funders/f4320322025 || https://openalex.org/institutions/i4210098947 || https://openalex.org/funders/f4320323354</t>
  </si>
  <si>
    <t>Characterization of active chitosan films as a vehicle of potassium sorbate or nisin antimicrobial agents</t>
  </si>
  <si>
    <t>https://doi.org/10.1016/j.foodhyd.2018.09.012</t>
  </si>
  <si>
    <t>Coordenação de Aperfeiçoamento de Pessoal de Nível Superior; Coordination for the Improvement of Higher Education Personnel; CAPES; Brazilian Federal Agency for the Support and Evaluation of Graduate Education || Coordenação de Aperfeiçoamento de Pessoal de Nível Superior; Coordination for the Improvement of Higher Education Personnel; CAPES; Brazilian Federal Agency for the Support and Evaluation of Graduate Education</t>
  </si>
  <si>
    <t>Association of occupational sun safety policy and actions in state transportation sector in the United States</t>
  </si>
  <si>
    <t>https://doi.org/10.1002/ajim.23214</t>
  </si>
  <si>
    <t>National Cancer Institute; NCI; Instituto Nacional del Cáncer</t>
  </si>
  <si>
    <t>A multiblock PLS model of cortico-cortical and corticomuscular interactions in Parkinson's disease</t>
  </si>
  <si>
    <t>https://doi.org/10.1016/j.neuroimage.2012.08.023</t>
  </si>
  <si>
    <t>Natural Sciences and Engineering Research Council of Canada; CRSNG; NSERC; Conseil de Recherches en Sciences Naturelles et en Génie du Canada || Canadian Institutes of Health Research; CIHR; IRSC; Instituts de Recherche en Santé du Canada</t>
  </si>
  <si>
    <t>https://openalex.org/funders/f4320334506 || https://openalex.org/funders/f4320334593</t>
  </si>
  <si>
    <t>Do bigheaded carp act as a phosphorus source for phytoplankton in (sub)tropical Chinese reservoirs?</t>
  </si>
  <si>
    <t>https://doi.org/10.1016/j.watres.2020.115841</t>
  </si>
  <si>
    <t>Anonymous proxy re-encryption</t>
  </si>
  <si>
    <t>https://doi.org/10.1002/sec.326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</si>
  <si>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NOT MATCHED || NOT MATCHED || National Science Foundation; U.S. National Science Foundation; USA NSF; USNSF; NSF; US National Science Foundation; US NSF || Directorate for Computer and Information Science and Engineering; NSF Directorate for Computer &amp; Information Science &amp; Engineering; Computer and Information Science and Engineering; CISE NSF; NSF's Directorate for Computer and Information Science and Engineering; Computer and Information Science and Engineering Directorate National Science Foundation; NSF Computer and Information Science and Engineering; Computer &amp; Information Science &amp; Engineering; CISE\/OAD; NSF Computer &amp; Information Science and Engineering Directorate; Directorate for Computer &amp; Information Science &amp; Engineering; NSF Directorate for Computer and Information Science and Engineering; CISE</t>
  </si>
  <si>
    <t>https://openalex.org/funders/f4320306076 || https://openalex.org/funders/f4320332169 || https://openalex.org/funders/f4320321001</t>
  </si>
  <si>
    <t>CRISPR/Cas12a-Enabled Multiplex Biosensing Strategy Via an Affordable and Visual Nylon Membrane Readout</t>
  </si>
  <si>
    <t>https://doi.org/10.1002/advs.202204689</t>
  </si>
  <si>
    <t>CBT improves maternal perinatal depression in rural Pakistan</t>
  </si>
  <si>
    <t>https://doi.org/10.1136/ebmh.12.2.45</t>
  </si>
  <si>
    <t>Wellcome Trust; The Wellcome Trust; WT; Wellcome</t>
  </si>
  <si>
    <t>https://openalex.org/funders/f4320311904</t>
  </si>
  <si>
    <t>Comprehensive computational model for combining fluid hydrodynamics, light transport and biomass growth in a Taylor vortex algal photobioreactor: Lagrangian approach</t>
  </si>
  <si>
    <t>https://doi.org/10.1016/j.biortech.2016.10.080</t>
  </si>
  <si>
    <t>National Science Foundation; U.S. National Science Foundation; USA NSF; USNSF; NSF; US National Science Foundation; US NSF || Directorate for Engineering; NSF Directorate for Engineering; National Science Foundation's (NSF) Directorate for Engineering (ENG); ENG; Engineering; ENG\/OAD</t>
  </si>
  <si>
    <t>https://openalex.org/funders/f4320306076 || https://openalex.org/funders/f4320332170</t>
  </si>
  <si>
    <t>CRH stimulates POMC activity and corticosterone production in dermal fibroblasts</t>
  </si>
  <si>
    <t>https://doi.org/10.1016/j.jneuroim.2005.01.014</t>
  </si>
  <si>
    <t>Synthesis of ZnO nanorods and its application in NO2 sensors</t>
  </si>
  <si>
    <t>https://doi.org/10.1016/j.snb.2010.10.010</t>
  </si>
  <si>
    <t>National Science Foundation; U.S. National Science Foundation; USA NSF; USNSF; NSF; US National Science Foundation; US NSF || Natural Science Foundation of Beijing Municipality; Beijing Municipal Natural Science Foundation; Natural Science Foundation of Beijing; Beijing Natural Science Foundation</t>
  </si>
  <si>
    <t>https://openalex.org/funders/f4320306076 || https://openalex.org/funders/f4320322919</t>
  </si>
  <si>
    <t>High temperature breakdown of the Stokes-Einstein relation in a computer simulated Cu-Zr melt</t>
  </si>
  <si>
    <t>https://doi.org/10.1063/1.4944081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</si>
  <si>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 || Program for New Century Excellent Talents in University; New Century Excellent Talents Program; Program for New Century Excellent Talents; NCET || Natural Science Foundation of Shanghai; Shanghai Municipal Natural Science Fund; Natural Science Foundation of Shanghai Municipality; Shanghai Municipal Natural Science Foundation; Shanghai Natural Science Foundation || Specialized Research Fund for the Doctoral Program of Higher Education of China; Research Fund for the Doctoral Program of Higher Education of China; SRFDP; Specialized Research Fund for the Doctoral Program of Higher Education; Specialized Research Fund for the Doctoral Program of Higher Education (SRFDP) of the Ministry of Education of China; Research Fund for the Doctoral Program of Higher Education || Alexander von Humboldt-Stiftung; Humboldt-Stiftung; The Humboldt Foundation; Humboldt Foundation; AvH; Alexander von Humboldt-Stiftung\/Foundation; Alexander von Humboldt Foundation; Alexander-von-Humboldt-Stiftung; The Alexander von Humboldt-Foundation</t>
  </si>
  <si>
    <t>https://openalex.org/funders/f4320308269 || https://openalex.org/funders/f4320309612 || https://openalex.org/funders/f4320321001 || https://openalex.org/funders/f4320335777 || https://openalex.org/funders/f4320336024 || https://openalex.org/funders/f4320334924</t>
  </si>
  <si>
    <t>Modeling of three-phase vapor-liquid-liquid equilibria for a natural-gas system rich in nitrogen with the SRK and PC-SAFT EoS</t>
  </si>
  <si>
    <t>https://doi.org/10.1016/j.fluid.2010.07.012</t>
  </si>
  <si>
    <t>Instituto Mexicano del Petróleo; Mexican Petroleum Institute; IMP</t>
  </si>
  <si>
    <t>https://openalex.org/funders/f4320326089</t>
  </si>
  <si>
    <t>OptChain: Optimal Transactions Placement for Scalable Blockchain Sharding</t>
  </si>
  <si>
    <t>https://doi.org/10.1109/ICDCS.2019.00059</t>
  </si>
  <si>
    <t>National Science Foundation; U.S. National Science Foundation; USA NSF; USNSF; NSF; US National Science Foundation; US NSF || Defense Threat Reduction Agency; US DTRA; DOD Defense Threat Reduction Agency; US Defense Threat Reduction Agency; US DoD Defense Threat Reduction Agency; United States Defense Threat Reduction Agency; DTRA; The Defense Threat Reduction Agency; U.S. Defense Threat Reduction Agency</t>
  </si>
  <si>
    <t>https://openalex.org/funders/f4320306076 || https://openalex.org/funders/f4320332186</t>
  </si>
  <si>
    <t>Improvement of surface-enhanced Raman scattering detection and imaging by multivariate curve resolution methods</t>
  </si>
  <si>
    <t>https://doi.org/10.1063/1.5091477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</si>
  <si>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Shanghai Jiao Tong University; SJTU; 上海交通大学 || State Key Laboratory of Oncogene and Related Genes; SKLORG; 癌基因及相关基因国家重点实验室 || Shanghai Key Laboratory of Gynecologic Oncology; 上海交通大学 医学院 附属仁济医院 上海市妇科肿瘤重点实验室; Shanghai Key Laboratory of Gynecologic Oncology at Renji Hospital, SJTU</t>
  </si>
  <si>
    <t>https://openalex.org/funders/f4320330341 || https://openalex.org/funders/f4320322999 || https://openalex.org/institutions/i4210138900 || https://openalex.org/funders/f4320321001</t>
  </si>
  <si>
    <t>Anti-citrullinated protein antibodies cause arthritis by cross-reactivity to joint cartilage</t>
  </si>
  <si>
    <t>https://doi.org/10.1172/jci.insight.93688</t>
  </si>
  <si>
    <t>NOT MATCHED || Knut och Alice Wallenbergs Stiftelse; Knut and Alice Wallenberg Foundation || Vetenskapsrådet; VR; Swedish Research Council || NOT MATCHED || European Synchrotron Radiation Facility; ESRF; The European Synchrotron Radiation Facility || NOT MATCHED || Bundesministerium für Bildung und Forschung; Federal Ministry of Education and Research; BMBF || NOT MATCHED</t>
  </si>
  <si>
    <t>https://openalex.org/funders/f4320320887 || https://openalex.org/funders/f4320322327 || https://openalex.org/funders/f4320321114 || https://openalex.org/funders/f4320322581</t>
  </si>
  <si>
    <t>Glutathione peroxidase activity in seminal plasma and its relationship to classical sperm parameters and in vitro fertilization-intracytoplasmic sperm injection outcome</t>
  </si>
  <si>
    <t>https://doi.org/10.1016/j.fertnstert.2012.01.097</t>
  </si>
  <si>
    <t>NOT MATCHED || Departament de Salut; Department of Health; Departamento de Salud</t>
  </si>
  <si>
    <t>https://openalex.org/institutions/i4210095713</t>
  </si>
  <si>
    <t>How to Find Correlated Internet Failures</t>
  </si>
  <si>
    <t>https://doi.org/10.1007/978-3-030-15986-3_14</t>
  </si>
  <si>
    <t>U.S. Department of Homeland Security; Department of Homeland Security; US Department of Homeland Security; US Homeland Security Department; United States Department of Homeland Security; Department of Homeland Security U.S.; Dept. of Homeland Security; U.S. Dept. of Homeland Security; Homeland Security Department; Homeland Security; The Department of Homeland Security; U.S. DHS; DHS || National Science Foundation; U.S. National Science Foundation; USA NSF; USNSF; NSF; US National Science Foundation; US NSF</t>
  </si>
  <si>
    <t>https://openalex.org/funders/f4320306076 || https://openalex.org/funders/f4320306110</t>
  </si>
  <si>
    <t>Application of a master meter systemto assure crude oil and natural gas quality during transportation</t>
  </si>
  <si>
    <t>https://doi.org/10.1080/10916466.2018.1465972</t>
  </si>
  <si>
    <t>Ministarstvo Prosvete, Nauke i Tehnološkog Razvoja; Ministry of Education, Science and Technological Development; Ministarstvo Prosvete, Nauke i Tehnološkog Razvoja Republike Srbije; Министарство просвете, науке и технолошког развоја; Ministry of Education, Science and Technological Development of the Republic of Serbia; MPNTR; MEST || NOT MATCHED || NOT MATCHED</t>
  </si>
  <si>
    <t>https://openalex.org/funders/f4320322729</t>
  </si>
  <si>
    <t>Exploring the Relationship of Bone Turnover Markers and Bone Mineral Density in Community-Dwelling Postmenopausal Women</t>
  </si>
  <si>
    <t>https://doi.org/10.1155/2021/6690095</t>
  </si>
  <si>
    <t>State Administration of Traditional Chinese Medicine of the People's Republic of China; SATCM; State Administration of Traditional Chinese Medicine; State Administration of TCM || NOT MATCHED || NOT MATCHED</t>
  </si>
  <si>
    <t>https://openalex.org/funders/f4320323484</t>
  </si>
  <si>
    <t>A spiking neural network model of the Superior Colliculus that is robust to changes in the spatial-temporal input</t>
  </si>
  <si>
    <t>https://doi.org/10.1038/s41598-022-10991-6</t>
  </si>
  <si>
    <t>European Commission; Europeiska kommissionen; Ευρωπαϊκής Επιτροπής; Comisia Europeană; Europese Commissie; Euroopa Komisjoni; Eiropas Komisiju; Euroopan komission; Europskoj komisiji; EU; Choimisiúin Eorpaigh; EU-Kommissionen; Evropski komisiji; EC; Comisión Europea; Europos Komisijos; Europäische Kommission; La Commissione europea; Evropské komise; Comissão Europeia; Európskej komisii; Европейската комисия; Európai Bizottságról; Komisja Europejska; Commissione europea; European Union; Commission européenne || European Remanufacturing Council; ERC; CER; Conseil Européen de Remanufacture</t>
  </si>
  <si>
    <t>https://openalex.org/funders/f4320320300 || https://openalex.org/institutions/i4210090207</t>
  </si>
  <si>
    <t>Radical-Enhanced Intersystem Crossing in New Bodipy Derivatives and Application for Efficient Triplet-Triplet Annihilation Upconversion</t>
  </si>
  <si>
    <t>https://doi.org/10.1021/jacs.7b02063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</si>
  <si>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Program for Changjiang Scholars and Innovative Research Team in University; 长江学者和创新团队发展计划资助资助; Program for Yangtze River Scholars and Innovative Research Team in University || Fundamental Research Funds for the Central Universities; Fundamental Research Funds for the Central Universities of China; Fundamental Research Fund for the Central Universities</t>
  </si>
  <si>
    <t>https://openalex.org/funders/f4320338204 || https://openalex.org/funders/f4320335787 || https://openalex.org/funders/f4320321001</t>
  </si>
  <si>
    <t>Diagnosis and Outcome of Early Pleural Space Infection Following Lung Transplantation</t>
  </si>
  <si>
    <t>https://doi.org/10.1378/chest.08-1339</t>
  </si>
  <si>
    <t>Emergence and repeatability of leadership and coordinated motion in fish shoals</t>
  </si>
  <si>
    <t>https://doi.org/10.1093/beheco/arab108</t>
  </si>
  <si>
    <t>Deutsche Forschungsgemeinschaft; German Research Association; DFG; German Research Foundation || Natural Environment Research Council; NERC || Royal Society; The Royal Society || NOT MATCHED || Engineering and Physical Sciences Research Council; EPSRC</t>
  </si>
  <si>
    <t>https://openalex.org/funders/f4320320006 || https://openalex.org/funders/f4320334627 || https://openalex.org/funders/f4320320879 || https://openalex.org/funders/f4320334631</t>
  </si>
  <si>
    <t>Anti-calreticulin antibodies and calreticulin in sera of patients diagnosed with dilated or hypertrophic cardiomyopathy</t>
  </si>
  <si>
    <t>https://doi.org/10.1080/08916934.2016.1214822</t>
  </si>
  <si>
    <t>Grantová Agentura České Republiky; Czech Science Foundation; Grant Agency of the Czech Republic; GAČR; GA ČR; GACR || Technology Agency of the Czech Republic; Technology Agency of the CR; Technology Agency CR; TA ČR; The Technology Agency of the Czech Republic; Technologická agentura ČR; Technology Agency of Czech Republic; TA CR; TACR; Technologická agentura České || NOT MATCHED</t>
  </si>
  <si>
    <t>https://openalex.org/funders/f4320315323 || https://openalex.org/funders/f4320321006</t>
  </si>
  <si>
    <t>Effect of a new motorway on social-spatial patterning of road traffic accidents: A retrospective longitudinal natural experimental study</t>
  </si>
  <si>
    <t>https://doi.org/10.1371/journal.pone.0184047</t>
  </si>
  <si>
    <t>Public Health Research Programme; PHR; NIHR Public Health Research Programme || National Institute for Health and Care Research; NIHR; National Institute for Health Research || Medical Research Council; MRC; UK Medical Research Council || NOT MATCHED || Economic and Social Research Council; ESRC || Medical Research Council; MRC; UK Medical Research Council || Economic and Social Research Council; ESRC || Medical Research Council; MRC; UK Medical Research Council || National Institute for Health and Care Research; NIHR; National Institute for Health Research || Chief Scientist Office; CSO</t>
  </si>
  <si>
    <t>https://openalex.org/funders/f4320334626 || https://openalex.org/funders/f4320319990 || https://openalex.org/funders/f4320334782 || https://openalex.org/funders/f4320320176 || https://openalex.org/funders/f4320334630</t>
  </si>
  <si>
    <t>The Mre11-Nbs1 Interface Is Essential for Viability and Tumor Suppression</t>
  </si>
  <si>
    <t>https://doi.org/10.1016/j.celrep.2016.12.035</t>
  </si>
  <si>
    <t>NOT MATCHED || National Institutes of Health; US National Institutes of Health; Institutos Nacionales de la Salud; NIH || Memorial Sloan-Kettering Cancer Center; MSK Cancer Center; Memorial Sloan Kettering Cancer Center; MSKCC; MSK; Memorial Sloan Kettering || National Cancer Institute; NCI; Instituto Nacional del Cáncer || National Institute of General Medical Sciences; NIGMS; U.S. National Institute of General Medical Sciences || National Institutes of Health; US National Institutes of Health; Institutos Nacionales de la Salud; NIH</t>
  </si>
  <si>
    <t>https://openalex.org/funders/f4320332161 || https://openalex.org/funders/f4320309468 || https://openalex.org/funders/f4320337354 || https://openalex.org/funders/f4320337351</t>
  </si>
  <si>
    <t>Unsupervised gene set testing based on random matrix theory</t>
  </si>
  <si>
    <t>https://doi.org/10.1186/s12859-016-1299-8</t>
  </si>
  <si>
    <t>National Institutes of Health; US National Institutes of Health; Institutos Nacionales de la Salud; NIH || National Cancer Institute; NCI; Instituto Nacional del Cáncer || National Institute of General Medical Sciences; NIGMS; U.S. National Institute of General Medical Sciences || U.S. National Library of Medicine; National Library of Medicine; United States National Library of Medicine; US National Library of Medicine; NLM</t>
  </si>
  <si>
    <t>https://openalex.org/funders/f4320332161 || https://openalex.org/funders/f4320337351 || https://openalex.org/funders/f4320337354 || https://openalex.org/funders/f4320337372</t>
  </si>
  <si>
    <t>A meta-algorithm for brain extraction in MRI</t>
  </si>
  <si>
    <t>https://doi.org/10.1016/j.neuroimage.2004.06.019</t>
  </si>
  <si>
    <t>National Center for Research Resources; NCRR || National Institute of Mental Health; Instituto Nacional de la Salud Mental; NIMH; Mental Health NIMH || National Center for Research Resources; NCRR || National Institute of General Medical Sciences; NIGMS; U.S. National Institute of General Medical Sciences || National Institute of Mental Health; Instituto Nacional de la Salud Mental; NIMH; Mental Health NIMH</t>
  </si>
  <si>
    <t>https://openalex.org/funders/f4320337354 || https://openalex.org/funders/f4320337346 || https://openalex.org/funders/f4320337375</t>
  </si>
  <si>
    <t>Traumatic fractures as a result of falls in children and adolescents A retrospective observational study</t>
  </si>
  <si>
    <t>https://doi.org/10.1097/MD.0000000000007879</t>
  </si>
  <si>
    <t>State Key Laboratory of Robotics || State Key Laboratory of Materials Processing and Die &amp; Mould Technology; 材料成形与模具技术国家重点实验室; State Key Lab of Materials Processing and Die &amp; Mould Technology || NOT MATCHED || NOT MATCHED || NOT MATCHED</t>
  </si>
  <si>
    <t>https://openalex.org/funders/f4320326907 || https://openalex.org/institutions/i4391767882</t>
  </si>
  <si>
    <t>Trends in Salivary Gland Tissue Engineering: From Stem Cells to Secretome and Organoid Bioprinting</t>
  </si>
  <si>
    <t>https://doi.org/10.1089/ten.teb.2020.0149</t>
  </si>
  <si>
    <t>Chulalongkorn University; จุฬาลงกรณ์มหาวิทยาลัย; CU || NOT MATCHED || Chulalongkorn University; จุฬาลงกรณ์มหาวิทยาลัย; CU</t>
  </si>
  <si>
    <t>https://openalex.org/funders/f4320321557</t>
  </si>
  <si>
    <t>Distributed assignment with limited communication for multi-robot multi-target tracking</t>
  </si>
  <si>
    <t>https://doi.org/10.1007/s10514-019-09856-1</t>
  </si>
  <si>
    <t>Green economic growth and its inherent driving factors in Chinese cities: Based on the Metafrontier-global-SBM super-efficiency DEA model</t>
  </si>
  <si>
    <t>https://doi.org/10.1016/j.gr.2022.01.013</t>
  </si>
  <si>
    <t>NOT MATCHED || National Social Science Fund of China; National Social Science Foundation of China; Chinese National Funding of Social Sciences; 国家社会科学基金; National Social Science Foundation; NSSFC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 || Chinese Academy of Sciences; CAS; 中国科学院</t>
  </si>
  <si>
    <t>https://openalex.org/funders/f4320321133 || https://openalex.org/funders/f4320335777 || https://openalex.org/funders/f4320335869 || https://openalex.org/funders/f4320321001</t>
  </si>
  <si>
    <t>Management of Raynaud's Phenomenon and Digital Ischemia</t>
  </si>
  <si>
    <t>https://doi.org/10.1007/s11926-012-0303-1</t>
  </si>
  <si>
    <t>Actelion Pharmaceuticals; Actelion Pharmaceuticals Ltd || Pfizer; Pfizer Inc.; Pfizer Consumer Healthcare || NOT MATCHED || United Therapeutics Corporation; United Therapeutics || NOT MATCHED</t>
  </si>
  <si>
    <t>https://openalex.org/funders/f4320338282 || https://openalex.org/funders/f4320309555 || https://openalex.org/funders/f4320307765</t>
  </si>
  <si>
    <t>Topological configuration analysis and design for foam filled multi-cell tubes</t>
  </si>
  <si>
    <t>https://doi.org/10.1016/j.engstruct.2017.10.063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</si>
  <si>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State Key Laboratory of Advanced Design and Manufacturing for Vehicle Body; National Key Laboratory of Advanced Design and Manufacturing of Vehicle Body, Hunan University; SKLDMVB</t>
  </si>
  <si>
    <t>https://openalex.org/funders/f4320326870 || https://openalex.org/funders/f4320321001</t>
  </si>
  <si>
    <t>Transcranial imaging with the optoacoustic memory effect</t>
  </si>
  <si>
    <t>https://doi.org/10.1117/12.2608160</t>
  </si>
  <si>
    <t>European Research Council; ERC</t>
  </si>
  <si>
    <t>Manganese systemic distribution is modulated in vivo during tumor progression and affects tumor cell migration and invasion in vitro</t>
  </si>
  <si>
    <t>https://doi.org/10.1038/s41598-021-95190-5</t>
  </si>
  <si>
    <t>Fundação Carlos Chagas Filho de Amparo à Pesquisa do Estado do Rio de Janeiro; FAPERJ; Carlos Chagas Filho Foundation for Research Support in Rio de Janeiro; Research Support Foundation for the State of Rio de Janeiro; Fundação de Amparo à Pesquisa do Estado do Rio de Janeiro || Coordenação de Aperfeiçoamento de Pessoal de Nível Superior; Coordination for the Improvement of Higher Education Personnel; CAPES; Brazilian Federal Agency for the Support and Evaluation of Graduate Education || Conselho Nacional de Desenvolvimento Científico e Tecnológico; National Council for Scientific and Technological Development; Brazilian National Council for Research and Development; CNPq || Fundação Ary Frauzino para Pesquisa e Controle do Câncer; FAF; Ary Frauzino Foundation for Cancer Research and Control; Ary Frauzino Foundation for Cancer Research &amp; Control || Rio de Janeiro Federal Institute of Education, Science and Technology; IFRJ; Instituto Federal de Educação, Ciência e Tecnologia do Rio de Janeiro; Centro Federal de Educação Tecnológica de Química de Nilópolis; Federal Institute of Rio de Janeiro</t>
  </si>
  <si>
    <t>https://openalex.org/institutions/i270441400 || https://openalex.org/funders/f4320322025 || https://openalex.org/funders/f4320323009 || https://openalex.org/funders/f4320322749 || https://openalex.org/funders/f4320321091</t>
  </si>
  <si>
    <t>Solid dispersion of prednisolone: solid state characterization and improvement of dissolution profile</t>
  </si>
  <si>
    <t>https://doi.org/10.3109/03639045.2010.513984</t>
  </si>
  <si>
    <t>Streaming Sensor Data from Dynamically Reprogrammable Tasks Running on Mobile Devices</t>
  </si>
  <si>
    <t>https://doi.org/10.1145/3137133.3137139</t>
  </si>
  <si>
    <t>Fundação para a Ciência e a Tecnologia; FCT; Portuguese Science and Technology Foundation; Foundation for Science and Technology || NOT MATCHED</t>
  </si>
  <si>
    <t>On the scattered field generated by a ball inhomogeneity of constant index in dimension three</t>
  </si>
  <si>
    <t>https://doi.org/10.1090/conm/577/11463</t>
  </si>
  <si>
    <t>Precise Macromolecular Engineering via Continuous-Flow Synthesis Techniques</t>
  </si>
  <si>
    <t>https://doi.org/10.1556/1846.2017.00030</t>
  </si>
  <si>
    <t>Fonds Wetenschappelijk Onderzoek; Flemish Research Foundation; FWO; Research Foundation Flanders</t>
  </si>
  <si>
    <t>Cocaine self-administration induces changes in synaptic transmission and plasticity in ventral hippocampus</t>
  </si>
  <si>
    <t>https://doi.org/10.1111/adb.12345</t>
  </si>
  <si>
    <t>2D DIGE analysis of the bursa of Fabricius reveals characteristic proteome profiles for different stages of chicken B-cell development</t>
  </si>
  <si>
    <t>https://doi.org/10.1002/pmic.201200177</t>
  </si>
  <si>
    <t>Bundesministerium für Bildung und Forschung; Federal Ministry of Education and Research; BMBF</t>
  </si>
  <si>
    <t>https://openalex.org/funders/f4320321114</t>
  </si>
  <si>
    <t>Micro-punching of aluminum foil by laser dynamic flexible punching process</t>
  </si>
  <si>
    <t>https://doi.org/10.1007/s12289-013-1159-2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</si>
  <si>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Natural Science Foundation of Jiangsu Province; Jiangsu Provincial Natural Science Foundation; Jiangsu Natural Science Foundation; Jiangsu Province Natural Science Foundation || Government of Jiangsu Province; Jiangsu Province</t>
  </si>
  <si>
    <t>https://openalex.org/funders/f4320322769 || https://openalex.org/funders/f4320321001 || https://openalex.org/funders/f4320321605</t>
  </si>
  <si>
    <t>Voice Communication in Noisy Environments in a Smart House Using Hybrid LMS plus ICA Algorithm</t>
  </si>
  <si>
    <t>https://doi.org/10.3390/s20216022</t>
  </si>
  <si>
    <t>Ministry of Education; 교육부; MOE; Ministry of Education of the Republic of Korea || NOT MATCHED</t>
  </si>
  <si>
    <t>https://openalex.org/funders/f4320321408</t>
  </si>
  <si>
    <t>Quivers, Line Defects and Framed BPS Invariants</t>
  </si>
  <si>
    <t>https://doi.org/10.1007/s00023-017-0611-0</t>
  </si>
  <si>
    <t>NOT MATCHED || IST-ID - Associação do Instituto Superior Técnico para a Investigação e Desenvolvimento; IST-ID; Associação do Instituto Superior Técnico para a Investigação e Desenvolvimento || NOT MATCHED || NOT MATCHED || European Cooperation in Science and Technology; COST; European Cooperation in Science &amp; Technology; The European Cooperation in Science and Technology || Entidade Reguladora para a Comunicação Social; ERC</t>
  </si>
  <si>
    <t>https://openalex.org/funders/f4320320366 || https://openalex.org/institutions/i4409876535 || https://openalex.org/institutions/i4392738108</t>
  </si>
  <si>
    <t>Rhes Tunnels: A Radical New Way of Communication in the Brain's Striatum?</t>
  </si>
  <si>
    <t>https://doi.org/10.1002/bies.201900231</t>
  </si>
  <si>
    <t>National Institute of Neurological Disorders and Stroke; National Institute of Neurological Disorders &amp; Stroke; NIH\/National Institute of Neurological Disorders and Stroke; The National Institute of Neurological Disorders and Stroke; Instituto Nacional de Trastornos Neurológicos y Accidentes Cerebrovasculares; NIH National Institute of Neurological Disorders and Stroke; NINDS || CHDI Foundation; CHDI; CHDI FOUNDATION INC; CHDI Foundation Inc.; CHDI Foundation, Inc.</t>
  </si>
  <si>
    <t>https://openalex.org/funders/f4320337359 || https://openalex.org/funders/f4320308687</t>
  </si>
  <si>
    <t>Ca2+-Mediated Interaction Between Microsilica and Polycarboxylate Comb Polymers in a Model Cement Pore Solution</t>
  </si>
  <si>
    <t>https://doi.org/10.1111/j.1551-2916.2010.03901.x</t>
  </si>
  <si>
    <t>Jürgen Manchot Stiftung; Jürgen Manchot Foundation</t>
  </si>
  <si>
    <t>https://openalex.org/funders/f4320311808</t>
  </si>
  <si>
    <t>Health-Related Quality of Life and Overall Life Satisfaction in People with Serious Mental Illness</t>
  </si>
  <si>
    <t>https://doi.org/10.1155/2012/245103</t>
  </si>
  <si>
    <t>University of Missouri; University of Missouri-Columbia; MU; Universitas Missouriensis; University of Missouri, Columbia; Mizzou</t>
  </si>
  <si>
    <t>https://openalex.org/funders/f4320309568</t>
  </si>
  <si>
    <t>In vivo long-term investigation of tumor bearing mKate2 by an in-house fluorescence molecular imaging system</t>
  </si>
  <si>
    <t>https://doi.org/10.1186/s12938-018-0615-0</t>
  </si>
  <si>
    <t>National Science and Technology Major Project; 国家科技重大专项; National Science and Technology Major Project of the Ministry of Science and Technology of China; National Science and Technology Mega-Project Program of China; National Science and Technology Mega-Projects of China; National Science and Technology Key Project of China; National S&amp;T Mega-Projects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Natural Science Foundation of Beijing Municipality; Beijing Municipal Natural Science Foundation; Natural Science Foundation of Beijing; Beijing Natural Science Foundation</t>
  </si>
  <si>
    <t>https://openalex.org/funders/f4320322919 || https://openalex.org/funders/f4320321001 || https://openalex.org/funders/f4320329860</t>
  </si>
  <si>
    <t>Flight delay forecasting and analysis of direct and indirect factors</t>
  </si>
  <si>
    <t>https://doi.org/10.1049/itr2.12183</t>
  </si>
  <si>
    <t>Effect of w(MgO)/w(Al2O3) ratio and basicity on microstructure and metallurgical properties of blast furnace slag</t>
  </si>
  <si>
    <t>https://doi.org/10.1007/s42243-021-00622-1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</si>
  <si>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University of Science and Technology Liaoning; USTL; University of Science and Technology of Liaoning || NOT MATCHED</t>
  </si>
  <si>
    <t>https://openalex.org/funders/f4320322872 || https://openalex.org/funders/f4320321001</t>
  </si>
  <si>
    <t>Carbonate mounds in the Santaren Channel, Bahamas: A current-dominated periplatform depositional regime</t>
  </si>
  <si>
    <t>https://doi.org/10.1016/j.margeo.2016.03.013</t>
  </si>
  <si>
    <t>Deutsche Forschungsgemeinschaft; German Research Association; DFG; German Research Foundation || NOT MATCHED || NOT MATCHED</t>
  </si>
  <si>
    <t>Multiple amino acid substitutions involved in the virulence enhancement of an H3N2 avian influenza A virus isolated from wild waterfowl in mice</t>
  </si>
  <si>
    <t>https://doi.org/10.1016/j.vetmic.2017.05.020</t>
  </si>
  <si>
    <t>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 || Research and Development; State Science and Technology Commission || Shandong Academy of Agricultural Sciences; SAAS</t>
  </si>
  <si>
    <t>https://openalex.org/funders/f4320335777 || https://openalex.org/funders/f4320328723 || https://openalex.org/funders/f4320337504</t>
  </si>
  <si>
    <t>Benefit duration, job search behavior and re-employment</t>
  </si>
  <si>
    <t>https://doi.org/10.1016/j.jpubeco.2020.104326</t>
  </si>
  <si>
    <t>Molecular Interactions of the Long Noncoding RNA NEAT1 in Cancer</t>
  </si>
  <si>
    <t>https://doi.org/10.3390/cancers14164009</t>
  </si>
  <si>
    <t>Auxin distribution is differentially affected by nitrate in roots of two rice cultivars differing in responsiveness to nitrogen</t>
  </si>
  <si>
    <t>https://doi.org/10.1093/aob/mct212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</si>
  <si>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Ministry of Science and Technology, Taiwan; Ministry of Science and Technology of Taiwan; MOST; Ministry of Science and Technology, R.O.C. (Taiwan) || State Key Laboratory of Soil and Sustainable Agriculture; State Key Lab of Soil and Sustainable Agriculture; 土壤与农业可持续发展国家重点实验室 || Priority Academic Program Development of Jiangsu Higher Education Institutions; PAPD || NOT MATCHED</t>
  </si>
  <si>
    <t>https://openalex.org/funders/f4320322795 || https://openalex.org/funders/f4320327518 || https://openalex.org/funders/f4320321001 || https://openalex.org/institutions/i4391767712</t>
  </si>
  <si>
    <t>Spatial Separation of Cocatalysts on Z-Scheme Organic/Inorganic Heterostructure Hollow Spheres for Enhanced Photocatalytic H-2 Evolution and In-Depth Analysis of the Charge-Transfer Mechanism</t>
  </si>
  <si>
    <t>https://doi.org/10.1002/adma.202200172</t>
  </si>
  <si>
    <t>Soliton collisions for a higher-order nonlinear Schrodinger-Maxwell-Bloch system in an erbium-doped fiber</t>
  </si>
  <si>
    <t>https://doi.org/10.1016/j.cjph.2017.04.008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</si>
  <si>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State Key Laboratory of Information Photonics and Optical Communications; 信息光子学与光通信国家重点实验室; State Key Lab of Information Photonics and Optical Communications || Beijing University of Posts and Telecommunications; BUPT; 北京邮电大学举办</t>
  </si>
  <si>
    <t>https://openalex.org/institutions/i4391767763 || https://openalex.org/funders/f4320321001 || https://openalex.org/funders/f4320321470</t>
  </si>
  <si>
    <t>Spatial variations of intra-city urban heat island in megacity Delhi</t>
  </si>
  <si>
    <t>https://doi.org/10.1016/j.scs.2017.11.026</t>
  </si>
  <si>
    <t>University Grants Commission; UGC; University Grants Commission India; विश्वविद्यालय अनुदान आयोग; यूजीसी || Council of Scientific and Industrial Research, India; CSIR, India; CSIR; Council of Scientific and Industrial Research; Council of Scientific &amp; Industrial Research; वैज्ञानिक तथा औद्योगिक अनुसंधान परिषद; CSIR INDIA; सीएसआईआर</t>
  </si>
  <si>
    <t>https://openalex.org/funders/f4320320721 || https://openalex.org/funders/f4320320767</t>
  </si>
  <si>
    <t>Toxicants in cigarette smoke adsorbed on red phosphorene nanosheet: A first-principles insight</t>
  </si>
  <si>
    <t>https://doi.org/10.1016/j.chemphys.2019.110604</t>
  </si>
  <si>
    <t>Department of Science and Technology, Ministry of Science and Technology, India; डीएसटी; Department of Science &amp; Technology, Ministry of Science and Technology, India; Department of Science &amp; Technology; DST; विज्ञान और प्रौद्योगिकी विभाग; Department of Science and Technology; विज्ञान और प्रौद्योगिकी विभाग, विज्ञान और प्रौद्योगिकी मंत्रालय, भारत</t>
  </si>
  <si>
    <t>https://openalex.org/funders/f4320320719</t>
  </si>
  <si>
    <t>Experimental study on uplift behavior of shallow anchor plates in geogrid-reinforced soil</t>
  </si>
  <si>
    <t>https://doi.org/10.1016/j.geotexmem.2022.06.006</t>
  </si>
  <si>
    <t>Mode I fracture characterisation of FRP-concrete interfaces under dynamic loading</t>
  </si>
  <si>
    <t>https://doi.org/10.1016/j.compstruct.2020.112824</t>
  </si>
  <si>
    <t>Nanyang Technological University; NTU; Nanyang Technological University, Singapore; 南洋理工大学; NTU Singapore || Folke Rydén Production (Sweden); FRP</t>
  </si>
  <si>
    <t>https://openalex.org/funders/f4320320766 || https://openalex.org/institutions/i4210130170</t>
  </si>
  <si>
    <t>Fabrication of Nanoarchitectonic AgOx/BiPO4 Electrochemical Sensor for Detection of Resveratrol</t>
  </si>
  <si>
    <t>https://doi.org/10.1166/jnn.2020.17454</t>
  </si>
  <si>
    <t>Contribution of a DNA barcode to an assessment of the specificity of ant taxa (Hymenoptera: Formicidae) on Corsica</t>
  </si>
  <si>
    <t>https://doi.org/10.14411/eje.2020.046</t>
  </si>
  <si>
    <t>Centre Méditerranéen de l’Environnement et de la Biodiversité; Mediterranean Centre for Environment and Biodiversity Laboratory of Excellence; LabEx CeMEB; CeMEB || NOT MATCHED || NOT MATCHED || NOT MATCHED</t>
  </si>
  <si>
    <t>https://openalex.org/funders/f4320317508</t>
  </si>
  <si>
    <t>Environmental Impact on the Excitation Path of the Red Upconversion Emission of Nanocrystalline NaYF4:Yb3+,Er3+</t>
  </si>
  <si>
    <t>https://doi.org/10.1021/acs.jpcc.7b01019</t>
  </si>
  <si>
    <t>Tekes; Finnish Funding Agency for Innovation || Tekes; Finnish Funding Agency for Innovation || NOT MATCHED || European Commission; Europeiska kommissionen; Ευρωπαϊκής Επιτροπής; Comisia Europeană; Europese Commissie; Euroopa Komisjoni; Eiropas Komisiju; Euroopan komission; Europskoj komisiji; EU; Choimisiúin Eorpaigh; EU-Kommissionen; Evropski komisiji; EC; Comisión Europea; Europos Komisijos; Europäische Kommission; La Commissione europea; Evropské komise; Comissão Europeia; Európskej komisii; Европейската комисия; Európai Bizottságról; Komisja Europejska; Commissione europea; European Union; Commission européenne</t>
  </si>
  <si>
    <t>https://openalex.org/funders/f4320321855 || https://openalex.org/funders/f4320320300</t>
  </si>
  <si>
    <t>Revisiting the influence of metals on resorcinol-formaldehyde carbon gels: Physicochemical properties, transformations and synergism between phases</t>
  </si>
  <si>
    <t>https://doi.org/10.1016/j.ica.2022.120850</t>
  </si>
  <si>
    <t>NOT MATCHED || NOT MATCHED || European Social Fund; ESF; The European Social Fund; Europäische Sozialfonds; Fondo Sociale Europeo; Fonds Social Européen; Fondo Social Europeo || Fundació Salut Empordà; FSE; Emporda Health Foundation; FSE Figueres</t>
  </si>
  <si>
    <t>https://openalex.org/funders/f4320338080 || https://openalex.org/institutions/i4403928275</t>
  </si>
  <si>
    <t>Inorganic narrow bandgap CsPb0.4Sn0.6I2.4Br0.6 perovskite solar cells with exceptional efficiency</t>
  </si>
  <si>
    <t>https://doi.org/10.1016/j.nanoen.2020.105309</t>
  </si>
  <si>
    <t>National Research Foundation of Korea; NRF; 한국연구재단이 창의적 연구와 || Korea Institute of Energy Technology Evaluation and Planning; KETEP</t>
  </si>
  <si>
    <t>https://openalex.org/funders/f4320335199 || https://openalex.org/funders/f4320322120</t>
  </si>
  <si>
    <t>Interpreting Strong Two-Photon Absorption of PE3 Platinum Acetylide Complex: Double Resonance and Excited State Absorption</t>
  </si>
  <si>
    <t>https://doi.org/10.1021/ph4000357</t>
  </si>
  <si>
    <t>Fundação de Amparo à Pesquisa do Estado de São Paulo; São Paulo Research Foundation; Foundation for Research Support of the State of São Paulo; FAPESP; State of São Paulo Research Foundation || Conselho Nacional de Desenvolvimento Científico e Tecnológico; National Council for Scientific and Technological Development; Brazilian National Council for Research and Development; CNPq || Coordenação de Aperfeiçoamento de Pessoal de Nível Superior; Coordination for the Improvement of Higher Education Personnel; CAPES; Brazilian Federal Agency for the Support and Evaluation of Graduate Education || Air Force Office of Scientific Research; AFOSR; The Air Force Office of Scientific Research; US Air Force Office of Scientific Research; United States Air Force Office of Scientific Research; AF Office of Scientific Research</t>
  </si>
  <si>
    <t>https://openalex.org/funders/f4320338279 || https://openalex.org/funders/f4320321091 || https://openalex.org/funders/f4320322025 || https://openalex.org/funders/f4320320997</t>
  </si>
  <si>
    <t>Radiocarbon dates, microblades and Late Pleistocene human migrations in the Transbaikal, Russia and the Paleo-Sakhalin-Hokkaido-Kuril Peninsula</t>
  </si>
  <si>
    <t>https://doi.org/10.1016/j.quaint.2016.02.050</t>
  </si>
  <si>
    <t>NOT MATCHED || NOT MATCHED || Japan Society for the Promotion of Science; Grants-in-Aid for Scientific Research; Grants-in-Aid for Scientific Research Program; KAKENHI; 日本学術振興会; KAKEN; JSPS</t>
  </si>
  <si>
    <t>Valuing information security from a phishing attack</t>
  </si>
  <si>
    <t>https://doi.org/10.1093/cybsec/tyx006</t>
  </si>
  <si>
    <t>C.R.E.A.T.E. Consorzio Di Ricerca Per L'Energia E Le Applicazioni Technologiche Dell'Elettromagnetismo; CREATE; Consortium for Energy Research and Technological Applications of Electromagnetism; Consorzio Di Ricerca Per L'Energia E Le Applicazioni Technologiche Dell'Elettromagnetismo || National Science Foundation; U.S. National Science Foundation; USA NSF; USNSF; NSF; US National Science Foundation; US NSF</t>
  </si>
  <si>
    <t>https://openalex.org/funders/f4320306076 || https://openalex.org/institutions/i4392738200</t>
  </si>
  <si>
    <t>Comprehensive study of electrosurface properties of detonation nanodiamond particle agglomerates in aqueous KCl solutions</t>
  </si>
  <si>
    <t>https://doi.org/10.1134/S1061933X12040163</t>
  </si>
  <si>
    <t>NOT MATCHED || Russian Academy of Sciences; Российская Академия Наук; РАН; RAS</t>
  </si>
  <si>
    <t>https://openalex.org/funders/f4320334801</t>
  </si>
  <si>
    <t>MALDI Mass Spectral Imaging of Bile Acids Observed as Deprotonated Molecules and Proton-Bound Dimers from Mouse Liver Sections</t>
  </si>
  <si>
    <t>https://doi.org/10.1007/s13361-017-1886-6</t>
  </si>
  <si>
    <t>Deutsche Forschungsgemeinschaft; German Research Association; DFG; German Research Foundation || Alfried Krupp von Bohlen und Halbach-Stiftung; Krupp Foundation; Krupp-Stiftung; Alfried Krupp von Bohlen und Halbach Foundation</t>
  </si>
  <si>
    <t>https://openalex.org/funders/f4320320879 || https://openalex.org/funders/f4320323223</t>
  </si>
  <si>
    <t>Development of a Metric to Detect and Decrease Low-Value Prescribing in Older Adults</t>
  </si>
  <si>
    <t>https://doi.org/10.1001/jamanetworkopen.2021.48599</t>
  </si>
  <si>
    <t>National Institute on Aging; The National Institute on Aging; NIA; NIH NATIONAL INSTITUTE ON AGING; U.S. National Institute on Aging</t>
  </si>
  <si>
    <t>Analysis and Measurement of the Displacement Sensor Based on an Up-tapered Mach-Zehnder Interferometer</t>
  </si>
  <si>
    <t>https://doi.org/10.1088/0256-307X/31/3/034203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</si>
  <si>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</t>
  </si>
  <si>
    <t>Repression of Pumilio Protein Expression by Rbfox1 Promotes Germ Cell Differentiation</t>
  </si>
  <si>
    <t>https://doi.org/10.1016/j.devcel.2016.02.010</t>
  </si>
  <si>
    <t>National Institute of General Medical Sciences; NIGMS; U.S. National Institute of General Medical Sciences || Howard Hughes Medical Institute; The Howard Hughes Medical Institute; HHMI || National Institute on Aging; The National Institute on Aging; NIA; NIH NATIONAL INSTITUTE ON AGING; U.S. National Institute on Aging || Science Foundation Ireland; SFI || National Institute of General Medical Sciences; NIGMS; U.S. National Institute of General Medical Sciences || National Institute on Aging; The National Institute on Aging; NIA; NIH NATIONAL INSTITUTE ON AGING; U.S. National Institute on Aging</t>
  </si>
  <si>
    <t>https://openalex.org/funders/f4320337337 || https://openalex.org/funders/f4320337354 || https://openalex.org/funders/f4320306082 || https://openalex.org/funders/f4320320847</t>
  </si>
  <si>
    <t>Carbon Quantum Dots: In vitro and in vivo Studies on Biocompatibility and Biointeractions for Optical Imaging</t>
  </si>
  <si>
    <t>https://doi.org/10.2147/IJN.S257645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</si>
  <si>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Natural Science Foundation of Guangdong Province; Guangdong Natural Science Foundation; Guangdong Provincial Natural Science Foundation; Natural Science Foundation of Guangdong || Science and Technology Planning Project of Guangdong Province; Key Project of Guangdong Province Science &amp; Technology Plan; Science and Technology Program of Guangdong; Guangdong Science and Technology Foundation; Science and Technology Projects of Guangdong Province; Scientific and Technological Plan of Guangdong Province; S&amp;T Project of Guangdong Province; Guangdong Science and Technology Program || NOT MATCHED</t>
  </si>
  <si>
    <t>https://openalex.org/funders/f4320335795 || https://openalex.org/funders/f4320321921 || https://openalex.org/funders/f4320321001</t>
  </si>
  <si>
    <t>Comparative assessment of biomarker response to tissue metal concentrations in urban populations of the land snail Helix pomatia (Pulmonata: Helicidae)</t>
  </si>
  <si>
    <t>https://doi.org/10.1016/j.cbpb.2020.110448</t>
  </si>
  <si>
    <t>Ministarstvo Prosvete, Nauke i Tehnološkog Razvoja; Ministry of Education, Science and Technological Development; Ministarstvo Prosvete, Nauke i Tehnološkog Razvoja Republike Srbije; Министарство просвете, науке и технолошког развоја; Ministry of Education, Science and Technological Development of the Republic of Serbia; MPNTR; MEST</t>
  </si>
  <si>
    <t>E2f6-mediated repression of the meiotic Stag3 and Smc1 beta genes during early embryonic development requires Ezh2 and not the de novo methyltransferase Dnmt3b</t>
  </si>
  <si>
    <t>https://doi.org/10.4161/epi.25522</t>
  </si>
  <si>
    <t>National Institutes of Health; US National Institutes of Health; Institutos Nacionales de la Salud; NIH || NOT MATCHED || Japan Society for the Promotion of Science; Grants-in-Aid for Scientific Research; Grants-in-Aid for Scientific Research Program; KAKENHI; 日本学術振興会; KAKEN; JSPS || Eunice Kennedy Shriver National Institute of Child Health and Human Development; NIH Eunice Kennedy Shriver National Institute of Child Health and Human Development; NIH Eunice Kennedy Shriver National Institute of Child Health &amp; Human Development; Eunice Kennedy Shriver National Institute of Child Health and Human Development at the National Institutes of Health; NICHD; National Institutes of Health\/Eunice Kennedy Shriver National Institute of Child Health &amp; Human Development; Eunice Kennedy Shriver National Institute of Child Health &amp; Human Development; Instituto Nacional de Salud Infantil y Desarrollo Humano Eunice Kennedy Shriver; NIH\/NICHD; Eunice Kennedy Shriver National Institute of Child Health and Human Development of the National Institutes of Health; NIH\/Eunice Kennedy Shriver National Institute of Child Health and Human Development || National Institute of General Medical Sciences; NIGMS; U.S. National Institute of General Medical Sciences</t>
  </si>
  <si>
    <t>https://openalex.org/funders/f4320332161 || https://openalex.org/funders/f4320337354 || https://openalex.org/funders/f4320334764 || https://openalex.org/funders/f4320337611</t>
  </si>
  <si>
    <t>Using Vegetation Indices to Characterize Vegetation Cover Change in the Urban Areas of Southern China</t>
  </si>
  <si>
    <t>https://doi.org/10.3390/su12229403</t>
  </si>
  <si>
    <t>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Fundamental Research Funds for the Central Universities; Fundamental Research Funds for the Central Universities of China; Fundamental Research Fund for the Central Universities</t>
  </si>
  <si>
    <t>Fabrication of a Large-Area Al-Doped ZnO Nanowire Array Photosensor with Enhanced Photoresponse by Straining</t>
  </si>
  <si>
    <t>https://doi.org/10.1002/adfm.201200344</t>
  </si>
  <si>
    <t>Activation of nitrite by freezing process for anaerobic digestion enhancement of waste activated sludge: Performance and mechanisms</t>
  </si>
  <si>
    <t>https://doi.org/10.1016/j.cej.2020.124147</t>
  </si>
  <si>
    <t>NOT MATCHED || NOT MATCHED || Shanghai Tongji Gao Tingyao Environmental Science and Technology Development Foundation; 上海同济高廷耀环保科技发展基金会; Shanghai Tongji Gao Tingyao Environmental Science &amp; Technology Development Foundation; STGEF</t>
  </si>
  <si>
    <t>https://openalex.org/funders/f4320317552</t>
  </si>
  <si>
    <t>A Simple Methodology for Estimating Mean and Variability of Annual Runoff and Reservoir Yield under Present and Future Climates</t>
  </si>
  <si>
    <t>https://doi.org/10.1175/2010JHM1288.1</t>
  </si>
  <si>
    <t>Australian Research Council; The Australian Research Council; ARC || Commonwealth Scientific and Industrial Research Organisation; CSIRO; Commonwealth Scientific &amp; Industrial Research Organisation</t>
  </si>
  <si>
    <t>https://openalex.org/funders/f4320334704 || https://openalex.org/funders/f4320320386</t>
  </si>
  <si>
    <t>High and Low Stimulus-Driven Conflict Engage Segregated Brain Networks, Not Quantitatively Different Resources</t>
  </si>
  <si>
    <t>https://doi.org/10.1007/s10548-013-0303-0</t>
  </si>
  <si>
    <t>NOT MATCHED || Centre d'Imagerie BioMédicale; Center for Biomedical Imaging; CIBM || Centre d'Imagerie BioMédicale; Center for Biomedical Imaging; CIBM</t>
  </si>
  <si>
    <t>https://openalex.org/funders/f4320323832</t>
  </si>
  <si>
    <t>Immune Modulatory Effects of IL-22 on Allergen-Induced Pulmonary Inflammation</t>
  </si>
  <si>
    <t>https://doi.org/10.1371/journal.pone.0107454</t>
  </si>
  <si>
    <t>National Institutes of Health; US National Institutes of Health; Institutos Nacionales de la Salud; NIH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National Heart, Lung, and Blood Institute; NIH\/National Heart, Lung and Blood Institute; National Heart Lung &amp; Blood Institute; NHLBI || National Institute of Allergy and Infectious Diseases; NIAID; Instituto Nacional de Alergias y Enfermedades Infecciosas</t>
  </si>
  <si>
    <t>https://openalex.org/funders/f4320332161 || https://openalex.org/funders/f4320337338 || https://openalex.org/funders/f4320321001 || https://openalex.org/funders/f4320337355</t>
  </si>
  <si>
    <t>Evolution of protein fold in the presence of functional constraints</t>
  </si>
  <si>
    <t>https://doi.org/10.1016/j.sbi.2006.04.003</t>
  </si>
  <si>
    <t>Medical Research Council; MRC; UK Medical Research Council</t>
  </si>
  <si>
    <t>https://openalex.org/funders/f4320334626</t>
  </si>
  <si>
    <t>Magnetostratigraphic and rock magnetic study of the Neogene upper Yaha section, Kuche Depression (Tarim Basin): Implications to formation of the Xiyu conglomerate formation, NW China</t>
  </si>
  <si>
    <t>https://doi.org/10.1029/2008JB006175</t>
  </si>
  <si>
    <t>Young Children Treat Robots as Informants</t>
  </si>
  <si>
    <t>https://doi.org/10.1111/tops.12192</t>
  </si>
  <si>
    <t>Division of Research on Learning in Formal and Informal Settings; NSF Division of Research on Learning in Formal and Informal Settings; EHR\/DRL; EDU\/DRL; NSF's Division of Research in Learning in Formal and Informal Settings; DRL; Research on Learning in Formal and Informal Settings || Division of Information and Intelligent Systems; IIS; Information &amp; Intelligent Systems; Information and Intelligent Systems; NSF Division of Information and Intelligent Systems; CISE - IIS; Division of Information &amp; Intelligent Systems; CISE\/IIS; US NSF - CISE - IIS</t>
  </si>
  <si>
    <t>https://openalex.org/funders/f4320337409 || https://openalex.org/funders/f4320337389</t>
  </si>
  <si>
    <t>Effects of streptozotocin-induced type 1 maternal diabetes on PI3K/AKT signaling pathway in the hippocampus of rat neonates</t>
  </si>
  <si>
    <t>https://doi.org/10.3109/10799893.2015.1086884</t>
  </si>
  <si>
    <t>Mashhad University of Medical Sciences; MUMS</t>
  </si>
  <si>
    <t>https://openalex.org/funders/f4320322855</t>
  </si>
  <si>
    <t>Unmanned Aerial Systems for Monitoring Trace Tropospheric Gases</t>
  </si>
  <si>
    <t>https://doi.org/10.3390/atmos8100206</t>
  </si>
  <si>
    <t>Contextual Control of Adipose-Derived Stem Cell Function: Implications for Engineered Tumor Models</t>
  </si>
  <si>
    <t>https://doi.org/10.1021/acsbiomaterials.6b00328</t>
  </si>
  <si>
    <t>Non-premixed counterflow methane flames in DC/AC/NS electric fields</t>
  </si>
  <si>
    <t>https://doi.org/10.1016/j.combustflame.2022.112051</t>
  </si>
  <si>
    <t>National Nuclear Security Administration; NNSA; National Nuclear Security Administration (NNSA), DOE; DOE NNSA; U.S. National Nuclear Security Administration; DOE - NNSA; Department of Energy\/National Nuclear Security Administration; US National Nuclear Security Administration; DOE\/NNSA; Department of Energy's National Nuclear Security Administration || China Scholarship Council; CSC</t>
  </si>
  <si>
    <t>https://openalex.org/funders/f4320332369 || https://openalex.org/funders/f4320322725</t>
  </si>
  <si>
    <t>Mechanisms of the epitaxial growth of two-dimensional polycrystals</t>
  </si>
  <si>
    <t>https://doi.org/10.1038/s41524-022-00797-5</t>
  </si>
  <si>
    <t>Institute for Basic Science; 기초과학연구원; IBS || Chinese Academy of Sciences; CAS; 中国科学院 || NOT MATCHED</t>
  </si>
  <si>
    <t>https://openalex.org/funders/f4320321133 || https://openalex.org/funders/f4320326441</t>
  </si>
  <si>
    <t>Temporal self-splitting of optical pulses</t>
  </si>
  <si>
    <t>https://doi.org/10.1103/PhysRevA.97.053838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</si>
  <si>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Education Department of Henan Province; Henan Provincial Education Department; Department of Education of Henan Province; Henan Provincial Department of Education; The Education Department Henan Province; 河南省教育厅; Department of Education, Henan Province || Itä-Suomen Yliopisto; University of Eastern Finland; UEF</t>
  </si>
  <si>
    <t>https://openalex.org/funders/f4320310055 || https://openalex.org/funders/f4320325625 || https://openalex.org/funders/f4320321001</t>
  </si>
  <si>
    <t>Strengthening exercises using swiss ball improve pain, health status, quality of life and muscle strength in patients with fibromyalgia: a randomized controlled trial</t>
  </si>
  <si>
    <t>https://doi.org/10.4081/reumatismo.2021.1357</t>
  </si>
  <si>
    <t>Effects of resources and mortality on the growth and reproduction of Nile perch in Lake Victoria</t>
  </si>
  <si>
    <t>https://doi.org/10.1111/fwb.12089</t>
  </si>
  <si>
    <t>Identifying a selective oligopeptide clamp in the gas phase</t>
  </si>
  <si>
    <t>https://doi.org/10.1039/d2cc04868j</t>
  </si>
  <si>
    <t>A Model for Nonlinear Waves in Space Plasma with Generalized (r, q) Distribution</t>
  </si>
  <si>
    <t>https://doi.org/10.1109/PIERS53385.2021.9694841</t>
  </si>
  <si>
    <t>Higher Education Commission, Pakistan; HEC; ہائیر ایجوکیشن کمیشن ، پاکستان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NOT MATCHED</t>
  </si>
  <si>
    <t>https://openalex.org/funders/f4320322799 || https://openalex.org/funders/f4320321001</t>
  </si>
  <si>
    <t>Cardiorenal Syndrome An Evolutionary Point of View</t>
  </si>
  <si>
    <t>https://doi.org/10.1161/HYPERTENSIONAHA.111.188706</t>
  </si>
  <si>
    <t>NOT MATCHED || Japan Society for the Promotion of Science; Grants-in-Aid for Scientific Research; Grants-in-Aid for Scientific Research Program; KAKENHI; 日本学術振興会; KAKEN; JSPS || Ministry of Health, Labour and Welfare; MHLW; Ministry of Health, Labour and Welfare, Japan || Boehringer Ingelheim; Boehringer Ingelheim Pharmaceuticals, Inc.; BI; Boehringer Ingelheim Pharmaceuticals Inc; BIPI || NOT MATCHED || Novartis Pharma; Novartis Deutschland; Novartis Deutschland GmbH; Novartis Pharma GmbH || Astellas Pharma; Astellas || NOT MATCHED || Takeda Pharmaceutical Company; The Takeda Pharmaceutical Company Limited; Takeda Pharmaceutical Co Ltd; Takeda Pharmaceutical Company Limited; Takeda; Takeda Pharmaceutical Co. Ltd.; TPC; Takeda Pharmaceutical Co., Ltd. || Japan Society for the Promotion of Science; Grants-in-Aid for Scientific Research; Grants-in-Aid for Scientific Research Program; KAKENHI; 日本学術振興会; KAKEN; JSPS</t>
  </si>
  <si>
    <t>https://openalex.org/funders/f4320306257 || https://openalex.org/funders/f4320332736 || https://openalex.org/funders/f4320310465 || https://openalex.org/funders/f4320321945 || https://openalex.org/funders/f4320334764 || https://openalex.org/funders/f4320323024</t>
  </si>
  <si>
    <t>Does Traditional Chinese Medicine Pattern Affect Acupoint Specific Effect? Analysis of Data from a Multicenter, Randomized, Controlled Trial for Primary Dysmenorrhea</t>
  </si>
  <si>
    <t>https://doi.org/10.1089/acm.2011.0404</t>
  </si>
  <si>
    <t>Dynamic Equivalent Modeling of a Grid-Tied Microgrid Based on Characteristic Model and Measurement Data</t>
  </si>
  <si>
    <t>https://doi.org/10.3390/en10121951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</si>
  <si>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Fundamental Research Funds for the Central Universities; Fundamental Research Funds for the Central Universities of China; Fundamental Research Fund for the Central Universities || Science and Technology Project of State Grid; State Grid Corporation of Science and Technology Project; State Grid Science and Technology Project</t>
  </si>
  <si>
    <t>https://openalex.org/funders/f4320335787 || https://openalex.org/funders/f4320335967 || https://openalex.org/funders/f4320321001</t>
  </si>
  <si>
    <t>Trigonella foenum-graecum (fenugreek) differentially regulates antioxidant potential, photosynthetic, and metabolic activities under arsenic stress</t>
  </si>
  <si>
    <t>https://doi.org/10.1016/j.ecoenv.2022.114128</t>
  </si>
  <si>
    <t>King Saud University; KSU; جامعة الملك سعود</t>
  </si>
  <si>
    <t>https://openalex.org/funders/f4320321145</t>
  </si>
  <si>
    <t>Arbuscular mycorrhizal fungi colonization and physiological functions toward wetland plants under different water regimes</t>
  </si>
  <si>
    <t>https://doi.org/10.1016/j.scitotenv.2020.137040</t>
  </si>
  <si>
    <t>China Scholarship Council; CSC || NOT MATCHED || NOT MATCHED</t>
  </si>
  <si>
    <t>A single Au nanoparticle anchored inside the porous shell of periodic mesoporous organosilica hollow spheres</t>
  </si>
  <si>
    <t>https://doi.org/10.1007/s12274-015-0840-9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</si>
  <si>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Natural Science Foundation of Beijing Municipality; Beijing Municipal Natural Science Foundation; Natural Science Foundation of Beijing; Beijing Natural Science Foundation || Science Foundation of China University of Petroleum, Beijing || Ministry of Science and Technology, Taiwan; Ministry of Science and Technology of Taiwan; MOST; Ministry of Science and Technology, R.O.C. (Taiwan) || Specialized Research Fund for the Doctoral Program of Higher Education of China; Research Fund for the Doctoral Program of Higher Education of China; SRFDP; Specialized Research Fund for the Doctoral Program of Higher Education; Specialized Research Fund for the Doctoral Program of Higher Education (SRFDP) of the Ministry of Education of China; Research Fund for the Doctoral Program of Higher Education</t>
  </si>
  <si>
    <t>https://openalex.org/funders/f4320326291 || https://openalex.org/funders/f4320322919 || https://openalex.org/funders/f4320321001 || https://openalex.org/funders/f4320336024 || https://openalex.org/funders/f4320322795</t>
  </si>
  <si>
    <t>Taphonomic analysis of an ungulate-dominated accumulation at the Pleistocene Cova del Rinoceront site near Barcelona, Spain (northeastern Iberian Peninsula)</t>
  </si>
  <si>
    <t>https://doi.org/10.1016/j.palaeo.2018.02.017</t>
  </si>
  <si>
    <t>Ministerio de Economía y Competitividad; MINECO; MEC; Ministry of Economy and Competitiveness || NOT MATCHED || NOT MATCHED || NOT MATCHED</t>
  </si>
  <si>
    <t>Visualizing tRNA-dependent mistranslation in human cells</t>
  </si>
  <si>
    <t>https://doi.org/10.1080/15476286.2017.1379645</t>
  </si>
  <si>
    <t>Natural Sciences and Engineering Research Council of Canada; CRSNG; NSERC; Conseil de Recherches en Sciences Naturelles et en Génie du Canada || Canada Foundation for Innovation; CFI; Fondation canadienne pour l’innovation || Ontario Research Foundation; ORF || Canada Research Chairs; Chaires de recherche du Canada || Canadian Cancer Society Research Institute; CCSRI; l'Institut de recherche de la Société canadienne du cancer; IRSCC</t>
  </si>
  <si>
    <t>https://openalex.org/funders/f4320320994 || https://openalex.org/funders/f4320334576 || https://openalex.org/funders/f4320313340 || https://openalex.org/funders/f4320319952 || https://openalex.org/funders/f4320334593</t>
  </si>
  <si>
    <t>Multi-stratum resources resilience in software defined data center interconnection based on IP over elastic optical networks</t>
  </si>
  <si>
    <t>https://doi.org/10.1007/s11107-014-0440-8</t>
  </si>
  <si>
    <t>National High-tech Research and Development Program; National High-tech R&amp;D Program (863 Program); State High-Tech Development Plan; 863 Program || 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NOT MATCHED || Fundamental Research Funds for the Central Universities; Fundamental Research Funds for the Central Universities of China; Fundamental Research Fund for the Central Universities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State Key Laboratory of Information Photonics and Optical Communications; 信息光子学与光通信国家重点实验室; State Key Lab of Information Photonics and Optical Communications</t>
  </si>
  <si>
    <t>https://openalex.org/institutions/i4391767763 || https://openalex.org/funders/f4320321001 || https://openalex.org/funders/f4320335773 || https://openalex.org/funders/f4320335777 || https://openalex.org/funders/f4320335787</t>
  </si>
  <si>
    <t>Extraction of volatile and semi-volatile components from oak wood used for aging wine by miniaturised pressurised liquid technique</t>
  </si>
  <si>
    <t>https://doi.org/10.1111/j.1365-2621.2009.02006.x</t>
  </si>
  <si>
    <t>Ministerio de Educación y Ciencias; MECpy; MEC; Ministerio de Educación y Ciencias - Paraguay; Ministerio de Educación y Ciencias de la República del Paraguay; Ministry of Education and Sciences</t>
  </si>
  <si>
    <t>https://openalex.org/funders/f4320319387</t>
  </si>
  <si>
    <t>Robust shot-noise measurement for continuous-variable quantum key distribution</t>
  </si>
  <si>
    <t>https://doi.org/10.1103/PhysRevA.91.022307</t>
  </si>
  <si>
    <t>Agence Nationale de la Recherche; ANR; French National Research Agency || NOT MATCHED || European Commission; Europeiska kommissionen; Ευρωπαϊκής Επιτροπής; Comisia Europeană; Europese Commissie; Euroopa Komisjoni; Eiropas Komisiju; Euroopan komission; Europskoj komisiji; EU; Choimisiúin Eorpaigh; EU-Kommissionen; Evropski komisiji; EC; Comisión Europea; Europos Komisijos; Europäische Kommission; La Commissione europea; Evropské komise; Comissão Europeia; Európskej komisii; Европейската комисия; Európai Bizottságról; Komisja Europejska; Commissione europea; European Union; Commission européenne</t>
  </si>
  <si>
    <t>https://openalex.org/funders/f4320320883 || https://openalex.org/funders/f4320320300</t>
  </si>
  <si>
    <t>Decay of turbulence in a liquid metal duct flow with transverse magnetic field</t>
  </si>
  <si>
    <t>https://doi.org/10.1017/jfm.2019.171</t>
  </si>
  <si>
    <t>California Department of Fish and Game; DFG || NOT MATCHED || National Science Foundation; U.S. National Science Foundation; USA NSF; USNSF; NSF; US National Science Foundation; US NSF</t>
  </si>
  <si>
    <t>https://openalex.org/funders/f4320306076 || https://openalex.org/funders/f4320308022</t>
  </si>
  <si>
    <t>Continuous and transparent multimodal authentication: reviewing the state of the art</t>
  </si>
  <si>
    <t>https://doi.org/10.1007/s10586-015-0510-4</t>
  </si>
  <si>
    <t>Real-time detection method of gear contact fatigue pitting based on machine vision</t>
  </si>
  <si>
    <t>https://doi.org/10.1364/AO.451861</t>
  </si>
  <si>
    <t>Vapour pressures of 1-methyl derivatives of benzimidazole, pyrazole and indole. The energy of the intermolecular hydrogen bond N-H center dot center dot center dot N</t>
  </si>
  <si>
    <t>https://doi.org/10.1016/j.jct.2014.04.026</t>
  </si>
  <si>
    <t>Fundação para a Ciência e a Tecnologia; FCT; Portuguese Science and Technology Foundation; Foundation for Science and Technology || NOT MATCHED || Fundação para a Ciência e a Tecnologia; FCT; Portuguese Science and Technology Foundation; Foundation for Science and Technology || European Science Foundation; ESF</t>
  </si>
  <si>
    <t>https://openalex.org/funders/f4320334779 || https://openalex.org/funders/f4320320301</t>
  </si>
  <si>
    <t>TIM4(+) adipose tissue-resident macrophages: new modulators of adiposity</t>
  </si>
  <si>
    <t>https://doi.org/10.1038/s41574-021-00554-6</t>
  </si>
  <si>
    <t>A weighted block cooperative sparse representation algorithm based on visual saliency dictionary</t>
  </si>
  <si>
    <t>https://doi.org/10.1049/cit2.12090</t>
  </si>
  <si>
    <t>Natural Science Foundation of Jiangsu Province; Jiangsu Provincial Natural Science Foundation; Jiangsu Natural Science Foundation; Jiangsu Province Natural Science Foundation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NOT MATCHED || Nanjing Institute of Technology; NJIT</t>
  </si>
  <si>
    <t>https://openalex.org/funders/f4320322769 || https://openalex.org/funders/f4320324885 || https://openalex.org/funders/f4320321001</t>
  </si>
  <si>
    <t>iPSC-derived cardiomyocytes from patients with myotonic dystrophy type 1 have abnormal ion channel functions and slower conduction velocities</t>
  </si>
  <si>
    <t>https://doi.org/10.1038/s41598-021-82007-8</t>
  </si>
  <si>
    <t>Canadian Institutes of Health Research; CIHR; IRSC; Instituts de Recherche en Santé du Canada || Association Française contre les Myopathies; French Association against Myopathies; French Association against Muscular Dystrophies; AFM</t>
  </si>
  <si>
    <t>https://openalex.org/funders/f4320334506 || https://openalex.org/funders/f4320309751</t>
  </si>
  <si>
    <t>E-government Tools, Claimed Potentials/Unnamed Limitations The Case of Kalyan-Dombivli</t>
  </si>
  <si>
    <t>https://doi.org/10.1177/097542531100200206</t>
  </si>
  <si>
    <t>National Science Foundation; U.S. National Science Foundation; USA NSF; USNSF; NSF; US National Science Foundation; US NSF || Universiteit van Amsterdam; University of Amsterdam; UvA || NOT MATCHED || NOT MATCHED || NOT MATCHED || NOT MATCHED || School of Planning and Architecture Delhi; SPA New Delhi; योजना तथा वास्तुकला विद्यालय दिल्ली || International Institute of Social Studies, Erasmus University Rotterdam; Institute of Social Studies; International Institute of Social Studies; International Institute of Social Studies (ISS) of Erasmus University Rotterdam; ISS; ISS, The Hague</t>
  </si>
  <si>
    <t>https://openalex.org/funders/f4320306076 || https://openalex.org/funders/f4320321008 || https://openalex.org/funders/f4320337343 || https://openalex.org/institutions/i1329536732</t>
  </si>
  <si>
    <t>Evidence for climate change in the satellite cloud record</t>
  </si>
  <si>
    <t>https://doi.org/10.1038/nature18273</t>
  </si>
  <si>
    <t>National Oceanic and Atmospheric Administration; NOAA; National Oceanic &amp; Atmospheric Administration || U.S. Department of Energy; US Department of Energy; DOE; United States Department of Energy; Department of Energy; USDOE; Energy Department; ENERGY.GOV; USADOE; US DOE || Lawrence Livermore National Laboratory; LLNL; Lawrence Livermore National Lab || National Aeronautics and Space Administration; US National Aeronautics &amp; Space Administration; United States National Aeronautics and Space Administration; NASA; National Aeronautics &amp; Space Administration || NOT MATCHED</t>
  </si>
  <si>
    <t>https://openalex.org/funders/f4320306101 || https://openalex.org/funders/f4320332181 || https://openalex.org/funders/f4320306084 || https://openalex.org/funders/f4320338286</t>
  </si>
  <si>
    <t>Molecular grafting to improve adhesion of spray-deposited circuits on polymeric surface for flexible electronics</t>
  </si>
  <si>
    <t>https://doi.org/10.1016/j.jiec.2017.03.026</t>
  </si>
  <si>
    <t>Toyota Motor Corporation; Toyota</t>
  </si>
  <si>
    <t>https://openalex.org/funders/f4320322622</t>
  </si>
  <si>
    <t>A facile system to evaluate in vitro drug release from dissolving microneedle arrays</t>
  </si>
  <si>
    <t>https://doi.org/10.1016/j.ijpharm.2015.11.038</t>
  </si>
  <si>
    <t>NOT MATCHED || Directorate for Biological Sciences; Biological Sciences; Directorate for Biological Sciences at NSF; Biological Sciences directorate at the National Science Foundation; The Directorate of Biological Sciences; US NSF - BIO; BIO\/OAD; The Directorate for Biological Sciences (BIO) at the National Science Foundation (NSF); US National Science Foundation Directorate of Biological Sciences; BIO; National Science Foundation's Directorate for Biological Sciences; NSF, Directorate for Biological Sciences; NSF\/BIO; NSF Directorate of Biological Sciences; NSF's Directorate for Biological Sciences || Biotechnology and Biological Sciences Research Council; BBSRC; The Biotechnology And Biological Sciences Research Council || Biotechnology and Biological Sciences Research Council; BBSRC; The Biotechnology And Biological Sciences Research Council</t>
  </si>
  <si>
    <t>https://openalex.org/funders/f4320334629 || https://openalex.org/funders/f4320332167</t>
  </si>
  <si>
    <t>Antifouling performance of spiral wound type module made of carbon nanotubes/polyamide composite RO membrane for seawater desalination</t>
  </si>
  <si>
    <t>https://doi.org/10.1016/j.desal.2021.115445</t>
  </si>
  <si>
    <t>Cities On Internet Association; SMWI; COI; Stowarzyszenie Miasta w Internecie || Japan Society for the Promotion of Science; Grants-in-Aid for Scientific Research; Grants-in-Aid for Scientific Research Program; KAKENHI; 日本学術振興会; KAKEN; JSPS</t>
  </si>
  <si>
    <t>https://openalex.org/funders/f4320334764 || https://openalex.org/institutions/i4210095974</t>
  </si>
  <si>
    <t>Design and One-Pot Synthesis of Capsid-like Gold Colloids with Tunable Surface Roughness and Their Enhanced Sensing and Catalytic Performances</t>
  </si>
  <si>
    <t>https://doi.org/10.1021/acsami.0c14802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</si>
  <si>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Science, Technology and Innovation Commission of Shenzhen Municipality; Shenzhen Science and Technology Innovation Commission</t>
  </si>
  <si>
    <t>https://openalex.org/funders/f4320326705 || https://openalex.org/funders/f4320321001</t>
  </si>
  <si>
    <t>Dose-response of different dietary leucine levels on growth performance and amino acid metabolism in piglets differing for aminoadipate-semialdehyde synthase genotypes</t>
  </si>
  <si>
    <t>https://doi.org/10.1038/s41598-019-55006-z</t>
  </si>
  <si>
    <t>Università di Bologna; UNIBO; University of Bologna || Ajinomoto Pharmaceuticals; Ajinomoto Pharmaceutical Co.,Ltd.</t>
  </si>
  <si>
    <t>https://openalex.org/funders/f4320324407 || https://openalex.org/funders/f4320323553</t>
  </si>
  <si>
    <t>A Broadband Dual-Polarized Planar Antenna for 2G/3G/LTE Base Stations</t>
  </si>
  <si>
    <t>https://doi.org/10.1109/TAP.2014.2330596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</si>
  <si>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Fundamental Research Funds for the Central Universities; Fundamental Research Funds for the Central Universities of China; Fundamental Research Fund for the Central Universities || ZTE Corporation; ZTE</t>
  </si>
  <si>
    <t>https://openalex.org/funders/f4320335787 || https://openalex.org/funders/f4320313887 || https://openalex.org/funders/f4320321001</t>
  </si>
  <si>
    <t>The burden of respiratory syncytial virus in adults: a systematic review and meta-analysis</t>
  </si>
  <si>
    <t>https://doi.org/10.1017/S0950268820000400</t>
  </si>
  <si>
    <t>Pfizer; Pfizer Inc.; Pfizer Consumer Healthcare</t>
  </si>
  <si>
    <t>https://openalex.org/funders/f4320307765</t>
  </si>
  <si>
    <t>High Tensile Ductility and Strength in Dual-phase Bimodal Steel through Stationary Friction Stir Processing</t>
  </si>
  <si>
    <t>https://doi.org/10.1038/s41598-019-38707-3</t>
  </si>
  <si>
    <t>Science and Engineering Research Board; विज्ञान और इंजीनियरिंग अनुसंधान बोर्ड; SERB</t>
  </si>
  <si>
    <t>https://openalex.org/funders/f4320334771</t>
  </si>
  <si>
    <t>Nicotinamide enhances mitochondria quality through autophagy activation in human cells</t>
  </si>
  <si>
    <t>https://doi.org/10.1111/j.1474-9726.2009.00487.x</t>
  </si>
  <si>
    <t>NOT MATCHED || Korea Science and Engineering Foundation; KOSEF</t>
  </si>
  <si>
    <t>https://openalex.org/funders/f4320322348</t>
  </si>
  <si>
    <t>Effects of Increasing Concentrations of Sodium Sulfite on Deoxynivalenol and Deoxynivalenol Sulfonate Concentrations of Maize Kernels and Maize Meal Preserved at Various Moisture Content</t>
  </si>
  <si>
    <t>https://doi.org/10.3390/toxins7030791</t>
  </si>
  <si>
    <t>Austrian Federal Ministry of Economy, Family and Youth; BMWFJ; Bundesministerium für Wirtschaft, Familie und Jugend || Österreichische Nationalstiftung für Forschung, Technologie und Entwicklung; National Foundation for Research, Technology and Development, Austria; National Foundation for Research, Technology and Development; FTE-Stiftung</t>
  </si>
  <si>
    <t>https://openalex.org/funders/f4320311813 || https://openalex.org/funders/f4320315059</t>
  </si>
  <si>
    <t>Mechanical Properties of Bump-Prone Coal with Different Porosities and Its Acoustic Emission-Charge Induction Characteristics under Uniaxial Compression</t>
  </si>
  <si>
    <t>https://doi.org/10.1155/2019/7581061</t>
  </si>
  <si>
    <t>The influence of iron oxide on the oxidation kinetics of synthetic char derived from thermogravimetric analysis and fixed-bed experiments under isothermal and temperature-programmed conditions</t>
  </si>
  <si>
    <t>https://doi.org/10.1016/j.fuel.2016.09.076</t>
  </si>
  <si>
    <t>Smartphone-based paper microfluidic competitive immunoassay for the detection of alpha-amanitin from mushrooms</t>
  </si>
  <si>
    <t>https://doi.org/10.1007/s00604-022-05407-1</t>
  </si>
  <si>
    <t>National Institute of Food and Agriculture; USDA National Institute of Food and Agriculture; U.S. Department of Agriculture, National Institute of Food and Agriculture; NIFA USDA; NIFA; National Institute of Food and Agriculture (USDA); National Institute of Food &amp; Agriculture; USDA\/NIFA; National Institute for Food and Agriculture of the United States Department of Agriculture; USDA - NIFA; USDA\/National Institute of Food and Agriculture; USDA's National Institute of Food and Agriculture; USDA NIFA; National Institute of Food and Agriculture at USDA || U.S. Department of Agriculture; United States Department of Agriculture; USDA; US Department of Agriculture || NOT MATCHED</t>
  </si>
  <si>
    <t>https://openalex.org/funders/f4320332299 || https://openalex.org/funders/f4320306114</t>
  </si>
  <si>
    <t>Maintenance of Gastrointestinal Glucose Homeostasis by the Gut-Brain Axis</t>
  </si>
  <si>
    <t>https://doi.org/10.2174/1389203717666160627083604</t>
  </si>
  <si>
    <t>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Higher Education Discipline Innovation Project; National 111 Project of China; 111 Plan; Higher Education Discipline Innovation Project of China; 111 Project || Beijing Nova Program; Beijing Municipal Science &amp; Technology Commision || Beijing Municipal Commission of Education; Education Commission of Beijing Municipality; Beijing Municipal Education Commission || NOT MATCHED || NOT MATCHED</t>
  </si>
  <si>
    <t>https://openalex.org/funders/f4320327912 || https://openalex.org/funders/f4320321572 || https://openalex.org/funders/f4320321001 || https://openalex.org/funders/f4320335777 || https://openalex.org/funders/f4320334978</t>
  </si>
  <si>
    <t>Effects of rainfall on the spatial distribution of the throughfall kinetic energy on a small scale in a rubber plantation</t>
  </si>
  <si>
    <t>https://doi.org/10.1080/02626667.2018.1473580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</si>
  <si>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Natural Science Foundation of Yunnan Province; Yunnan Provincial Natural Science Foundation || NOT MATCHED</t>
  </si>
  <si>
    <t>https://openalex.org/funders/f4320321001 || https://openalex.org/funders/f4320323193</t>
  </si>
  <si>
    <t>Fully automated intrinsic respiratory and cardiac gating for small animal CT</t>
  </si>
  <si>
    <t>https://doi.org/10.1088/0031-9155/55/7/018</t>
  </si>
  <si>
    <t>Visitors to nests of Hooded Vultures Necrosyrtes monachus in north-eastern South Africa</t>
  </si>
  <si>
    <t>https://doi.org/10.2989/00306525.2017.1321049</t>
  </si>
  <si>
    <t>NOT MATCHED || Rufford Foundation; Rufford Small Grants Foundation; The Rufford Foundation || Inyuvesi Yakwazulu-Natali; University of KwaZulu-Natal; UKZN || National Research Foundation; NRF || South African National Parks; SANParks</t>
  </si>
  <si>
    <t>https://openalex.org/funders/f4320309818 || https://openalex.org/funders/f4320320671 || https://openalex.org/funders/f4320322812 || https://openalex.org/funders/f4320335805</t>
  </si>
  <si>
    <t>The characteristics of placental transfer and tissue concentrations of nickel in late gestational rats and fetuses</t>
  </si>
  <si>
    <t>https://doi.org/10.1016/j.placenta.2010.12.021</t>
  </si>
  <si>
    <t>Seismometer Detection of Dust Devil Vortices by Ground Tilt</t>
  </si>
  <si>
    <t>https://doi.org/10.1785/0120150133</t>
  </si>
  <si>
    <t>National Aeronautics and Space Administration; US National Aeronautics &amp; Space Administration; United States National Aeronautics and Space Administration; NASA; National Aeronautics &amp; Space Administration</t>
  </si>
  <si>
    <t>https://openalex.org/funders/f4320306101</t>
  </si>
  <si>
    <t>Sexual size dimorphism predicts rates of sequence evolution of SPerm Adhesion Molecule 1 (SPAM1, also PH-20) in monkeys, but not in hominoids (apes including humans)</t>
  </si>
  <si>
    <t>https://doi.org/10.1016/j.ympev.2011.12.008</t>
  </si>
  <si>
    <t>Deutsches Primatenzentrum; DPZ; German Primate Center</t>
  </si>
  <si>
    <t>https://openalex.org/funders/f4320323016</t>
  </si>
  <si>
    <t>High Loss to Follow-up Among Children on Pre-ART Care Under National AIDS Program in Madurai, South India</t>
  </si>
  <si>
    <t>https://doi.org/10.1097/QAI.0000000000000640</t>
  </si>
  <si>
    <t>United States Agency for International Development; US Agency for International Development; USAID; U.S. Agency for International Development; Agency for International Development</t>
  </si>
  <si>
    <t>https://openalex.org/funders/f4320306115</t>
  </si>
  <si>
    <t>Cell-free fat extract promotes tissue regeneration in a tissue expansion model</t>
  </si>
  <si>
    <t>https://doi.org/10.1186/s13287-020-1564-7</t>
  </si>
  <si>
    <t>Immobilization of amino acid ionic liquids into nanoporous microspheres as robust sorbents for CO2 capture</t>
  </si>
  <si>
    <t>https://doi.org/10.1039/c3ta00768e</t>
  </si>
  <si>
    <t>Renewable Energy Systems (United States); RES || NOT MATCHED</t>
  </si>
  <si>
    <t>https://openalex.org/institutions/i4210137149</t>
  </si>
  <si>
    <t>r.survey: a tool for calculating visibility of variable-size objects based on orientation</t>
  </si>
  <si>
    <t>https://doi.org/10.1080/13658816.2021.1942476</t>
  </si>
  <si>
    <t>Eusko Jaurlaritza; Basque Government; Gobierno Vasco || Euskal Herriko Unibertsitatea; EHU; UPV\/EHU; University of the Basque Country; Universidad del País Vasco || NOT MATCHED || Geological Survey of Canada; GSC; Commission géologique du Canada</t>
  </si>
  <si>
    <t>https://openalex.org/institutions/i1327020802 || https://openalex.org/funders/f4320321705 || https://openalex.org/funders/f4320321919</t>
  </si>
  <si>
    <t>High-order propagator-based DOA estimators using a coprime array without the source number</t>
  </si>
  <si>
    <t>https://doi.org/10.1007/s11760-022-02256-6</t>
  </si>
  <si>
    <t>Guangdong Academy of Sciences; GDAS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Guangzhou Municipal Science and Technology Project; Sci-Tech Project Foundation of Guangzhou City; Science and Technology Program of Guangzhou City; Guangzhou Science and Technology Foundation; Guangzhou Science and Technology Plan</t>
  </si>
  <si>
    <t>https://openalex.org/funders/f4320335480 || https://openalex.org/funders/f4320321001 || https://openalex.org/funders/f4320335357</t>
  </si>
  <si>
    <t>A MASS SPECTROMETRIC INSIGHT INTO THE ORIGINS OF BENIGN GYNECOLOGICAL DISORDERS</t>
  </si>
  <si>
    <t>https://doi.org/10.1002/mas.21484</t>
  </si>
  <si>
    <t>Treating refractory mental illness with closed-loop brain stimulation: Progress towards a patient-specific transdiagnostic approach</t>
  </si>
  <si>
    <t>https://doi.org/10.1016/j.expneurol.2016.07.021</t>
  </si>
  <si>
    <t>Medtronic; Medtronic Inc. || NOT MATCHED || Army Research Office; ARO; United States Army Research Office; U.S. Army Research Office; US Army Research Office; U.S. Army Research Laboratory's Army Research Office || Defense Advanced Research Projects Agency; US Defense Advanced Research Projects Agency; DARPA; U.S. Defense Advanced Research Projects Agency; United States Defense Advanced Research Projects Agency; The Defense Advanced Research Projects Agency</t>
  </si>
  <si>
    <t>https://openalex.org/funders/f4320307813 || https://openalex.org/funders/f4320338281 || https://openalex.org/funders/f4320332180</t>
  </si>
  <si>
    <t>Magnesium-catalyzed hydrosilylation of alpha,beta-unsaturated esters</t>
  </si>
  <si>
    <t>https://doi.org/10.1039/c5sc02435h</t>
  </si>
  <si>
    <t>A review on the thermal performance of nanofluid inside circular tube with twisted tape inserts</t>
  </si>
  <si>
    <t>https://doi.org/10.1177/1687814020924893</t>
  </si>
  <si>
    <t>Universiti Kebangsaan Malaysia; UKM; National University of Malaysia || Universiti Malaysia Perlis; University of Malaysia Perlis || Ministry of Higher Education; Ministry of Higher Education, Egypt; MOHE; Egyptian Ministry of Higher Education</t>
  </si>
  <si>
    <t>https://openalex.org/funders/f4320322699 || https://openalex.org/funders/f4320322820 || https://openalex.org/funders/f4320321147</t>
  </si>
  <si>
    <t>In search of rare variants: Preliminary results from whole genome sequencing of 1,325 individuals with psychophysiological endophenotypes</t>
  </si>
  <si>
    <t>https://doi.org/10.1111/psyp.12350</t>
  </si>
  <si>
    <t>National Institutes of Health; US National Institutes of Health; Institutos Nacionales de la Salud; NIH || National Heart, Lung, and Blood Institute; NIH\/National Heart, Lung and Blood Institute; National Heart Lung &amp; Blood Institute; NHLBI || National Human Genome Research Institute; The National Human Genome Research Institute; NIH\/National Human Genome Research Institute; NHGRI || National Institute on Alcohol Abuse and Alcoholism; NIH National Institute on Alcohol Abuse and Alcoholism; The National Institute on Alcohol Abuse and Alcoholism; NIAAA; National Institute on Alcohol Abuse &amp; Alcoholism || National Institute on Drug Abuse; NIDA; The National Institute on Drug Abuse; Instituto Nacional sobre el Abuso de Drogas; Instituto Nacional sobre el Abuso de Drogas de Estados Unidos</t>
  </si>
  <si>
    <t>https://openalex.org/funders/f4320337338 || https://openalex.org/funders/f4320337347 || https://openalex.org/funders/f4320337330 || https://openalex.org/funders/f4320332161 || https://openalex.org/funders/f4320337348</t>
  </si>
  <si>
    <t>Anodic Electrodeposition of a Cationic Polyelectrolyte in the Presence of Multivalent Anions</t>
  </si>
  <si>
    <t>https://doi.org/10.1021/acs.langmuir.6b01536</t>
  </si>
  <si>
    <t>National Science Foundation; U.S. National Science Foundation; USA NSF; USNSF; NSF; US National Science Foundation; US NSF || Division of Materials Research; NSF DMR</t>
  </si>
  <si>
    <t>https://openalex.org/funders/f4320306076 || https://openalex.org/institutions/i4210109808</t>
  </si>
  <si>
    <t>Effects of a Cognitive-Behavioral Therapy-Based Immersion Obesity Treatment Program for Adolescents on Weight, Fitness, and Cardiovascular Risk Factors: A Pilot Study</t>
  </si>
  <si>
    <t>https://doi.org/10.1089/chi.2014.0004</t>
  </si>
  <si>
    <t>NOT MATCHED || Centers for Disease Control and Prevention; CDC; Centers for Disease Control; U.S. CDC; Centros para el Control y la Prevención de Enfermedades; United States Centers for Disease Control and Prevention; U.S. Centers for Disease Control and Prevention; Centers for Disease Control &amp; Prevention || National Center for Chronic Disease Prevention and Health Promotion; NCCDPHP; CDC's National Center for Chronic Disease Prevention and Health Promotion; Chronic Disease Prevention &amp; Health Promotion</t>
  </si>
  <si>
    <t>https://openalex.org/funders/f4320337383 || https://openalex.org/funders/f4320332162</t>
  </si>
  <si>
    <t>Warning Message Elements and Retweet Counts: An Analysis of Tweets Sent during Hurricane Irma</t>
  </si>
  <si>
    <t>https://doi.org/10.1061/(ASCE)NH.1527-6996.0000351</t>
  </si>
  <si>
    <t>American Society of Civil Engineers; ASCE; The American Society of Civil Engineers || NOT MATCHED || College of Humanities and Social Sciences, United Arab Emirates University; College of Humanities and Social Sciences; CHSS || NOT MATCHED</t>
  </si>
  <si>
    <t>https://openalex.org/funders/f4320308451 || https://openalex.org/funders/f4320335221</t>
  </si>
  <si>
    <t>Gas-solid flow in a high-density circulating fluidized bed riser with Geldart group B particles</t>
  </si>
  <si>
    <t>https://doi.org/10.1016/j.partic.2016.01.010</t>
  </si>
  <si>
    <t>National High-tech Research and Development Program; National High-tech R&amp;D Program (863 Program); State High-Tech Development Plan; 863 Program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Fundamental Research Funds for the Central Universities; Fundamental Research Funds for the Central Universities of China; Fundamental Research Fund for the Central Universities</t>
  </si>
  <si>
    <t>https://openalex.org/funders/f4320335773 || https://openalex.org/funders/f4320335787 || https://openalex.org/funders/f4320321001</t>
  </si>
  <si>
    <t>Cross-type spectrum rearrangement in graphene with weakly bound impurity centres: an impurity band with anomalous dispersion</t>
  </si>
  <si>
    <t>https://doi.org/10.1088/0953-8984/25/19/195301</t>
  </si>
  <si>
    <t>Science and Technology Center in Ukraine; Science &amp; Technology Center in Ukraine; STCU; Science and Technology Center, Ukraine || Simulation Technologies (United States); SimTech || NOT MATCHED || NOT MATCHED</t>
  </si>
  <si>
    <t>https://openalex.org/institutions/i4210125693 || https://openalex.org/funders/f4320324932</t>
  </si>
  <si>
    <t>Improved crystalline quality of AlN epitaxial layer on sapphire by introducing TMGa pulse flow into the nucleation stage</t>
  </si>
  <si>
    <t>https://doi.org/10.1016/j.jcrysgro.2018.03.020</t>
  </si>
  <si>
    <t>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NOT MATCHED || Natural Science Foundation of Guangdong Province; Guangdong Natural Science Foundation; Guangdong Provincial Natural Science Foundation; Natural Science Foundation of Guangdong</t>
  </si>
  <si>
    <t>https://openalex.org/funders/f4320335777 || https://openalex.org/funders/f4320321921 || https://openalex.org/funders/f4320321001</t>
  </si>
  <si>
    <t>Effects of ischaemic postconditioning on outcomes of patients with ST-segment elevation myocardial infarction who underwent primary percutaneous coronary intervention: a meta-analysis</t>
  </si>
  <si>
    <t>https://doi.org/10.1136/bmjopen-2018-022509</t>
  </si>
  <si>
    <t>Central South University; 中南大学; Central South University in Hunan; CSU</t>
  </si>
  <si>
    <t>https://openalex.org/funders/f4320321514</t>
  </si>
  <si>
    <t>Detection of Phospho- Sites Generated by Protein Kinase CK2 in CFTR: Mechanistic Aspects of Thr1471 Phosphorylation</t>
  </si>
  <si>
    <t>https://doi.org/10.1371/journal.pone.0074232</t>
  </si>
  <si>
    <t>Fondazione per la Ricerca sulla Fibrosi Cistica; Fondazione Ricerca Fibrosi Cistica; FFC; Italian Cystic Fibrosis Research Foundation; Fondazione FFC || Wellcome Trust; The Wellcome Trust; WT; Wellcome || Cystic Fibrosis Foundation; The Cystic Fibrosis Foundation; CF Foundation; CFF || NOT MATCHED || Associazione Italiana per la Ricerca sul Cancro; AIRC; The Italian Association for Cancer Research; Italian Association for Cancer Research</t>
  </si>
  <si>
    <t>https://openalex.org/funders/f4320323054 || https://openalex.org/funders/f4320306168 || https://openalex.org/funders/f4320311904 || https://openalex.org/funders/f4320325077</t>
  </si>
  <si>
    <t>Effects of PNPLA3, TM6SF2 and SAMM50 on the development and severity of non-alcoholic fatty liver disease in children</t>
  </si>
  <si>
    <t>https://doi.org/10.1111/ijpo.12852</t>
  </si>
  <si>
    <t>Characterization of hantaviruses circulating in Central Brazil</t>
  </si>
  <si>
    <t>https://doi.org/10.1016/j.meegid.2008.11.008</t>
  </si>
  <si>
    <t>Coordenação de Aperfeiçoamento de Pessoal de Nível Superior; Coordination for the Improvement of Higher Education Personnel; CAPES; Brazilian Federal Agency for the Support and Evaluation of Graduate Education || Conselho Nacional de Desenvolvimento Científico e Tecnológico; National Council for Scientific and Technological Development; Brazilian National Council for Research and Development; CNPq</t>
  </si>
  <si>
    <t>https://openalex.org/funders/f4320321091 || https://openalex.org/funders/f4320322025</t>
  </si>
  <si>
    <t>The UK Environmental Change Network datasets - integrated and co-located data for long-term environmental research (1993-2015)</t>
  </si>
  <si>
    <t>https://doi.org/10.5194/essd-12-87-2020</t>
  </si>
  <si>
    <t>Natural Environment Research Council; NERC || Biotechnology and Biological Sciences Research Council; BBSRC; The Biotechnology And Biological Sciences Research Council || Biotechnology and Biological Sciences Research Council; BBSRC; The Biotechnology And Biological Sciences Research Council</t>
  </si>
  <si>
    <t>https://openalex.org/funders/f4320334629 || https://openalex.org/funders/f4320334631</t>
  </si>
  <si>
    <t>Space-Time Clustering of Non-Hodgkin Lymphoma Using Residential Histories in a Danish Case-Control Study</t>
  </si>
  <si>
    <t>https://doi.org/10.1371/journal.pone.0060800</t>
  </si>
  <si>
    <t>Kræftens Bekæmpelse; Danish Cancer Society; DCS; The Danish Cancer Society; Fight Against Cancer || Danish Agency for Science and Higher Education; Danish Agency for Science, Technology and Innovation || National Institutes of Health; US National Institutes of Health; Institutos Nacionales de la Salud; NIH || NOT MATCHED</t>
  </si>
  <si>
    <t>https://openalex.org/funders/f4320332161 || https://openalex.org/funders/f4320310455 || https://openalex.org/funders/f4320334770</t>
  </si>
  <si>
    <t>Autophagy in Zika Virus Infection: A Possible Therapeutic Target to Counteract Viral Replication</t>
  </si>
  <si>
    <t>https://doi.org/10.3390/ijms20051048</t>
  </si>
  <si>
    <t>Coordenação de Aperfeiçoamento de Pessoal de Nível Superior; Coordination for the Improvement of Higher Education Personnel; CAPES; Brazilian Federal Agency for the Support and Evaluation of Graduate Education || Conselho Nacional de Desenvolvimento Científico e Tecnológico; National Council for Scientific and Technological Development; Brazilian National Council for Research and Development; CNPq || NOT MATCHED || NOT MATCHED</t>
  </si>
  <si>
    <t>Sum-of-squares-based fuzzy controller design using quantum-inspired evolutionary algorithm</t>
  </si>
  <si>
    <t>https://doi.org/10.1080/00207721.2014.983209</t>
  </si>
  <si>
    <t>Hydrous albite magmas at lower crustal pressure: new results on liquidus H2O content, solubility, and H2O activity in the system NaAlSi3O8-H2O-NaCl at 1.0 GPa</t>
  </si>
  <si>
    <t>https://doi.org/10.1007/s00410-016-1286-0</t>
  </si>
  <si>
    <t>National Science Foundation; U.S. National Science Foundation; USA NSF; USNSF; NSF; US National Science Foundation; US NSF || Directorate for Geosciences; NSF Directorate for Geosciences; Geosciences; GEOSCIENCES DIRECTORATE; National Science Foundation Geosciences Directorate; GEO; GEO\/OAD</t>
  </si>
  <si>
    <t>https://openalex.org/funders/f4320306076 || https://openalex.org/funders/f4320332171</t>
  </si>
  <si>
    <t>The complete mitogenome of the lined shore crab Pachygrapsus crassipes Randall 1840 (Crustacea: Decapoda: Grapsidae)</t>
  </si>
  <si>
    <t>https://doi.org/10.3109/19401736.2013.800497</t>
  </si>
  <si>
    <t>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National High-tech Research and Development Program; National High-tech R&amp;D Program (863 Program); State High-Tech Development Plan; 863 Program || Department of Education of Zhejiang Province; ZPDE; 浙江省教育厅; Zhejiang Province Department of Education; Zhejiang Provincial Department of Education; Department of Education, Zhejiang Province || NOT MATCHED</t>
  </si>
  <si>
    <t>https://openalex.org/funders/f4320335773 || https://openalex.org/funders/f4320335777 || https://openalex.org/funders/f4320325436 || https://openalex.org/funders/f4320321001</t>
  </si>
  <si>
    <t>Existence of solutions for fourth order three-point boundary value problems on a half-line</t>
  </si>
  <si>
    <t>https://doi.org/10.14232/ejqtde.2015.1.62</t>
  </si>
  <si>
    <t>Türkiye Bilimsel ve Teknolojik Araştırma Kurumu; Scientific and Technological Research Council of Turkey; TÜRKİYE BİLİMSEL VE TEKNOLOJİK ARAŞTIRMA KURUMU; Türkiye Bilimsel ve Teknolojik Araştirma Kurumu; TUBITAK; TÜBİTAK</t>
  </si>
  <si>
    <t>https://openalex.org/funders/f4320322626</t>
  </si>
  <si>
    <t>Renaissance Distribution for Statistically Failed Experiments</t>
  </si>
  <si>
    <t>https://doi.org/10.3390/ijms20133250</t>
  </si>
  <si>
    <t>Deutsche Forschungsgemeinschaft; German Research Association; DFG; German Research Foundation || Bundesministerium für Bildung und Forschung; Federal Ministry of Education and Research; BMBF || Karlsruhe Institute of Technology; KIT Karlsruhe; KIT; KIT Karlsruher Institut für Technologie; Karlsruher Institut für Technologie; Das Karlsruher Institut für Technologie; The Karlsruhe Institute of Technology</t>
  </si>
  <si>
    <t>https://openalex.org/funders/f4320321114 || https://openalex.org/funders/f4320320879 || https://openalex.org/funders/f4320311048</t>
  </si>
  <si>
    <t>Size control of carbon-supported platinum nanoparticles made using polyol method for low temperature fuel cells</t>
  </si>
  <si>
    <t>https://doi.org/10.1016/j.ces.2013.05.067</t>
  </si>
  <si>
    <t>NOT MATCHED || NOT MATCHED || Consejo Nacional de Investigaciones Científicas y Técnicas; National Scientific and Technical Research Council; CONICET</t>
  </si>
  <si>
    <t>mEosEM withstands osmium staining and Epon embedding for super-resolution CLEM</t>
  </si>
  <si>
    <t>https://doi.org/10.1038/s41592-019-0613-6</t>
  </si>
  <si>
    <t>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Chinese Academy of Sciences; CAS; 中国科学院 || NOT MATCHED || Beijing Municipal Science and Technology Commission; Science and Technology Commission of Beijing Municipality; 北京市科学技术委员会; BMSTC; Beijing Municipal Science &amp; Technology Commission; Municipal Science &amp; Technology Commission</t>
  </si>
  <si>
    <t>https://openalex.org/funders/f4320335777 || https://openalex.org/funders/f4320325902 || https://openalex.org/funders/f4320321133 || https://openalex.org/funders/f4320321001</t>
  </si>
  <si>
    <t>Trajectories of Frailty in the 5 Years Prior to Death Among US Veterans Born 1927-1934</t>
  </si>
  <si>
    <t>https://doi.org/10.1093/gerona/glab196</t>
  </si>
  <si>
    <t>NOT MATCHED || NOT MATCHED || NOT MATCHED || National Institute on Aging; The National Institute on Aging; NIA; NIH NATIONAL INSTITUTE ON AGING; U.S. National Institute on Aging</t>
  </si>
  <si>
    <t>Stacked polymer waveguide type fan-in/fan-out device for dense multi-core fibre</t>
  </si>
  <si>
    <t>https://doi.org/10.1049/iet-opt.2014.0137</t>
  </si>
  <si>
    <t>National Institute of Information and Communications Technology; Joho Tsushin Kenkyu Kiko; Jōhō Tsūshin Kenkyū Kikō; NICT || Japan Society for the Promotion of Science; Grants-in-Aid for Scientific Research; Grants-in-Aid for Scientific Research Program; KAKENHI; 日本学術振興会; KAKEN; JSPS</t>
  </si>
  <si>
    <t>https://openalex.org/funders/f4320335839 || https://openalex.org/funders/f4320334764</t>
  </si>
  <si>
    <t>Analysis of Fatigue and Wear Behaviour in Ultrafine Grained Connecting Rods</t>
  </si>
  <si>
    <t>https://doi.org/10.3390/met7080289</t>
  </si>
  <si>
    <t>Annealing effects of In2O3 thin films on electrical properties and application in thin film transistors</t>
  </si>
  <si>
    <t>https://doi.org/10.1016/j.tsf.2010.12.022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</si>
  <si>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 || Natural Science Foundation of Zhejiang Province; Zhejiang Natural Science Foundation; ZJNSF; 浙江省自然科学基金根据国; Zhejiang Provincial Natural Science Foundation</t>
  </si>
  <si>
    <t>https://openalex.org/funders/f4320338464 || https://openalex.org/funders/f4320335777 || https://openalex.org/funders/f4320321001</t>
  </si>
  <si>
    <t>The impact of eating quickly on anthropometric variables among schoolgirls: a prospective cohort study in Japan</t>
  </si>
  <si>
    <t>https://doi.org/10.1093/eurpub/ckt120</t>
  </si>
  <si>
    <t>Pressure Controlled Permeability in a Conduit Filled with Fractured Hydrothermal Breccia Reconstructed from Ballistics from Whakaari (White Island), New Zealand</t>
  </si>
  <si>
    <t>https://doi.org/10.3390/geosciences10040138</t>
  </si>
  <si>
    <t>Ministry of Business, Innovation and Employment; MBIE; Ministry for Business Innovation and Employment; Ministry of Business, Innovation &amp; Employment || University of Canterbury; Te Whare Wānanga o Waitaha; UC</t>
  </si>
  <si>
    <t>https://openalex.org/funders/f4320321983 || https://openalex.org/funders/f4320310502</t>
  </si>
  <si>
    <t>Endogenous glucocorticoids protect against TNF-alpha-induced increases in anxiety-like behavior in virally infected mice</t>
  </si>
  <si>
    <t>https://doi.org/10.1038/sj.mp.4001921</t>
  </si>
  <si>
    <t>Multi-Sensor-Fusion Approach for a Data-Science-Oriented Preventive Health Management System: Concept and Development of a Decentralized Data Collection Approach for Heterogeneous Data Sources</t>
  </si>
  <si>
    <t>https://doi.org/10.1155/2019/9864246</t>
  </si>
  <si>
    <t>NOT MATCHED || European Commission; Europeiska kommissionen; Ευρωπαϊκής Επιτροπής; Comisia Europeană; Europese Commissie; Euroopa Komisjoni; Eiropas Komisiju; Euroopan komission; Europskoj komisiji; EU; Choimisiúin Eorpaigh; EU-Kommissionen; Evropski komisiji; EC; Comisión Europea; Europos Komisijos; Europäische Kommission; La Commissione europea; Evropské komise; Comissão Europeia; Európskej komisii; Европейската комисия; Európai Bizottságról; Komisja Europejska; Commissione europea; European Union; Commission européenne</t>
  </si>
  <si>
    <t>Optimization of high molecular weight DNA extraction methods in shrimp for a long-read sequencing platform</t>
  </si>
  <si>
    <t>https://doi.org/10.7717/peerj.10340</t>
  </si>
  <si>
    <t>National Center for Genetic Engineering and Biotechnology; BIOTEC; National Center for Genetic Engineering and Biotechnology of Thailand || National Science and Technology Development Agency; NSTDA; สำนักงานพัฒนาวิทยาศาสตร์และเทคโนโลยีแห่งชาติ; สวทช || European Commission; Europeiska kommissionen; Ευρωπαϊκής Επιτροπής; Comisia Europeană; Europese Commissie; Euroopa Komisjoni; Eiropas Komisiju; Euroopan komission; Europskoj komisiji; EU; Choimisiúin Eorpaigh; EU-Kommissionen; Evropski komisiji; EC; Comisión Europea; Europos Komisijos; Europäische Kommission; La Commissione europea; Evropské komise; Comissão Europeia; Európskej komisii; Европейската комисия; Európai Bizottságról; Komisja Europejska; Commissione europea; European Union; Commission européenne || National Institute of General Medical Sciences; NIGMS; U.S. National Institute of General Medical Sciences || National Science and Technology Development Agency; NSTDA; สำนักงานพัฒนาวิทยาศาสตร์และเทคโนโลยีแห่งชาติ; สวทช</t>
  </si>
  <si>
    <t>https://openalex.org/funders/f4320326787 || https://openalex.org/funders/f4320337354 || https://openalex.org/funders/f4320320300 || https://openalex.org/funders/f4320322437</t>
  </si>
  <si>
    <t>Systematic profiling of temperature- and retinal-sensitive rhodopsin variants by deep mutational scanning</t>
  </si>
  <si>
    <t>https://doi.org/10.1016/j.jbc.2021.101359</t>
  </si>
  <si>
    <t>Excess of Rare Variants in Genes that are Key Epigenetic Regulators of Spermatogenesis in the Patients with Non-Obstructive Azoospermia</t>
  </si>
  <si>
    <t>https://doi.org/10.1038/srep08785</t>
  </si>
  <si>
    <t>NOT MATCHED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NOT MATCHED || NOT MATCHED || NOT MATCHED</t>
  </si>
  <si>
    <t>Inter-muscular adipose tissue is associated with adipose tissue inflammation and poorer functional performance in central adiposity</t>
  </si>
  <si>
    <t>https://doi.org/10.1016/j.archger.2018.11.006</t>
  </si>
  <si>
    <t>Lee Foundation</t>
  </si>
  <si>
    <t>https://openalex.org/funders/f4320309776</t>
  </si>
  <si>
    <t>Advance research in biomedical applications on marine sulfated polysaccharide</t>
  </si>
  <si>
    <t>https://doi.org/10.1016/j.ijbiomac.2021.11.142</t>
  </si>
  <si>
    <t>Internet Use Among Caregivers of Urban Children With Persistent Asthma</t>
  </si>
  <si>
    <t>https://doi.org/10.1177/0009922820910820</t>
  </si>
  <si>
    <t>National Heart, Lung, and Blood Institute; NIH\/National Heart, Lung and Blood Institute; National Heart Lung &amp; Blood Institute; NHLBI || NOT MATCHED</t>
  </si>
  <si>
    <t>One Dimensional(1D)-to-2D Crossover of Spin Correlations in the 3D Magnet ZnMn2O4</t>
  </si>
  <si>
    <t>https://doi.org/10.1038/srep17771</t>
  </si>
  <si>
    <t>National Science Foundation; U.S. National Science Foundation; USA NSF; USNSF; NSF; US National Science Foundation; US NSF || U.S. Department of Energy; US Department of Energy; DOE; United States Department of Energy; Department of Energy; USDOE; Energy Department; ENERGY.GOV; USADOE; US DOE || U.S. Department of Energy; US Department of Energy; DOE; United States Department of Energy; Department of Energy; USDOE; Energy Department; ENERGY.GOV; USADOE; US DOE</t>
  </si>
  <si>
    <t>https://openalex.org/funders/f4320306076 || https://openalex.org/funders/f4320306084</t>
  </si>
  <si>
    <t>Novel approaches to restore beta cell function in prediabetes and type 2 diabetes</t>
  </si>
  <si>
    <t>https://doi.org/10.1007/s00125-018-4658-3</t>
  </si>
  <si>
    <t>National Institutes of Health; US National Institutes of Health; Institutos Nacionales de la Salud; NIH || U.S. Department of Veterans Affairs; United States Department of Veterans Affairs; Veterans Affairs; Veterans Affairs Department; Department of Veterans Affairs; US Department of Veterans Affairs; VA; U.S. Dept. of Veterans Affairs; USDVA || National Institute of Diabetes and Digestive and Kidney Diseases; NIH\/National Institute of Diabetes, Digestive &amp; Kidney Diseases; NIH National Institute of Diabetes and Digestive and Kidney Diseases; NIDDK; National Institute of Diabetes &amp; Digestive &amp; Kidney Diseases || U.S. Department of Veterans Affairs; United States Department of Veterans Affairs; Veterans Affairs; Veterans Affairs Department; Department of Veterans Affairs; US Department of Veterans Affairs; VA; U.S. Dept. of Veterans Affairs; USDVA</t>
  </si>
  <si>
    <t>https://openalex.org/funders/f4320332161 || https://openalex.org/funders/f4320306127 || https://openalex.org/funders/f4320337357</t>
  </si>
  <si>
    <t>Use of multiphoton tomography and fluorescence lifetime imaging to investigate skin pigmentation in vivo</t>
  </si>
  <si>
    <t>https://doi.org/10.1117/1.JBO.18.2.026022</t>
  </si>
  <si>
    <t>Australian Research Council; The Australian Research Council; ARC || Johnson and Johnson; Johnson &amp; Johnson; johnson &amp; Johnson Services, Inc.; J&amp;J; Johnson &amp; Johnson Services Inc; JNJ || National Health and Medical Research Council; NHMRC</t>
  </si>
  <si>
    <t>https://openalex.org/funders/f4320334704 || https://openalex.org/funders/f4320334705 || https://openalex.org/funders/f4320332194</t>
  </si>
  <si>
    <t>Nanosilver-Decorated TiO2 Nanofibers Coated with a SiO2 Layer for Enhanced Light Scattering and Localized Surface Plasmons in Dye-Sensitized Solar Cells</t>
  </si>
  <si>
    <t>https://doi.org/10.1002/chem.201301518</t>
  </si>
  <si>
    <t>NOT MATCHED || NOT MATCHED || William Carey University; WCU || Ministry of Education; 교육부; MOE; Ministry of Education of the Republic of Korea</t>
  </si>
  <si>
    <t>https://openalex.org/institutions/i161088229 || https://openalex.org/funders/f4320321408</t>
  </si>
  <si>
    <t>Increased Indoor Exposure to Commonly Used Disinfectants during the COVID-19 Pandemic</t>
  </si>
  <si>
    <t>https://doi.org/10.1021/acs.estlett.0c00587</t>
  </si>
  <si>
    <t>National Science Foundation; U.S. National Science Foundation; USA NSF; USNSF; NSF; US National Science Foundation; US NSF || NOT MATCHED || National Institute of Environmental Health Sciences; The National Institute of Environmental Health Sciences; NIH National Institute of Environmental Health Sciences; NIEHS</t>
  </si>
  <si>
    <t>https://openalex.org/funders/f4320337361 || https://openalex.org/funders/f4320306076</t>
  </si>
  <si>
    <t>Comparison of poloidal velocity measurements to neoclassical theory on the National Spherical Torus Experiment(a))</t>
  </si>
  <si>
    <t>https://doi.org/10.1063/1.3478571</t>
  </si>
  <si>
    <t>Do daily fluctuations in inhibitory control predict alcohol consumption? An ecological momentary assessment study</t>
  </si>
  <si>
    <t>https://doi.org/10.1007/s00213-018-4860-5</t>
  </si>
  <si>
    <t>Medical Research Council; MRC; UK Medical Research Council || Medical Research Council; MRC; UK Medical Research Council || Medical Research Council; MRC; UK Medical Research Council</t>
  </si>
  <si>
    <t>Effects of direct payments on rice income variability in Japan*</t>
  </si>
  <si>
    <t>https://doi.org/10.1111/1467-8489.12445</t>
  </si>
  <si>
    <t>Molecular Dynamics Simulations of Water Anchored in Multilayered Nanoporous MoS2 Membranes: Implications for Desalination</t>
  </si>
  <si>
    <t>https://doi.org/10.1021/acsanm.1c01982</t>
  </si>
  <si>
    <t>Coordenação de Aperfeiçoamento de Pessoal de Nível Superior; Coordination for the Improvement of Higher Education Personnel; CAPES; Brazilian Federal Agency for the Support and Evaluation of Graduate Education || NOT MATCHED || NOT MATCHED</t>
  </si>
  <si>
    <t>Deve opment of Bioactive Glass-Poly-epsilon-caprolactone Polymer Composite Film for Soft Tissue Regeneration</t>
  </si>
  <si>
    <t>https://doi.org/10.1063/5.0015785</t>
  </si>
  <si>
    <t>Universiti Sains Malaysia; University of Science, Malaysia; USM; Science University of Malaysia</t>
  </si>
  <si>
    <t>https://openalex.org/funders/f4320322757</t>
  </si>
  <si>
    <t>Research Progress of Aptamer-mediated Tumor Immunotherapy</t>
  </si>
  <si>
    <t>https://doi.org/10.16476/j.pibb.2021.0195</t>
  </si>
  <si>
    <t>Industrial Symbiosis Systems: Promoting Carbon Emission Reduction Activities</t>
  </si>
  <si>
    <t>https://doi.org/10.3390/ijerph16071093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</si>
  <si>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Social Science Foundation of Jiangsu Province; Jiangsu Provincial Social Science Foundation; 江苏省社会科学基金项目 || NOT MATCHED || NOT MATCHED || NOT MATCHED || Priority Academic Program Development of Jiangsu Higher Education Institutions; PAPD</t>
  </si>
  <si>
    <t>https://openalex.org/funders/f4320329865 || https://openalex.org/funders/f4320327518 || https://openalex.org/funders/f4320321001</t>
  </si>
  <si>
    <t>Inexpensive and green synthesis of multi-doped LiFePO4/C composites for lithium-ion batteries</t>
  </si>
  <si>
    <t>https://doi.org/10.1016/j.electacta.2017.10.073</t>
  </si>
  <si>
    <t>Natural Science Foundation of Henan Province; Henan Provincial Natural Science Foundation of China; Henan Province Natural Science Foundation || NOT MATCHED || NOT MATCHED</t>
  </si>
  <si>
    <t>https://openalex.org/funders/f4320323845</t>
  </si>
  <si>
    <t>Polytopes with Preassigned Automorphism Groups</t>
  </si>
  <si>
    <t>https://doi.org/10.1007/s00454-015-9710-1</t>
  </si>
  <si>
    <t>National Security Agency; National Security Agency\/Central Security Service; NSA\/CSS; US National Security Agency; National Security Agency Central Security Service; NSA; U.S. National Security Agency</t>
  </si>
  <si>
    <t>https://openalex.org/funders/f4320311089</t>
  </si>
  <si>
    <t>The Role of NELL-1, a Growth Factor Associated with Craniosynostosis, in Promoting Bone Regeneration</t>
  </si>
  <si>
    <t>https://doi.org/10.1177/0022034510376401</t>
  </si>
  <si>
    <t>National Institutes of Health; US National Institutes of Health; Institutos Nacionales de la Salud; NIH || University of California; UC; University of CA; The Regents of the University of California; Regents of the University of California || National Institute of Dental and Craniofacial Research; El Instituto Nacional de Investigación Dental y Craneofacial; Instituto Nacional de Investigación Dental y Craneofacial; The National Institute of Dental and Craniofacial Research; NIH National Institute of Dental and Craniofacial Research; NIDCR</t>
  </si>
  <si>
    <t>https://openalex.org/funders/f4320332161 || https://openalex.org/funders/f4320308590 || https://openalex.org/funders/f4320337365</t>
  </si>
  <si>
    <t>Fast optical frequency sweeping using voltage controlled oscillator driven single sideband modulation combined with injection locking</t>
  </si>
  <si>
    <t>https://doi.org/10.1364/OE.23.007038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</si>
  <si>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Natural Science Foundation of Shanghai; Shanghai Municipal Natural Science Fund; Natural Science Foundation of Shanghai Municipality; Shanghai Municipal Natural Science Foundation; Shanghai Natural Science Foundation</t>
  </si>
  <si>
    <t>https://openalex.org/funders/f4320309612 || https://openalex.org/funders/f4320321001</t>
  </si>
  <si>
    <t>Peptidomics insights into the interplay between the pre-digestion effect of mixed starters and the digestive pattern of sausage proteins</t>
  </si>
  <si>
    <t>https://doi.org/10.1016/j.foodres.2022.111963</t>
  </si>
  <si>
    <t>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 || NOT MATCHED || NOT MATCHED</t>
  </si>
  <si>
    <t>Association of Self-Reported Polycystic Ovary Syndrome, Obesity, and Weight Gain From Adolescence to Adulthood With Hypertensive Disorders of Pregnancy A Community-Based Approach</t>
  </si>
  <si>
    <t>https://doi.org/10.1161/HYPERTENSIONAHA.120.15702</t>
  </si>
  <si>
    <t>Academy of Finland; Suomen Akatemia; AKA; The Academy of Finland; Finlands Akademi || Oulun Yliopisto; University of Oulu || University of Colorado Hospital; Colorado General Hospital; University Hospital; Hospital de la Universidad de Colorado || Socialdepartementet; Ministry of Health and Social Affairs || Terveyden ja hyvinvoinnin laitos; National Institute for Health and Welfare of Finland; Finnish National Institute for Health and Welfare; Institutet för hälsa och välfärd; National Institute for Health and Welfare; THL || NOT MATCHED || European Regional Development Fund; Europejski Fundusz Rozwoju Regionalnego; ESRR; L-FEŻR; Den Europæiske Fond for Regionaludvikling; Europos Regionines Pletros Fondas; ERDF; Európsky Fond Regionálneho Rozvoja; FESR; ЕФРР; Eruf; EFRO; Evropski sklad za regionalni razvoj; Evropský fond pro regionální rozvoj; ERFA; FEDER; FEDER; Europäischer Fonds für regionale Entwicklung; Fundo Europeu de Desenvolvimento Regional; Europeiska regionala utvecklingsfonden; ΕΤΠΑ; Euroopa Regionaalarengu Fond; Fondo Europeo de Desarrollo Regional; Fonds Européen de Développement Régional; Il-Fond Ewropew għall-Iżvilupp Reġjonali; ERPF; Euroopan aluekehitysrahasto; ERAF; Fondo Europeo di Sviluppo Regionale; EAKR; ERFi; Европейски фонд за регионално развитие; Fondul European de Dezvoltare Regională; FEDR; Europees Fonds voor Regionale Ontwikkeling; Europski Fond za Regionalni Razvoj; EFRU; Európai Regionális Fejlesztési Alap; EFRR; EFRR; EFRE; Ευρωπαϊκό Ταμείο Περιφερειακής Ανάπτυξης; Eiropas Reģionālās attīstības fonds || NOT MATCHED || Medical Research Council; MRC; UK Medical Research Council</t>
  </si>
  <si>
    <t>https://openalex.org/funders/f4320334626 || https://openalex.org/funders/f4320335322 || https://openalex.org/funders/f4320323692 || https://openalex.org/institutions/i1288162130 || https://openalex.org/funders/f4320328549 || https://openalex.org/funders/f4320323244 || https://openalex.org/funders/f4320321108</t>
  </si>
  <si>
    <t>Demetalation of Metal Porphyrins via Magnesium Porphyrins by Reaction with Grignard Reagents</t>
  </si>
  <si>
    <t>https://doi.org/10.1002/chem.201301146</t>
  </si>
  <si>
    <t>Ministry of Education, Culture, Sports, Science and Technology; Monbu Kagakusho; 文部科学省; MEXT; Monbusho || Japan Society for the Promotion of Science; Grants-in-Aid for Scientific Research; Grants-in-Aid for Scientific Research Program; KAKENHI; 日本学術振興会; KAKEN; JSPS</t>
  </si>
  <si>
    <t>https://openalex.org/funders/f4320320912 || https://openalex.org/funders/f4320334764</t>
  </si>
  <si>
    <t>Successful Implementation of an Antibiotic Stewardship Program in an Academic Dental Practice</t>
  </si>
  <si>
    <t>https://doi.org/10.1093/ofid/ofz067</t>
  </si>
  <si>
    <t>Agency for Healthcare Research and Quality; Agencia de Investigación y Calidad Sanitaria; Agency for Healthcare Research &amp; Quality; AHRQ || Agency for Healthcare Research and Quality; Agencia de Investigación y Calidad Sanitaria; Agency for Healthcare Research &amp; Quality; AHRQ</t>
  </si>
  <si>
    <t>https://openalex.org/funders/f4320332177</t>
  </si>
  <si>
    <t>Iteration in Mixed-Methods Research Designs Combining Experiments and Fieldwork( 1,)( 2 )</t>
  </si>
  <si>
    <t>https://doi.org/10.1177/00491241221082595</t>
  </si>
  <si>
    <t>Agencia Nacional de Investigación e Innovación; ANII; La Agencia Nacional de Investigación e Innovación; Agência Nacional para a Investigação e Inovação; National Agency for Research and Innovation</t>
  </si>
  <si>
    <t>https://openalex.org/funders/f4320310753</t>
  </si>
  <si>
    <t>MIMO Underwater Acoustic Communication in Shallow Water with Ice Cover</t>
  </si>
  <si>
    <t>https://doi.org/10.1007/s13344-019-0023-7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</si>
  <si>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Fundamental Research Funds for the Central Universities; Fundamental Research Funds for the Central Universities of China; Fundamental Research Fund for the Central Universities || NOT MATCHED</t>
  </si>
  <si>
    <t>Modeling the Monotonic and Cyclic Tensile Stress-Strain Behavior of 2D and 2.5D Woven C/SiC Ceramic-Matrix Composites</t>
  </si>
  <si>
    <t>https://doi.org/10.1007/s11029-018-9729-5</t>
  </si>
  <si>
    <t>Natural Science Foundation of Jiangsu Province; Jiangsu Provincial Natural Science Foundation; Jiangsu Natural Science Foundation; Jiangsu Province Natural Science Foundation || Fundamental Research Funds for the Central Universities; Fundamental Research Funds for the Central Universities of China; Fundamental Research Fund for the Central Universities</t>
  </si>
  <si>
    <t>https://openalex.org/funders/f4320322769 || https://openalex.org/funders/f4320335787</t>
  </si>
  <si>
    <t>Two new species of Stillabothrium (Cestoda: Rhinebothriidea) from stingrays of the genus Fontitrygon from Senegal</t>
  </si>
  <si>
    <t>https://doi.org/10.14411/fp.2018.014</t>
  </si>
  <si>
    <t>National Science Foundation; U.S. National Science Foundation; USA NSF; USNSF; NSF; US National Science Foundation; US NSF || NOT MATCHED || Pressure BioSciences (United States); PBI || NOT MATCHED || NOT MATCHED || NOT MATCHED || NOT MATCHED || National Science Foundation; U.S. National Science Foundation; USA NSF; USNSF; NSF; US National Science Foundation; US NSF</t>
  </si>
  <si>
    <t>https://openalex.org/funders/f4320306076 || https://openalex.org/institutions/i4210127267</t>
  </si>
  <si>
    <t>Evolution of Microstructure and Carbon Distribution During Heat Treatments of a Dual-Phase Steel: Modeling and Atom-Probe Tomography Experiments</t>
  </si>
  <si>
    <t>https://doi.org/10.1007/s11661-018-4975-7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</si>
  <si>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Jiangsu Key Laboratory for Advanced Metallic Materials || Scientific Research Foundation of the Graduate School of Southeast University || China Scholarship Council; CSC || Management Research Institute; MRI || NOT MATCHED || Materials Research Science and Engineering Center, Northwestern University; NU-MRSEC; Northwestern MRSEC; Materials Research Science and Engineering Center; Materials Research Center; Northwestern University Materials Research Science and Engineering Center; MRSEC || Institut Supérieur de l'Électronique et du Numérique; ISEN; Higher Institute for Electronics and Digital Training || International Institute for Nanotechnology; IIN; Northwestern University International Institute for Nanotechnology; International Institute for Nanotechnology at Northwestern University || W. M. Keck Foundation; W M Keck Foundation; W.M. Keck Foundation; WM Keck Foundation; WMKF; The W. M. Keck Foundation; Keck Foundation || State of Illinois || State Key Laboratory of Urban Water Resource and Environment; SKLUWRE || NOT MATCHED</t>
  </si>
  <si>
    <t>https://openalex.org/institutions/i4210132097 || https://openalex.org/funders/f4320334183 || https://openalex.org/funders/f4320327002 || https://openalex.org/funders/f4320335928 || https://openalex.org/institutions/i3132279224 || https://openalex.org/institutions/i4391768238 || https://openalex.org/funders/f4320322725 || https://openalex.org/funders/f4320335704 || https://openalex.org/institutions/i4391767654 || https://openalex.org/funders/f4320321001 || https://openalex.org/funders/f4320306159</t>
  </si>
  <si>
    <t>Maternal-Fetal Cholesterol Transport in the Placenta Good, Bad, and Target for Modulation</t>
  </si>
  <si>
    <t>https://doi.org/10.1161/CIRCRESAHA.109.194191</t>
  </si>
  <si>
    <t>Modulation of major voltage- and ligand-gated ion channels in cultured neurons of the rat inferior colliculus by lidocaine</t>
  </si>
  <si>
    <t>https://doi.org/10.1111/j.1745-7254.2008.00893.x</t>
  </si>
  <si>
    <t>Actinotetraoses A-H: Tetrasaccharide Derivatives from a Grasshopper-Associated Amycolatopsis sp HCa1</t>
  </si>
  <si>
    <t>https://doi.org/10.1055/s-0031-1298592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</si>
  <si>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Program for New Century Excellent Talents in University; New Century Excellent Talents Program; Program for New Century Excellent Talents; NCET || Natural Science Foundation of Jiangsu Province; Jiangsu Provincial Natural Science Foundation; Jiangsu Natural Science Foundation; Jiangsu Province Natural Science Foundation</t>
  </si>
  <si>
    <t>https://openalex.org/funders/f4320322769 || https://openalex.org/funders/f4320334924 || https://openalex.org/funders/f4320321001</t>
  </si>
  <si>
    <t>Renewable energy output, energy efficiency and cleaner energy: Evidence from non-parametric approach for emerging seven economies</t>
  </si>
  <si>
    <t>https://doi.org/10.1016/j.renene.2022.07.154</t>
  </si>
  <si>
    <t>Anhui Office of Philosophy and Social Science; Philosophy and Social Science Planning of Anhui Province; Key Projects in Philosophy and Social Science of Anhui; Research Fund of Anhui Province Philosophy and Social Science Planning; Anhui Province Philosophy Social Science Foundation; Anhui Provincial Philosophy and Social Science Planning Project; 安徽省社会科学规划项目; Anhui Philosophy and Social Science Planning Project; 安徽省哲学社会科学规划办公室</t>
  </si>
  <si>
    <t>https://openalex.org/funders/f4320318614</t>
  </si>
  <si>
    <t>Structure and mechanical properties of aging Al-Li-Cu-Zr-Sc-Ag alloy after severe plastic deformation by high-pressure torsion</t>
  </si>
  <si>
    <t>https://doi.org/10.1134/S0031918X15040080</t>
  </si>
  <si>
    <t>Russian Foundation for Basic Research; RFBR; РФФИ; Российский Фонд Фундаментальных Исследований || NOT MATCHED || NOT MATCHED</t>
  </si>
  <si>
    <t>Tensile crack initiation behavior of cast Mg-3Nd-0.2Zn-0.5Zr magnesium alloy</t>
  </si>
  <si>
    <t>https://doi.org/10.1016/j.msea.2016.07.085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</si>
  <si>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NOT MATCHED || NOT MATCHED || Shanghai Rising-Star Program</t>
  </si>
  <si>
    <t>https://openalex.org/funders/f4320327803 || https://openalex.org/funders/f4320321001</t>
  </si>
  <si>
    <t>Host iron redistribution as a risk factor for incident tuberculosis in HIV infection: an 11-year retrospective cohort study</t>
  </si>
  <si>
    <t>https://doi.org/10.1186/1471-2334-13-48</t>
  </si>
  <si>
    <t>NOT MATCHED || Canadian Institutes of Health Research; CIHR; IRSC; Instituts de Recherche en Santé du Canada || Medical Research Council; MRC; UK Medical Research Council || Wellcome Trust; The Wellcome Trust; WT; Wellcome || Medical Research Council; MRC; UK Medical Research Council || Methodist Rehabilitation Center; MRC || Medical Research Council; MRC; UK Medical Research Council</t>
  </si>
  <si>
    <t>https://openalex.org/funders/f4320334626 || https://openalex.org/funders/f4320334506 || https://openalex.org/funders/f4320311904 || https://openalex.org/institutions/i4210140131</t>
  </si>
  <si>
    <t>Temporal and spatial features and inter-annual variability of wintertime snow mass balance over China</t>
  </si>
  <si>
    <t>https://doi.org/10.1002/joc.4599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</si>
  <si>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Chinese Academy of Sciences; CAS; 中国科学院 || NOT MATCHED || NOT MATCHED</t>
  </si>
  <si>
    <t>https://openalex.org/funders/f4320321133 || https://openalex.org/funders/f4320321001</t>
  </si>
  <si>
    <t>Atomic structure of nanoclusters in oxide-dispersion-strengthened steels</t>
  </si>
  <si>
    <t>https://doi.org/10.1038/NMAT3150</t>
  </si>
  <si>
    <t>NOT MATCHED || Wolfgang Pauli Institute; WPI || Ministry of Education, Culture, Sports, Science and Technology; Monbu Kagakusho; 文部科学省; MEXT; Monbusho</t>
  </si>
  <si>
    <t>https://openalex.org/funders/f4320320912 || https://openalex.org/institutions/i4210142651</t>
  </si>
  <si>
    <t>Introducing QWET - A QGIS-plugin for application, evaluation and experimentation with the WET model Environmental Modelling and Software</t>
  </si>
  <si>
    <t>https://doi.org/10.1016/j.envsoft.2020.104886</t>
  </si>
  <si>
    <t>NOT MATCHED || NOT MATCHED || Danmarks Frie Forskningsfond; Danish Council for Independent Research; Det Frie Forskningsrad; Independent Research Fund Denmark; DFF || Miljøstyrelsen; The Danish EPA; The Danish Environmental Protection Agency; DEPA</t>
  </si>
  <si>
    <t>https://openalex.org/funders/f4320324106 || https://openalex.org/funders/f4320322928</t>
  </si>
  <si>
    <t>Trends and perioperative outcomes for laparoscopic and robotic nephrectomy using the National Surgical Quality Improvement Program (NSQIP) database</t>
  </si>
  <si>
    <t>https://doi.org/10.1016/j.urolonc.2013.09.012</t>
  </si>
  <si>
    <t>National Institute of Diabetes and Digestive and Kidney Diseases; NIH\/National Institute of Diabetes, Digestive &amp; Kidney Diseases; NIH National Institute of Diabetes and Digestive and Kidney Diseases; NIDDK; National Institute of Diabetes &amp; Digestive &amp; Kidney Diseases || National Institute of Diabetes and Digestive and Kidney Diseases; NIH\/National Institute of Diabetes, Digestive &amp; Kidney Diseases; NIH National Institute of Diabetes and Digestive and Kidney Diseases; NIDDK; National Institute of Diabetes &amp; Digestive &amp; Kidney Diseases</t>
  </si>
  <si>
    <t>Aberrant Expression of Long Non-coding RNAs in Peripheral Blood of Autistic Patients</t>
  </si>
  <si>
    <t>https://doi.org/10.1007/s12031-018-1240-x</t>
  </si>
  <si>
    <t>Shahid Beheshti University of Medical Sciences; Université des Sciences Médicales de; جامعة شهيد بهشتي للعلوم; SBUMS; دانشگاه علوم پزشکی و درمانی شهید بهشتی</t>
  </si>
  <si>
    <t>https://openalex.org/funders/f4320323457</t>
  </si>
  <si>
    <t>Aging Impairs Hippocampal-Dependent Recognition Memory and LTP and Prevents the Associated RyR Up-regulation</t>
  </si>
  <si>
    <t>https://doi.org/10.3389/fnagi.2017.00111</t>
  </si>
  <si>
    <t>Fondo Nacional de Desarrollo Científico y Tecnológico; National Fund for Scientific and Technological Development; FONDECYT; El Fondo Nacional de Desarrollo Científico y Tecnológico || Comisión Nacional de Investigación Científica y Tecnológica; National Commission for Scientific and Technological Research; CONICYT || Instituto de Neurociencia Biomédica; BNI</t>
  </si>
  <si>
    <t>https://openalex.org/funders/f4320338073 || https://openalex.org/institutions/i4210134609 || https://openalex.org/funders/f4320334812</t>
  </si>
  <si>
    <t>Arabidopsis bHLH100 and bHLH101 Control Iron Homeostasis via a FIT-Independent Pathway</t>
  </si>
  <si>
    <t>https://doi.org/10.1371/journal.pone.0044843</t>
  </si>
  <si>
    <t>European Molecular Biology Organization; The European Molecular Biology Organization; EMBO || Human Frontier Science Program; HFSP || Agence Nationale de la Recherche; ANR; French National Research Agency</t>
  </si>
  <si>
    <t>https://openalex.org/funders/f4320320883 || https://openalex.org/funders/f4320320338 || https://openalex.org/funders/f4320307844</t>
  </si>
  <si>
    <t>Effect Evaluation of Biomedical Experiment Teaching Based on Intelligent Sensor</t>
  </si>
  <si>
    <t>https://doi.org/10.1155/2022/2124462</t>
  </si>
  <si>
    <t>Xuchang University; Xǔchāng Xuéyuàn</t>
  </si>
  <si>
    <t>https://openalex.org/funders/f4320325014</t>
  </si>
  <si>
    <t>Evapotranspiration, yield and silage quality characteristics of three maize hybrids grown under Mediterranean conditions</t>
  </si>
  <si>
    <t>https://doi.org/10.1080/03650340.2020.1795138</t>
  </si>
  <si>
    <t>General Directorate of Agricultural Research and Policies; TAGEM; TARIMSAL ARAŞTIRMALAR VE POLİTİKALAR GENEL MÜDÜRLÜĞÜ</t>
  </si>
  <si>
    <t>https://openalex.org/institutions/i4210105427</t>
  </si>
  <si>
    <t>A New Dicationic Ring [(Water)(6)-(Ammonium)(2)] Acts as a Building Block for a Supramolecular 3D Assembly of Decavanadate Clusters and 4-(N,N-dimethylamino)pyridinium Ions</t>
  </si>
  <si>
    <t>https://doi.org/10.1007/s10876-014-0779-0</t>
  </si>
  <si>
    <t>Consejo Nacional de Ciencia y Tecnología; National Council of Science and Technology, Mexico; CONACYT || NOT MATCHED || NOT MATCHED</t>
  </si>
  <si>
    <t>Underwater acoustic communication using Doppler-resilient orthogonal signal division multiplexing in a harbor environment</t>
  </si>
  <si>
    <t>https://doi.org/10.1016/j.phycom.2018.01.001</t>
  </si>
  <si>
    <t>Differential effects of angiopoietin-like 4 in brain and muscle on regulation of lipoprotein lipase activity</t>
  </si>
  <si>
    <t>https://doi.org/10.1016/j.molmet.2014.11.003</t>
  </si>
  <si>
    <t>National Institute of Diabetes and Digestive and Kidney Diseases; NIH\/National Institute of Diabetes, Digestive &amp; Kidney Diseases; NIH National Institute of Diabetes and Digestive and Kidney Diseases; NIDDK; National Institute of Diabetes &amp; Digestive &amp; Kidney Diseases || Japan Society for the Promotion of Science; Grants-in-Aid for Scientific Research; Grants-in-Aid for Scientific Research Program; KAKENHI; 日本学術振興会; KAKEN; JSPS || National Institute of Diabetes and Digestive and Kidney Diseases; NIH\/National Institute of Diabetes, Digestive &amp; Kidney Diseases; NIH National Institute of Diabetes and Digestive and Kidney Diseases; NIDDK; National Institute of Diabetes &amp; Digestive &amp; Kidney Diseases</t>
  </si>
  <si>
    <t>https://openalex.org/funders/f4320334764 || https://openalex.org/funders/f4320337357</t>
  </si>
  <si>
    <t>Volatility inference in the presence of both endogenous time and microstructure noise</t>
  </si>
  <si>
    <t>https://doi.org/10.1016/j.spa.2013.04.002</t>
  </si>
  <si>
    <t>NOT MATCHED || Science and Technology Commission of Shanghai Municipality; STCSM; Shanghai Science and Technology Committee; Shanghai Municipal Science and Technology Commission; Shanghai Science and Technology Commission; 上海市科学技术委员会</t>
  </si>
  <si>
    <t>https://openalex.org/funders/f4320321885</t>
  </si>
  <si>
    <t>A Framework of Constructing Placement Delivery Arrays for Centralized Coded Caching</t>
  </si>
  <si>
    <t>https://doi.org/10.1109/TIT.2021.3112492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</si>
  <si>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NOT MATCHED || NOT MATCHED || NOT MATCHED || NOT MATCHED || Natural Sciences and Engineering Research Council of Canada; CRSNG; NSERC; Conseil de Recherches en Sciences Naturelles et en Génie du Canada</t>
  </si>
  <si>
    <t>https://openalex.org/funders/f4320334593 || https://openalex.org/funders/f4320321001</t>
  </si>
  <si>
    <t>Three-Dimensional Fin-Structured Semiconducting Carbon Nanotube Network Transistor</t>
  </si>
  <si>
    <t>https://doi.org/10.1021/acsnano.6b05429</t>
  </si>
  <si>
    <t>Center for Integrated Smart Sensors; CISS || National Research Foundation of Korea; NRF; 한국연구재단이 창의적 연구와 || National Research Foundation of Korea; NRF; 한국연구재단이 창의적 연구와</t>
  </si>
  <si>
    <t>https://openalex.org/funders/f4320322120 || https://openalex.org/institutions/i4210112057</t>
  </si>
  <si>
    <t>Effects of continuity of care on hospitalizations and healthcare costs in older adults with dementia</t>
  </si>
  <si>
    <t>https://doi.org/10.1186/s12877-022-03407-7</t>
  </si>
  <si>
    <t>Impact Research on a Nonlinear Cold Chain Evolutionary Game Under Three Various Contracts</t>
  </si>
  <si>
    <t>https://doi.org/10.1142/S0218127419500585</t>
  </si>
  <si>
    <t>Mechanical and Failure Criteria of Air-Entrained Concrete under Triaxial Compression Load after Rapid Freeze-Thaw Cycles</t>
  </si>
  <si>
    <t>https://doi.org/10.1155/2017/6786270</t>
  </si>
  <si>
    <t>FP7 International Cooperation; INCO; PF7 COOPÉRATION INTERNATIONALE; PF7 Programa específico 'Capacidades': Cooperación internacional; PF7 Programme spécifique 'Capacités': Coopération internationale; FP7-INCO - Programma specifico 'Capacità': Cooperazione internazionale; Programme spécifique 'Capacités': Coopération internationale; PF7 COOPERAZIONE INTERNAZIONALE; FP7-INCO; PF7 Programma specifico 'Capacità': Cooperazione internazionale; PF7 WSPÓŁPRACA MIĘDZYNARODOWA; FP7 INTERNATIONALE ZUSAMMENARBEIT; Program szczegółowego 'Możliwości': współpraca międzynarodowa; COOPERAZIONE INTERNAZIONALE; FP7-INCO - Spezifisches Programm 'Kapazitäten': Internationale Zusammenarbeit; FP7-INCO - Program szczegółowego 'Możliwości': współpraca międzynarodowa; FP7 COOPERACIÓN INTERNACIONAL; PF7 Program szczegółowego 'Możliwości': współpraca międzynarodowa; Spezifisches Programm 'Kapazitäten': Internationale Zusammenarbeit; INTERNATIONAL COOPERATION; COOPERACIÓN INTERNACIONAL; FP7-INCO - Specific Programme 'Capacities': International Cooperation; INCO - Programma specifico 'Capacità': Cooperazione internazionale; FP7 Specific Programme 'Capacities': International Cooperation; INCO - Programa específico 'Capacidades': Cooperación internacional; FP7-INCO - Programa específico 'Capacidades': Cooperación internacional; Programa específico 'Capacidades': Cooperación internacional; INCO - Programme spécifique 'Capacités': Coopération internationale; FP7-INCO - Programme spécifique 'Capacités': Coopération internationale; Programma specifico 'Capacità': Cooperazione internazionale; INCO - Program szczegółowego 'Możliwości': współpraca międzynarodowa; PF7 Spezifisches Programm 'Kapazitäten': Internationale Zusammenarbeit; WSPÓŁPRACA MIĘDZYNARODOWA; INCO - Specific Programme 'Capacities': International Cooperation; INTERNATIONALE ZUSAMMENARBEIT; COOPÉRATION INTERNATIONALE; INCO - Spezifisches Programm 'Kapazitäten': Internationale Zusammenarbeit; FP7 INCO; Specific Programme 'Capacities': International co-operation || China Postdoctoral Science Foundation || NOT MATCHED || NOT MATCHED</t>
  </si>
  <si>
    <t>https://openalex.org/funders/f4320338362 || https://openalex.org/funders/f4320321543</t>
  </si>
  <si>
    <t>Unmasking host and microbial strategies in the Agrobacterium-plant defense tango</t>
  </si>
  <si>
    <t>https://doi.org/10.3389/fpls.2015.00200</t>
  </si>
  <si>
    <t>Directorate for Biological Sciences; Biological Sciences; Directorate for Biological Sciences at NSF; Biological Sciences directorate at the National Science Foundation; The Directorate of Biological Sciences; US NSF - BIO; BIO\/OAD; The Directorate for Biological Sciences (BIO) at the National Science Foundation (NSF); US National Science Foundation Directorate of Biological Sciences; BIO; National Science Foundation's Directorate for Biological Sciences; NSF, Directorate for Biological Sciences; NSF\/BIO; NSF Directorate of Biological Sciences; NSF's Directorate for Biological Sciences</t>
  </si>
  <si>
    <t>https://openalex.org/funders/f4320332167</t>
  </si>
  <si>
    <t>Accelerated bacterial detection in blood culture by enhanced acoustic flow cytometry (AFC) following peptide nucleic acid fluorescence in situ hybridization (PNA-FISH)</t>
  </si>
  <si>
    <t>https://doi.org/10.1371/journal.pone.0201332</t>
  </si>
  <si>
    <t>Pathwest Laboratory Medicine</t>
  </si>
  <si>
    <t>https://openalex.org/institutions/i4210163058</t>
  </si>
  <si>
    <t>The coalescence of heterogeneous liquid metal on nano substrate</t>
  </si>
  <si>
    <t>https://doi.org/10.1016/j.chemphys.2017.04.009</t>
  </si>
  <si>
    <t>Formation of cyclopentane - methane hydrates in brine systems and characteristics of dissolved ions</t>
  </si>
  <si>
    <t>https://doi.org/10.1016/j.apenergy.2016.10.035</t>
  </si>
  <si>
    <t>National Science Fund for Distinguished Young Scholars; National Science Foundation for Distinguished Young Scholars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International Science and Technology Cooperation Programme; Key Program for International S and T Cooperation Projects of China; Key Program for International S&amp;T Cooperation Projects of China; International S&amp;T Cooperation Programme; Special Program For Key Program for International S&amp;T Cooperation Projects; ISTCP</t>
  </si>
  <si>
    <t>https://openalex.org/funders/f4320336125 || https://openalex.org/funders/f4320335830 || https://openalex.org/funders/f4320321001</t>
  </si>
  <si>
    <t>Determinants of Genomic RNA Encapsidation in the Saccharomyces cerevisiae Long Terminal Repeat Retrotransposons Ty1 and Ty3</t>
  </si>
  <si>
    <t>https://doi.org/10.3390/v8070193</t>
  </si>
  <si>
    <t>NOT MATCHED || Fundacja na rzecz Nauki Polskiej; Foundation for Polish Science; FNP || Ministerstwo Edukacji i Nauki; Ministry of Science and Higher Education; MNiSW; Ministry of Science and Higher Education, Republic of Poland; Ministerstwo Nauki i Szkolnictwa Wyższego || Narodowe Centrum Nauki; National Science Centre; NCN</t>
  </si>
  <si>
    <t>https://openalex.org/funders/f4320321042 || https://openalex.org/funders/f4320322511 || https://openalex.org/funders/f4320322733</t>
  </si>
  <si>
    <t>Statistical properties of fast radio bursts elucidate their origins: magnetars are favored over gamma-ray bursts</t>
  </si>
  <si>
    <t>https://doi.org/10.1088/1674-4527/21/8/211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</si>
  <si>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Chinese Academy of Sciences; CAS; 中国科学院 || 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 || NOT MATCHED</t>
  </si>
  <si>
    <t>The phenotype of a KCNQ1 mutation depends on its KCNE partners: Is the cardiac slow delayed rectifier (I-Ks) channel more than a KCNQ1/KCNE1 complex?</t>
  </si>
  <si>
    <t>https://doi.org/10.1016/j.hrthm.2007.08.014</t>
  </si>
  <si>
    <t>Mucosal-associated invariant T cells in autoimmunity, immune-mediated diseases and airways disease</t>
  </si>
  <si>
    <t>https://doi.org/10.1111/imm.12582</t>
  </si>
  <si>
    <t>Wellcome Trust; The Wellcome Trust; WT; Wellcome || Academy of Medical Sciences; The Academy of Medical Sciences</t>
  </si>
  <si>
    <t>https://openalex.org/funders/f4320311904 || https://openalex.org/funders/f4320320241</t>
  </si>
  <si>
    <t>Multidimensional Synergistic Nanoarchitecture Exhibiting Highly Stable and Ultrafast Sodium-Ion Storage</t>
  </si>
  <si>
    <t>https://doi.org/10.1002/adma.201707122</t>
  </si>
  <si>
    <t>Fundamental Research Funds for the Central Universities; Fundamental Research Funds for the Central Universities of China; Fundamental Research Fund for the Central Universities || China Scholarship Council; CSC || National Ten Thousand Talent Program; 万人计划; 国家万人计划; Ten Thousand Talents Program; National Ten Thousand Talents Plan || Project 211; Double First Class University Plan; Program of Introducing Talents of Discipline to Universities; 111 Plan || NOT MATCHED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NOT MATCHED || Natural Science Foundation of Hubei Province; Hubei Provincial Natural Science Foundation || 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 || National Outstanding Youth Science Fund Project of National Natural Science Foundation of China; National Outstanding Youth Science Fund Project of NSFC; Youth Programs of National Natural Science Foundation of China; National Natural Science Foundation for Excellent Youth Science Fund Project of China; Outstanding Youth Science Fund Project of the National Natural Science Foundation of China; IUSS; National Outstanding Youth Science Fund Project of China; National Science Fund for Excellent Young Scholars</t>
  </si>
  <si>
    <t>https://openalex.org/funders/f4320335785 || https://openalex.org/funders/f4320322725 || https://openalex.org/funders/f4320321001 || https://openalex.org/funders/f4320322186 || https://openalex.org/funders/f4320333688 || https://openalex.org/funders/f4320335787 || https://openalex.org/funders/f4320335777 || https://openalex.org/funders/f4320336605</t>
  </si>
  <si>
    <t>Superior energy band structure and retarded charge recombination for Anatase N, B codoped nano-crystalline TiO2 anodes in dye-sensitized solar cells</t>
  </si>
  <si>
    <t>https://doi.org/10.1039/c2jm16896k</t>
  </si>
  <si>
    <t>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 || National High-tech Research and Development Program; National High-tech R&amp;D Program (863 Program); State High-Tech Development Plan; 863 Program || Chinese Academy of Sciences; CAS; 中国科学院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</t>
  </si>
  <si>
    <t>https://openalex.org/funders/f4320335773 || https://openalex.org/funders/f4320335777 || https://openalex.org/funders/f4320321133 || https://openalex.org/funders/f4320321001</t>
  </si>
  <si>
    <t>Genetically encoded calcium indicator with NTnC-like design and enhanced fluorescence contrast and kinetics</t>
  </si>
  <si>
    <t>https://doi.org/10.1186/s12896-018-0417-2</t>
  </si>
  <si>
    <t>Russian Science Foundation; Российский научный фонд; RSF || Russian Foundation for Basic Research; RFBR; РФФИ; Российский Фонд Фундаментальных Исследований || Ministry of Education and Science; Ministry of Education and Science for the Republic of Bulgaria; Министерство на образованието и науката; MES || Institute of Aging; IV; l'Institut du vieillissement; Institut du Vieillissement; IA || New York State Stem Cell Science; NYSTEM || National Research Center "Kurchatov Institute"; NRC "Kurchatov Institute"; NRC KI || Russian Science Foundation; Российский научный фонд; RSF || National Institute on Aging; The National Institute on Aging; NIA; NIH NATIONAL INSTITUTE ON AGING; U.S. National Institute on Aging</t>
  </si>
  <si>
    <t>https://openalex.org/funders/f4320337337 || https://openalex.org/funders/f4320324099 || https://openalex.org/funders/f4320327961 || https://openalex.org/funders/f4320323573 || https://openalex.org/funders/f4320321079 || https://openalex.org/funders/f4320338062 || https://openalex.org/funders/f4320313691</t>
  </si>
  <si>
    <t>Synthesis and Antiproliferative Effect of Ethyl 4-[4-(4-Substituted Piperidin-1-yl)]benzylpyrrolo[1,2-a]quinoxalinecarboxylate Derivatives on Human Leukemia Cells</t>
  </si>
  <si>
    <t>https://doi.org/10.1002/cmdc.201700049</t>
  </si>
  <si>
    <t>NOT MATCHED || Università Italo Francese; UIF; Italo-French University; UFI; Università Italo-Francese; Université franco-italienne; Université Franco Italienne</t>
  </si>
  <si>
    <t>https://openalex.org/funders/f4320315909</t>
  </si>
  <si>
    <t>Gallic, ellagic acids and their oral combined administration induce kidney, lung, and heart injury after acute exposure in Wistar rats</t>
  </si>
  <si>
    <t>https://doi.org/10.1016/j.fct.2022.113492</t>
  </si>
  <si>
    <t>NOT MATCHED || NOT MATCHED || Consejo Nacional de Ciencia y Tecnología; National Council of Science and Technology, Mexico; CONACYT</t>
  </si>
  <si>
    <t>Decoy Receptor 3 Promotes Preosteoclast Cell Death via Reactive Oxygen Species-Induced Fas Ligand Expression and the IL-1 alpha/IL-1 Receptor Antagonist Pathway</t>
  </si>
  <si>
    <t>https://doi.org/10.1155/2020/1237281</t>
  </si>
  <si>
    <t>Ministry of Science and Technology, Taiwan; Ministry of Science and Technology of Taiwan; MOST; Ministry of Science and Technology, R.O.C. (Taiwan) || Tao Yuan General Hospital, Ministry of Health and Welfare; Taoyuan General Hospital; 衛生福利部桃園醫院; Taoyuan General Hospital, Ministry of Health &amp; Welfare || Ministry of National Defense; Ministry of National Defense, Republic of Korea; MND</t>
  </si>
  <si>
    <t>https://openalex.org/funders/f4320333884 || https://openalex.org/funders/f4320322795 || https://openalex.org/funders/f4320322004</t>
  </si>
  <si>
    <t>Computational Challenges in Simulating and Analyzing Experimental Linear and Nonlinear Circular Dichroism Spectra. R-(+)-1,1 '-Bis(2-naphthol) as a Prototype Case</t>
  </si>
  <si>
    <t>https://doi.org/10.1021/jp108669f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</si>
  <si>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Independent Innovation Foundation of Shandong University || Vetenskapsrådet; VR; Swedish Research Council || NOT MATCHED || NOT MATCHED || NOT MATCHED</t>
  </si>
  <si>
    <t>https://openalex.org/funders/f4320322581 || https://openalex.org/funders/f4320335456 || https://openalex.org/funders/f4320321001</t>
  </si>
  <si>
    <t>Common dense hypercyclic manifolds for translation and dilation operators</t>
  </si>
  <si>
    <t>https://doi.org/10.1080/17476930801919025</t>
  </si>
  <si>
    <t>Constraining lithosphere deformation modes during continental breakup for the Iberia-Newfoundland conjugate rifted margins</t>
  </si>
  <si>
    <t>https://doi.org/10.1016/j.tecto.2016.05.006</t>
  </si>
  <si>
    <t>BP; BP p.l.c. || ConocoPhillips; ConocoPhillips Co; ConocoPhillips Co.; ConocoPhillips Company; CPC || Hess Corporation; Amerada Hess || NOT MATCHED || Statoil; StatoilHydro; Statoil ASA; Statoil; Den Norske Stats Oljeselskap A\/S; Equinor || Shell; Shell Global; Royal Dutch Shell PLC; Royal Dutch Shell || Total; TotalEnergies; Total Marketing Services; TotalEnergies SE || BG Group; BG Group plc || NOT MATCHED</t>
  </si>
  <si>
    <t>https://openalex.org/funders/f4320307925 || https://openalex.org/funders/f4320307899 || https://openalex.org/funders/f4320307816 || https://openalex.org/funders/f4320322564 || https://openalex.org/funders/f4320310668 || https://openalex.org/funders/f4320324219 || https://openalex.org/funders/f4320307804</t>
  </si>
  <si>
    <t>LDL cholesterol is associated with higher AD neuropathology burden independent of APOE</t>
  </si>
  <si>
    <t>https://doi.org/10.1136/jnnp-2021-328164</t>
  </si>
  <si>
    <t>NOT MATCHED || National Institutes of Health; US National Institutes of Health; Institutos Nacionales de la Salud; NIH</t>
  </si>
  <si>
    <t>Activation of CD44-Lipoprotein lipase axis in breast cancer stem cells promotes tumorigenesis</t>
  </si>
  <si>
    <t>https://doi.org/10.1016/j.bbadis.2021.166228</t>
  </si>
  <si>
    <t>Department of Biotechnology, Ministry of Science and Technology, India; Dept. of Biotechnology, Govt of India; बायोटेक्नोलॉजी विभाग विज्ञान और प्रौद्योगिकी मंत्रालय, भारत सरकार; Department of Biotechnology, Ministry of Science &amp; Technology, India; DBT; Department of Biotechnology || NOT MATCHED || NOT MATCHED || NOT MATCHED</t>
  </si>
  <si>
    <t>Characteristics of alveolar macrophages from murine models of OVA-induced allergic airway inflammation and LPS-induced acute airway inflammation</t>
  </si>
  <si>
    <t>https://doi.org/10.3109/01902148.2015.1044137</t>
  </si>
  <si>
    <t>Japan Society for the Promotion of Science; Grants-in-Aid for Scientific Research; Grants-in-Aid for Scientific Research Program; KAKENHI; 日本学術振興会; KAKEN; JSPS || NOT MATCHED || NOT MATCHED || Japan Society for the Promotion of Science; Grants-in-Aid for Scientific Research; Grants-in-Aid for Scientific Research Program; KAKENHI; 日本学術振興会; KAKEN; JSPS</t>
  </si>
  <si>
    <t>Marital Abuse and Psychological Well-Being Among Women in the Southern Region of Jordan</t>
  </si>
  <si>
    <t>https://doi.org/10.1177/1043659611404424</t>
  </si>
  <si>
    <t>Japan International Cooperation Agency; Agencia de Cooperación Internacional del Japón; JICA; Agence Japonaise de Coopération Internationale</t>
  </si>
  <si>
    <t>https://openalex.org/funders/f4320322716</t>
  </si>
  <si>
    <t>Comprehensive Cardiac Rehabilitation for Secondary Prevention After Transient Ischemic Attack or Mild Stroke I: Feasibility and Risk Factors</t>
  </si>
  <si>
    <t>https://doi.org/10.1161/STROKEAHA.111.620187</t>
  </si>
  <si>
    <t>Ontario Ministry of Health and Long-Term Care; Ministry of Health and the Ministry of Long-Term Care; MOHLTC; Ministère de la Santé et le ministère des Soins de longue; Ministry of Health and Long-Term Care; Ministère de la Santé et des Soins de Longue Durée || NOT MATCHED || Heart and Stroke Foundation of Canada; HSF; Fondation des maladies du cœur et de l'AVC du Canada; Fondation des Maladies du Cœur du Canada; Fondation des maladies du cœur et de l'AVC; Heart &amp; Stroke; Heart &amp; Stroke Foundation of Canada; HSFC; Heart and Stroke Foundation</t>
  </si>
  <si>
    <t>https://openalex.org/funders/f4320319966 || https://openalex.org/funders/f4320307845</t>
  </si>
  <si>
    <t>Prenatal molecular diagnosis of inherited neuromuscular diseases: Duchenne/Becker muscular dystrophy, myotonic dystrophy type 1 and spinal muscular atrophy</t>
  </si>
  <si>
    <t>https://doi.org/10.1515/cclm-2013-0209</t>
  </si>
  <si>
    <t>Regione Campania; Campania (Roman province); Campania, Italy</t>
  </si>
  <si>
    <t>https://openalex.org/funders/f4320322218</t>
  </si>
  <si>
    <t>A property of Ditzian-Totik second order moduli</t>
  </si>
  <si>
    <t>https://doi.org/10.1016/j.aml.2010.01.014</t>
  </si>
  <si>
    <t>Junta de Andalucía; Andalusian Board</t>
  </si>
  <si>
    <t>https://openalex.org/funders/f4320326754</t>
  </si>
  <si>
    <t>Simulating the effects of flow configurations on auxiliary power requirement and net power output of High-Temperature Proton Exchange Membrane Fuel Cell</t>
  </si>
  <si>
    <t>https://doi.org/10.1016/j.enconman.2022.115557</t>
  </si>
  <si>
    <t>Indian Space Research Organisation; Indian Space Research Organisation, Department of Space; Department of Space, Indian Space Research Organisation; भारतीय अंतरिक्ष अनुसंधान संगठन; अंतरिक्ष विभाग, भारतीय अंतरिक्ष अनुसंधान संगठन; ISRO; इसरो || Indian Institute of Technology Bombay; भारतीय प्रौद्योगिकी संस्थान मुंबई; IIT Bombay; IITB; भा.प्रौ.सं मुंबई</t>
  </si>
  <si>
    <t>https://openalex.org/funders/f4320320722 || https://openalex.org/funders/f4320323448</t>
  </si>
  <si>
    <t>Which factors stimulate industrial green total factor productivity growth rate in China? An industrial aspect</t>
  </si>
  <si>
    <t>https://doi.org/10.1002/ghg.1874</t>
  </si>
  <si>
    <t>Fundamental Research Funds for the Central Universities; Fundamental Research Funds for the Central Universities of China; Fundamental Research Fund for the Central Universities || NOT MATCHED</t>
  </si>
  <si>
    <t>Dynamic resting state fMRI analysis in mice reveals a set of Quasi-Periodic Patterns and illustrates their relationship with the global signal</t>
  </si>
  <si>
    <t>https://doi.org/10.1016/j.neuroimage.2018.01.075</t>
  </si>
  <si>
    <t>Independent Dance; ID || Seventh Framework Programme; EU Seventh Framework Programme; European Commission Seventh Framework Programme; FP7; EC Seventh Framework Programme; European Union Seventh Framework Programme || NOT MATCHED || International Association of Privacy Professionals; IAPP || NOT MATCHED || NOT MATCHED || Agentschap voor Innovatie door Wetenschap en Technologie; Agency for Innovation by Science and Technology, Flanders; IWT || Fonds De La Recherche Scientifique - FNRS; Belgian National Fund for Scientific Research; Fund for Scientific Research - FNRS; F.R.S. - FNRS; FNRS || National Institute of Mental Health; Instituto Nacional de la Salud Mental; NIMH; Mental Health NIMH</t>
  </si>
  <si>
    <t>https://openalex.org/funders/f4320334960 || https://openalex.org/funders/f4320337346 || https://openalex.org/funders/f4320321732 || https://openalex.org/institutions/i4210095451 || https://openalex.org/institutions/i4406742225 || https://openalex.org/funders/f4320321390</t>
  </si>
  <si>
    <t>Does stage of labor at time of cesarean delivery affect risk of subsequent preterm birth?</t>
  </si>
  <si>
    <t>https://doi.org/10.1016/j.ajog.2014.09.035</t>
  </si>
  <si>
    <t>NOT MATCHED || NOT MATCHED || Eunice Kennedy Shriver National Institute of Child Health and Human Development; NIH Eunice Kennedy Shriver National Institute of Child Health and Human Development; NIH Eunice Kennedy Shriver National Institute of Child Health &amp; Human Development; Eunice Kennedy Shriver National Institute of Child Health and Human Development at the National Institutes of Health; NICHD; National Institutes of Health\/Eunice Kennedy Shriver National Institute of Child Health &amp; Human Development; Eunice Kennedy Shriver National Institute of Child Health &amp; Human Development; Instituto Nacional de Salud Infantil y Desarrollo Humano Eunice Kennedy Shriver; NIH\/NICHD; Eunice Kennedy Shriver National Institute of Child Health and Human Development of the National Institutes of Health; NIH\/Eunice Kennedy Shriver National Institute of Child Health and Human Development</t>
  </si>
  <si>
    <t>https://openalex.org/funders/f4320337611</t>
  </si>
  <si>
    <t>Anti-inflammatory phenylpropanoids and phenolics from Ficus hirta Vahl.</t>
  </si>
  <si>
    <t>https://doi.org/10.1016/j.fitote.2017.07.018</t>
  </si>
  <si>
    <t>Guangdong Science and Technology Department; GDSTC; Guangdong Provincial Science and Technology Department; Department of Science and Technology of Guangdong Province; Science and Technology Department, Guangdong Province</t>
  </si>
  <si>
    <t>https://openalex.org/funders/f4320324202</t>
  </si>
  <si>
    <t>Comparative proteomic analysis of sulfur-oxidizing Acidithiobacillus ferrooxidans CCM 4253 cultures having lost the ability to couple anaerobic elemental sulfur oxidation with ferric iron reduction</t>
  </si>
  <si>
    <t>https://doi.org/10.1016/j.resmic.2016.06.009</t>
  </si>
  <si>
    <t>Grantová Agentura České Republiky; Czech Science Foundation; Grant Agency of the Czech Republic; GAČR; GA ČR; GACR || NOT MATCHED || NOT MATCHED || NOT MATCHED</t>
  </si>
  <si>
    <t>https://openalex.org/funders/f4320321006</t>
  </si>
  <si>
    <t>Efficient solar water splitting by enhanced charge separation in a bismuth vanadate-silicon tandem photoelectrode</t>
  </si>
  <si>
    <t>https://doi.org/10.1038/ncomms3195</t>
  </si>
  <si>
    <t>European Commission; Europeiska kommissionen; Ευρωπαϊκής Επιτροπής; Comisia Europeană; Europese Commissie; Euroopa Komisjoni; Eiropas Komisiju; Euroopan komission; Europskoj komisiji; EU; Choimisiúin Eorpaigh; EU-Kommissionen; Evropski komisiji; EC; Comisión Europea; Europos Komisijos; Europäische Kommission; La Commissione europea; Evropské komise; Comissão Europeia; Európskej komisii; Европейската комисия; Európai Bizottságról; Komisja Europejska; Commissione europea; European Union; Commission européenne || Stichting voor de Technische Wetenschappen; Technology Foundation STW; STW; Technologiestichting STW; Dutch Technology Foundation; Dutch Technology Foundation STW || Nederlandse Organisatie voor Wetenschappelijk Onderzoek; Dutch Research Council; Dutch National Scientific Foundation; Dutch National Science Foundation; NWO; Netherlands Organisation for Scientific Research</t>
  </si>
  <si>
    <t>https://openalex.org/funders/f4320334893 || https://openalex.org/funders/f4320321800 || https://openalex.org/funders/f4320320300</t>
  </si>
  <si>
    <t>Occurrence and hydrogeochemical characteristics of high-fluoride groundwater in Xiji County, southern part of Ningxia Province, China</t>
  </si>
  <si>
    <t>https://doi.org/10.1007/s10653-015-9716-x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</si>
  <si>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China Geological Survey; CGS || Fundamental Research Funds for the Central Universities; Fundamental Research Funds for the Central Universities of China; Fundamental Research Fund for the Central Universities || NOT MATCHED</t>
  </si>
  <si>
    <t>https://openalex.org/funders/f4320334926 || https://openalex.org/funders/f4320335787 || https://openalex.org/funders/f4320321001</t>
  </si>
  <si>
    <t>X-ray weld defect detection based on AF-RCNN</t>
  </si>
  <si>
    <t>https://doi.org/10.1007/s40194-022-01281-w</t>
  </si>
  <si>
    <t>Rapid and widespread de novo evolution of kin discrimination</t>
  </si>
  <si>
    <t>https://doi.org/10.1073/pnas.1502251112</t>
  </si>
  <si>
    <t>National Institutes of Health; US National Institutes of Health; Institutos Nacionales de la Salud; NIH || EMBO; EMBO || National Institute of General Medical Sciences; NIGMS; U.S. National Institute of General Medical Sciences</t>
  </si>
  <si>
    <t>https://openalex.org/funders/f4320332161 || https://openalex.org/funders/f4320337354 || https://openalex.org/funders/f4320321673</t>
  </si>
  <si>
    <t>Theories on Tornado and Waterspout Formation in Ancient Greece and Rome</t>
  </si>
  <si>
    <t>https://doi.org/10.1175/WCAS-D-19-0057.1</t>
  </si>
  <si>
    <t>Bermuda Institute of Ocean Sciences; BIOS || Natural Environment Research Council; NERC || AXA Research Fund; AXA; Le Fonds AXA pour la Recherche || NOT MATCHED || NOT MATCHED || NOT MATCHED || Natural Environment Research Council; NERC</t>
  </si>
  <si>
    <t>https://openalex.org/funders/f4320321048 || https://openalex.org/institutions/i1304608119 || https://openalex.org/funders/f4320334631</t>
  </si>
  <si>
    <t>Effects of spinal cord injury on body composition and metabolic profile - Part I</t>
  </si>
  <si>
    <t>https://doi.org/10.1179/2045772314Y.0000000245</t>
  </si>
  <si>
    <t>U.S. Department of Veterans Affairs; United States Department of Veterans Affairs; Veterans Affairs; Veterans Affairs Department; Department of Veterans Affairs; US Department of Veterans Affairs; VA; U.S. Dept. of Veterans Affairs; USDVA || U.S. Department of Veterans Affairs; United States Department of Veterans Affairs; Veterans Affairs; Veterans Affairs Department; Department of Veterans Affairs; US Department of Veterans Affairs; VA; U.S. Dept. of Veterans Affairs; USDVA</t>
  </si>
  <si>
    <t>https://openalex.org/funders/f4320306127</t>
  </si>
  <si>
    <t>Ultrastructure of spermatogenesis and mature spermatozoon of the freshwater planarian Schmidtea mediterranea (Platyhelminthes, Paludicola)</t>
  </si>
  <si>
    <t>https://doi.org/10.1016/j.crvi.2011.11.005</t>
  </si>
  <si>
    <t>Deanship of Scientific Research, Princess Nourah Bint Abdulrahman University; عمادة البحث العلمي; Deanship of Scientific Research at Princess Noura Bint Abdul Rahman University; DSR; Princess Nourah bint Abdulrahman University - Deanship of Scientific Research; Deanship of Scientific Research, Princess Nourah Bint Abdul Rahman University; Deanship of Scientific Research at Princess Nourah bint Abdulrahman University; Deanship of Scientific Research</t>
  </si>
  <si>
    <t>https://openalex.org/funders/f4320337220</t>
  </si>
  <si>
    <t>A novel 3D deformation measurement method under optical microscope for micro-scale bulge-test</t>
  </si>
  <si>
    <t>https://doi.org/10.1016/j.optlaseng.2017.07.001</t>
  </si>
  <si>
    <t>Studies on adsorption of formaldehyde in zirconium phosphate-glyphosates</t>
  </si>
  <si>
    <t>https://doi.org/10.1016/j.solidstatesciences.2010.10.008</t>
  </si>
  <si>
    <t>The present situation of pesticide residues in China and their removal and transformation during food processing</t>
  </si>
  <si>
    <t>https://doi.org/10.1016/j.foodchem.2021.129552</t>
  </si>
  <si>
    <t>A tale of two studies: Detection and attribution of the impacts of invasive plants in observational surveys</t>
  </si>
  <si>
    <t>https://doi.org/10.1111/1365-2664.13075</t>
  </si>
  <si>
    <t>Legislative-Citizen Commission on Minnesota Resources; LCCMR || Integrative Graduate Education and Research Traineeship; NSF IGERT</t>
  </si>
  <si>
    <t>https://openalex.org/funders/f4320314252 || https://openalex.org/institutions/i4210130628</t>
  </si>
  <si>
    <t>International guideline for the delineation of the clinical target volumes (CTV) for nasopharyngeal carcinoma</t>
  </si>
  <si>
    <t>https://doi.org/10.1016/j.radonc.2017.10.032</t>
  </si>
  <si>
    <t>Cancer Research UK; CRUK || Medical Research Council; MRC; UK Medical Research Council || Medical Research Council; MRC; UK Medical Research Council || Cancer Research UK; CRUK || National Institute for Health and Care Research; NIHR; National Institute for Health Research</t>
  </si>
  <si>
    <t>https://openalex.org/funders/f4320334626 || https://openalex.org/funders/f4320319990 || https://openalex.org/funders/f4320319985</t>
  </si>
  <si>
    <t>Effect of ultrasound treatment on the physicochemical properties of alkaline lignin</t>
  </si>
  <si>
    <t>https://doi.org/10.1016/j.cep.2012.07.011</t>
  </si>
  <si>
    <t>Ministerio de Ciencia e Innovación; Ministeri de Ciència i Innovació; MICINN; Ministry of Science and Innovation; Spanish Ministry of Science and Innovation || NOT MATCHED || NOT MATCHED</t>
  </si>
  <si>
    <t>https://openalex.org/funders/f4320322930</t>
  </si>
  <si>
    <t>Activity Patterns of Obese Adults with Type 2 Diabetes in the Look AHEAD Study</t>
  </si>
  <si>
    <t>https://doi.org/10.1249/MSS.0b013e3181e054f0</t>
  </si>
  <si>
    <t>National Center for Advancing Translational Sciences; NCATS; NIH-NCATS; NIH's National Center for Advancing Translational; NCATS NIH || National Center for Research Resources; NCRR || National Heart, Lung, and Blood Institute; NIH\/National Heart, Lung and Blood Institute; National Heart Lung &amp; Blood Institute; NHLBI || National Institute of Diabetes and Digestive and Kidney Diseases; NIH\/National Institute of Diabetes, Digestive &amp; Kidney Diseases; NIH National Institute of Diabetes and Digestive and Kidney Diseases; NIDDK; National Institute of Diabetes &amp; Digestive &amp; Kidney Diseases || National Center for Advancing Translational Sciences; NCATS; NIH-NCATS; NIH's National Center for Advancing Translational; NCATS NIH || National Center for Research Resources; NCRR || National Heart, Lung, and Blood Institute; NIH\/National Heart, Lung and Blood Institute; National Heart Lung &amp; Blood Institute; NHLBI || National Institute of Diabetes and Digestive and Kidney Diseases; NIH\/National Institute of Diabetes, Digestive &amp; Kidney Diseases; NIH National Institute of Diabetes and Digestive and Kidney Diseases; NIDDK; National Institute of Diabetes &amp; Digestive &amp; Kidney Diseases</t>
  </si>
  <si>
    <t>https://openalex.org/funders/f4320337338 || https://openalex.org/funders/f4320337472 || https://openalex.org/funders/f4320337375 || https://openalex.org/funders/f4320337357</t>
  </si>
  <si>
    <t>Particularities and Nature of Space Projects: Engineering or Social Architecture?</t>
  </si>
  <si>
    <t>https://doi.org/10.29202/phil-cosm/28/8</t>
  </si>
  <si>
    <t>New Classes of Alanine Racemase Inhibitors Identified by High-Throughput Screening Show Antimicrobial Activity against Mycobacterium tuberculosis</t>
  </si>
  <si>
    <t>https://doi.org/10.1371/journal.pone.0020374</t>
  </si>
  <si>
    <t>National Institute of Allergy and Infectious Diseases; NIAID; Instituto Nacional de Alergias y Enfermedades Infecciosas || University of Otago; Te Whare Wānanga o Otāgo; Te Whare Wānanga o Ōtākou || Welch Foundation; Welch Foundation\/The; The Robert A. Welch Foundation; The Welch Foundation; Robert A. Welch Foundation || National Institutes of Health; US National Institutes of Health; Institutos Nacionales de la Salud; NIH || NOT MATCHED || NOT MATCHED || National Institute of Allergy and Infectious Diseases; NIAID; Instituto Nacional de Alergias y Enfermedades Infecciosas</t>
  </si>
  <si>
    <t>https://openalex.org/funders/f4320332161 || https://openalex.org/funders/f4320306196 || https://openalex.org/funders/f4320310371 || https://openalex.org/funders/f4320337355</t>
  </si>
  <si>
    <t>Females of the Bumblebee Parasite, Aphomia sociella, Excite Males Using a Courtship Pheromone</t>
  </si>
  <si>
    <t>https://doi.org/10.1007/s10886-012-0100-3</t>
  </si>
  <si>
    <t>Akademie Věd České Republiky; Academy of Sciences of the Czech Republic; Czech Academy of Sciences; CAS; AV ČR; Akademie věd ČR || Ministerstvo Školství, Mládeže a Tělovýchovy; The Ministry of Education, Youth and Sports; MŠMT; MEYS</t>
  </si>
  <si>
    <t>https://openalex.org/funders/f4320322482 || https://openalex.org/funders/f4320321005</t>
  </si>
  <si>
    <t>Alcohol consumption and subclinical and clinical coronary heart disease: a Mendelian randomization analysis</t>
  </si>
  <si>
    <t>https://doi.org/10.1093/eurjpc/zwac156</t>
  </si>
  <si>
    <t>Baseline characteristics of climate, permafrost and land cover from a new permafrost observatory in the Lena River Delta, Siberia (1998-2011)</t>
  </si>
  <si>
    <t>https://doi.org/10.5194/bg-10-2105-2013</t>
  </si>
  <si>
    <t>Helmholtz Association; 亥姆霍兹联合会致力; Helmholtz-Gemeinschaft; Helmholtz Association of German Research Centres; Объединение имени Гельмгольца || European Commission; Europeiska kommissionen; Ευρωπαϊκής Επιτροπής; Comisia Europeană; Europese Commissie; Euroopa Komisjoni; Eiropas Komisiju; Euroopan komission; Europskoj komisiji; EU; Choimisiúin Eorpaigh; EU-Kommissionen; Evropski komisiji; EC; Comisión Europea; Europos Komisijos; Europäische Kommission; La Commissione europea; Evropské komise; Comissão Europeia; Európskej komisii; Европейската комисия; Európai Bizottságról; Komisja Europejska; Commissione europea; European Union; Commission européenne</t>
  </si>
  <si>
    <t>https://openalex.org/funders/f4320325698 || https://openalex.org/funders/f4320320300</t>
  </si>
  <si>
    <t>Suppressive Effect of Matrine on Tumor Invasion in N-Butyl-N-(4-Hydroxybutyl)Nitrosamine-Induced Urinary Bladder Carcinogenesis</t>
  </si>
  <si>
    <t>https://doi.org/10.1159/000371439</t>
  </si>
  <si>
    <t>High-order above-threshold ionization beyond the electric dipole approximation: Dependence on the atomic and molecular structure</t>
  </si>
  <si>
    <t>https://doi.org/10.1103/PhysRevA.98.063414</t>
  </si>
  <si>
    <t>Studienstiftung des Deutschen Volkes; German National Academic Foundation; Studienstiftung</t>
  </si>
  <si>
    <t>https://openalex.org/funders/f4320322572</t>
  </si>
  <si>
    <t>Clustering of SARS-CoV-2 Infections in Households of Patients Diagnosed in the Outpatient Setting in Baltimore, Maryland</t>
  </si>
  <si>
    <t>https://doi.org/10.1093/ofid/ofab121</t>
  </si>
  <si>
    <t>NOT MATCHED || NOT MATCHED || Center for AIDS Research, Johns Hopkins University; Johns Hopkins Center for AIDS Research; JHU CFAR || Institute for Clinical and Translational Research, University of Wisconsin, Madison; ICTR; UW ICTR; University of Wisconsin-Madison Institute for Clinical and Translational Research; Institute for Clinical and Translational Research at the University of Wisconsin-Madison; UW-ICTR; UW ICTR, Madison, WI; UW Institute for Clinical and Translational Research; University of Wisconsin Institute for Clinical and Translational Research; The Institute for Clinical and Translational Research; Institute for Clinical and Translational Research; THE UW-MADISON CTSA || National Institutes of Health; US National Institutes of Health; Institutos Nacionales de la Salud; NIH</t>
  </si>
  <si>
    <t>https://openalex.org/funders/f4320332161 || https://openalex.org/funders/f4320332312 || https://openalex.org/funders/f4320334051</t>
  </si>
  <si>
    <t>The effect of Ti additions on the microstructure and magnetic properties of laser clad FeNiCr/60%WC coatings</t>
  </si>
  <si>
    <t>https://doi.org/10.1016/j.ijrmhm.2015.04.008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</si>
  <si>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National High-tech Research and Development Program; National High-tech R&amp;D Program (863 Program); State High-Tech Development Plan; 863 Program || NOT MATCHED</t>
  </si>
  <si>
    <t>https://openalex.org/funders/f4320335773 || https://openalex.org/funders/f4320321001</t>
  </si>
  <si>
    <t>Evidence of disturbances of deep levels of semantic cohesion within personal narratives in schizophrenia</t>
  </si>
  <si>
    <t>https://doi.org/10.1016/j.schres.2017.11.014</t>
  </si>
  <si>
    <t>Rehabilitation Research and Development Service; Department of Veterans Affairs (VA) Rehabilitation Research and Development; Rehab R&amp;D; RR&amp;D; Rehab R&amp;D Service; Rehabilitation R&amp;D Service; Rehabilitation Research &amp; Development Service || Indiana University; Indianensis Universitas; IU</t>
  </si>
  <si>
    <t>https://openalex.org/funders/f4320309291 || https://openalex.org/funders/f4320332403</t>
  </si>
  <si>
    <t>Cerebrospinal Fluid Amyloid beta(1-42), Tau, and Alpha-Synuclein Predict the Heterogeneous Progression of Cognitive Dysfunction in Parkinson's Disease</t>
  </si>
  <si>
    <t>https://doi.org/10.14802/jmd.16017</t>
  </si>
  <si>
    <t>New Sliding Mode Attitude Controller Design Based on Lumped Disturbance Bound Equation</t>
  </si>
  <si>
    <t>https://doi.org/10.1061/(ASCE)AS.1943-5525.0000791</t>
  </si>
  <si>
    <t>Design of the nozzle of a yarn suction gun for fully drawn yarn</t>
  </si>
  <si>
    <t>https://doi.org/10.1177/0040517513495950</t>
  </si>
  <si>
    <t>Changes in Posture Following a Single Session of Long-Duration Water Immersion</t>
  </si>
  <si>
    <t>https://doi.org/10.1123/jab.2017-0181</t>
  </si>
  <si>
    <t>NOT MATCHED || Office of Naval Research; U.S. Department of the Navy Office of Naval Research; US Department of the Navy Office of Naval Research; US Office of Naval Research; Department of the Navy's Office of Naval Research; United States Office of Naval Research; Naval Research; ONR; The Office of Naval Research; U.S. Office of Naval Research || U.S. Navy; United States Navy; Department of the Navy; US Navy; USN</t>
  </si>
  <si>
    <t>https://openalex.org/funders/f4320337345 || https://openalex.org/funders/f4320332923</t>
  </si>
  <si>
    <t>Surveying 80 Years of Psychodrama Research: A Scientometric Review</t>
  </si>
  <si>
    <t>https://doi.org/10.3389/fpsyt.2021.780542</t>
  </si>
  <si>
    <t>NOT MATCHED || Ministry of Education - Singapore; MOE Singapore; MOE; Ministry of Education; Ministry of Education, Singapore; Ministry of Education (Singapore)</t>
  </si>
  <si>
    <t>https://openalex.org/funders/f4320320751</t>
  </si>
  <si>
    <t>Energetic Fingerprinting of Ligand Binding to Paralogous Proteins: The Case of the Apoptotic Pathway</t>
  </si>
  <si>
    <t>https://doi.org/10.1021/acs.jcim.8b00765</t>
  </si>
  <si>
    <t>NOT MATCHED || A*STAR Graduate Academy; A*GA || Engineering and Physical Sciences Research Council; EPSRC</t>
  </si>
  <si>
    <t>https://openalex.org/funders/f4320334627 || https://openalex.org/institutions/i4210161496</t>
  </si>
  <si>
    <t>Normalization of coronary microvascular reactivity and improvement in myocardial perfusion by surgical vascular endothelial growth factor therapy combined with oral supplementation Of L-arginine in a porcine model of endothelial dysfunction</t>
  </si>
  <si>
    <t>https://doi.org/10.1016/j.jtcvs.2004.12.046</t>
  </si>
  <si>
    <t>Effect of bremsstrahlung radiation emission on fast electrons in plasmas</t>
  </si>
  <si>
    <t>https://doi.org/10.1088/1367-2630/18/9/093023</t>
  </si>
  <si>
    <t>Euratom Research and Training Programme; Euratom Research &amp; Training Programme || Vetenskapsrådet; VR; Swedish Research Council || Knut och Alice Wallenbergs Stiftelse; Knut and Alice Wallenberg Foundation || European Research Council; ERC</t>
  </si>
  <si>
    <t>https://openalex.org/funders/f4320334323 || https://openalex.org/funders/f4320322327 || https://openalex.org/funders/f4320322581 || https://openalex.org/funders/f4320334678</t>
  </si>
  <si>
    <t>I call it stinkin' thinkin": A qualitative analysis of metacognition in people with chronic low back pain and elevated catastrophizing</t>
  </si>
  <si>
    <t>https://doi.org/10.1111/bjhp.12240</t>
  </si>
  <si>
    <t>Spinnaker Health Research Foundation; Spinnaker-Health Research Foundation; Spinnaker Foundation; Spinnaker HRF; Fremantle Hospital Medical Research Foundation</t>
  </si>
  <si>
    <t>https://openalex.org/funders/f4320331723</t>
  </si>
  <si>
    <t>Pharmacokinetic and Pharmacodynamic Properties of Faster-Acting Insulin Aspart versus Insulin Aspart Across a Clinically Relevant Dose Range in Subjects with Type 1 Diabetes Mellitus</t>
  </si>
  <si>
    <t>https://doi.org/10.1007/s40262-016-0473-5</t>
  </si>
  <si>
    <t>Novo Nordisk; Novo Nordisk Global</t>
  </si>
  <si>
    <t>https://openalex.org/funders/f4320322436</t>
  </si>
  <si>
    <t>Experimental investigation and numerical investigations of heat transfer enhancement in a tube with punched winglets</t>
  </si>
  <si>
    <t>https://doi.org/10.1016/j.ijthermalsci.2022.107542</t>
  </si>
  <si>
    <t>NOT MATCHED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NOT MATCHED</t>
  </si>
  <si>
    <t>Remote sensing of chlorophyll in the Baltic Sea at basin scale from 1997 to 2012 using merged multi-sensor data</t>
  </si>
  <si>
    <t>https://doi.org/10.5194/os-12-379-2016</t>
  </si>
  <si>
    <t>Seventh Framework Programme; EU Seventh Framework Programme; European Commission Seventh Framework Programme; FP7; EC Seventh Framework Programme; European Union Seventh Framework Programme</t>
  </si>
  <si>
    <t>https://openalex.org/funders/f4320334960</t>
  </si>
  <si>
    <t>Optimal greenhouse gas emissions in NGCC plants integrating life cycle assessment</t>
  </si>
  <si>
    <t>https://doi.org/10.1016/j.energy.2011.10.037</t>
  </si>
  <si>
    <t>NOT MATCHED || Natural Sciences and Engineering Research Council of Canada; CRSNG; NSERC; Conseil de Recherches en Sciences Naturelles et en Génie du Canada || NOT MATCHED</t>
  </si>
  <si>
    <t>Essential role of non-canonical Wnt signalling in neural crest migration</t>
  </si>
  <si>
    <t>https://doi.org/10.1242/dev.01857</t>
  </si>
  <si>
    <t>Medical Research Council; MRC; UK Medical Research Council || Medical Research Council; MRC; UK Medical Research Council</t>
  </si>
  <si>
    <t>Design Of Nonimaging Static Solar Concentrator For Window Integrated Photovoltaic</t>
  </si>
  <si>
    <t>https://doi.org/10.1063/1.4753845</t>
  </si>
  <si>
    <t>Evaluating Cell Death Using Cell-Free Supernatant of Probiotics in Three-Dimensional Spheroid Cultures of Colorectal Cancer Cells</t>
  </si>
  <si>
    <t>https://doi.org/10.3791/61285</t>
  </si>
  <si>
    <t>NOT MATCHED || NOT MATCHED || Ministry of Science and ICT, South Korea; Ministry of Science and ICT of South Korea; Ministry of Science and ICT (South Korea); MSIT; 과학기술정보통신부; Ministry of Science and ICT; South Korea Ministry of Science, ICT; 科學技術情報通信部 || National Research Foundation of Korea; NRF; 한국연구재단이 창의적 연구와 || Ministry of Health and Welfare; Ministry of Health, Welfare and Family Affairs; MOHW || Korea Health Industry Development Institute; KHIDI || Ministry of Trade, Industry and Energy; MOTIE; Ministry of Trade, Industry and Energy, Korea || Korea Evaluation Institute of Industrial Technology; KEIT</t>
  </si>
  <si>
    <t>https://openalex.org/funders/f4320322107 || https://openalex.org/funders/f4320322034 || https://openalex.org/funders/f4320321681 || https://openalex.org/funders/f4320328359 || https://openalex.org/funders/f4320322120 || https://openalex.org/funders/f4320334879</t>
  </si>
  <si>
    <t>Temporal and spatial distributions of landslides in the Qinba Mountains, Shaanxi Province, China</t>
  </si>
  <si>
    <t>https://doi.org/10.1080/19475705.2018.1536080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</si>
  <si>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Chinese Academy of Sciences; CAS; 中国科学院 || Chinese Academy of Sciences; CAS; 中国科学院</t>
  </si>
  <si>
    <t>Synthesis of TiO2 Nanoparticle and its Application to Graphite Composite Electrode for Hydroxylamine Oxidation</t>
  </si>
  <si>
    <t>https://doi.org/10.7508/jns.2013.03.001</t>
  </si>
  <si>
    <t>NOT MATCHED || The Research Council; TRC || NOT MATCHED</t>
  </si>
  <si>
    <t>https://openalex.org/funders/f4320322887</t>
  </si>
  <si>
    <t>Development of Therapeutic Antibodies and Modulating the Characteristics of Therapeutic Antibodies to Maximize the Therapeutic Efficacy</t>
  </si>
  <si>
    <t>https://doi.org/10.1007/s12257-020-0181-8</t>
  </si>
  <si>
    <t>Seoul National University; SNU; 서울대학교</t>
  </si>
  <si>
    <t>https://openalex.org/funders/f4320321292</t>
  </si>
  <si>
    <t>Associate Design of Fashion Sketch and Pattern</t>
  </si>
  <si>
    <t>https://doi.org/10.1109/ACCESS.2019.2906261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</si>
  <si>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Education Department of Shaanxi Province; Shaanxi Provincial Education Department; Education Department of Shaanxi Provincial Government; Department of Education, Shaanxi Province; Department of Education of Shaanxi Province; 陕西省教育厅; Shaanxi Provincial Department of Education; Education Bureau of Shaanxi Province || NOT MATCHED || National Endowment for the Arts; Arts Endowment; National Endowment f\/t Arts; US National Endowment for the Arts; Nat'l Endow f\/t Arts; NEA || Shaanxi Key Science and Technology Innovation Team Project</t>
  </si>
  <si>
    <t>https://openalex.org/funders/f4320335802 || https://openalex.org/funders/f4320306112 || https://openalex.org/funders/f4320325627 || https://openalex.org/funders/f4320321001</t>
  </si>
  <si>
    <t>Linking Redox Regulation of NMDAR Synaptic Function to Cognitive Decline during Aging</t>
  </si>
  <si>
    <t>https://doi.org/10.1523/JNEUROSCI.2176-13.2013</t>
  </si>
  <si>
    <t>National Institute on Aging; The National Institute on Aging; NIA; NIH NATIONAL INSTITUTE ON AGING; U.S. National Institute on Aging || Evelyn F. McKnight Brain Research Foundation; McKnight Brain Research Foundation; MBRF || National Institute on Aging; The National Institute on Aging; NIA; NIH NATIONAL INSTITUTE ON AGING; U.S. National Institute on Aging</t>
  </si>
  <si>
    <t>https://openalex.org/funders/f4320337337 || https://openalex.org/funders/f4320309465</t>
  </si>
  <si>
    <t>Ultrathin N-doped Ti3C2-MXene decorated with NiCo2S4 nanosheets as advanced electrodes for supercapacitors</t>
  </si>
  <si>
    <t>https://doi.org/10.1016/j.apsusc.2020.148272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</si>
  <si>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NOT MATCHED || Shaanxi University of Science and Technology; SUST; Shaanxi University of Science &amp; Technology; 陕西科技大学 || China Postdoctoral Science Foundation</t>
  </si>
  <si>
    <t>https://openalex.org/funders/f4320324977 || https://openalex.org/funders/f4320321001 || https://openalex.org/funders/f4320321543</t>
  </si>
  <si>
    <t>Comparative genome analysis reveals niche-specific genome expansion in Acinetobacter baumannii strains</t>
  </si>
  <si>
    <t>https://doi.org/10.1371/journal.pone.0218204</t>
  </si>
  <si>
    <t>Department of Science and Technology, Ministry of Science and Technology, India; डीएसटी; Department of Science &amp; Technology, Ministry of Science and Technology, India; Department of Science &amp; Technology; DST; विज्ञान और प्रौद्योगिकी विभाग; Department of Science and Technology; विज्ञान और प्रौद्योगिकी विभाग, विज्ञान और प्रौद्योगिकी मंत्रालय, भारत || Council of Scientific and Industrial Research, India; CSIR, India; CSIR; Council of Scientific and Industrial Research; Council of Scientific &amp; Industrial Research; वैज्ञानिक तथा औद्योगिक अनुसंधान परिषद; CSIR INDIA; सीएसआईआर || Department of Science and Technology, Ministry of Science and Technology, India; डीएसटी; Department of Science &amp; Technology, Ministry of Science and Technology, India; Department of Science &amp; Technology; DST; विज्ञान और प्रौद्योगिकी विभाग; Department of Science and Technology; विज्ञान और प्रौद्योगिकी विभाग, विज्ञान और प्रौद्योगिकी मंत्रालय, भारत || NOT MATCHED</t>
  </si>
  <si>
    <t>https://openalex.org/funders/f4320320721 || https://openalex.org/funders/f4320320719</t>
  </si>
  <si>
    <t>Brain Rhythms of Pain</t>
  </si>
  <si>
    <t>https://doi.org/10.1016/j.tics.2016.12.001</t>
  </si>
  <si>
    <t>Deutsche Forschungsgemeinschaft; German Research Association; DFG; German Research Foundation || Wellcome Trust; The Wellcome Trust; WT; Wellcome || Biotechnology and Biological Sciences Research Council; BBSRC; The Biotechnology And Biological Sciences Research Council</t>
  </si>
  <si>
    <t>https://openalex.org/funders/f4320334629 || https://openalex.org/funders/f4320320879 || https://openalex.org/funders/f4320311904</t>
  </si>
  <si>
    <t>SHAREK*: A Scalable Matching Method for Dynamic Ride Sharing</t>
  </si>
  <si>
    <t>https://doi.org/10.1007/s10707-020-00411-0</t>
  </si>
  <si>
    <t>Natural Science Foundation of Zhejiang Province; Zhejiang Natural Science Foundation; ZJNSF; 浙江省自然科学基金根据国; Zhejiang Provincial Natural Science Foundation</t>
  </si>
  <si>
    <t>Chronic sucrose intake increases expression of SREBP-1c and inflammatory response genes in rat kidneys without significant changes in long chain polyunsaturated fatty acid content</t>
  </si>
  <si>
    <t>https://doi.org/10.24099/vet.arhiv.0025</t>
  </si>
  <si>
    <t>Enteric adenovirus epidemiology from historical fecal samples in Brazil (1998-2005): Pre-rotavirus vaccine era</t>
  </si>
  <si>
    <t>https://doi.org/10.1016/j.meegid.2021.105007</t>
  </si>
  <si>
    <t>Conselho Nacional de Desenvolvimento Científico e Tecnológico; National Council for Scientific and Technological Development; Brazilian National Council for Research and Development; CNPq || Fundação de Amparo à Pesquisa do Estado de São Paulo; São Paulo Research Foundation; Foundation for Research Support of the State of São Paulo; FAPESP; State of São Paulo Research Foundation || NOT MATCHED || Coordenação de Aperfeiçoamento de Pessoal de Nível Superior; Coordination for the Improvement of Higher Education Personnel; CAPES; Brazilian Federal Agency for the Support and Evaluation of Graduate Education</t>
  </si>
  <si>
    <t>Large-scale Internet benchmarking: Technology and application in warehousing operations</t>
  </si>
  <si>
    <t>https://doi.org/10.1016/j.compind.2009.10.006</t>
  </si>
  <si>
    <t>W. M. Keck Foundation; W M Keck Foundation; W.M. Keck Foundation; WM Keck Foundation; WMKF; The W. M. Keck Foundation; Keck Foundation || National Science Foundation; U.S. National Science Foundation; USA NSF; USNSF; NSF; US National Science Foundation; US NSF</t>
  </si>
  <si>
    <t>https://openalex.org/funders/f4320306076 || https://openalex.org/funders/f4320306159</t>
  </si>
  <si>
    <t>Evolutionary and dispersal history of Eurasian house mice Mus musculus clarified by more extensive geographic sampling of mitochondrial DNA</t>
  </si>
  <si>
    <t>https://doi.org/10.1038/hdy.2013.60</t>
  </si>
  <si>
    <t>Japan Society for the Promotion of Science; Grants-in-Aid for Scientific Research; Grants-in-Aid for Scientific Research Program; KAKENHI; 日本学術振興会; KAKEN; JSPS || Heiwa Nakajima Foundation; HNF</t>
  </si>
  <si>
    <t>https://openalex.org/funders/f4320321931 || https://openalex.org/funders/f4320334764</t>
  </si>
  <si>
    <t>Prognostic value of preoperative pyuria in patients with non-muscle-invasive bladder cancer</t>
  </si>
  <si>
    <t>https://doi.org/10.1111/iju.12788</t>
  </si>
  <si>
    <t>Dual-parameter four-beam interferometric sensor for the measurement of temperature and strain with a double air-gaps structure based on graded-index few mode fiber</t>
  </si>
  <si>
    <t>https://doi.org/10.1364/OSAC.2.003381</t>
  </si>
  <si>
    <t>Suppressing Vanadium Dissolution in "Water-in-Salt" Electrolytes for 3.2 V Aqueous Sodium-Ion Pseudocapacitors</t>
  </si>
  <si>
    <t>https://doi.org/10.1021/acsami.2c0517435485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</si>
  <si>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Innovative Research Group Project of the National Natural Science Foundation of China; Fund for innovative Research Groups of the National Natural Science Fund Committee of Science; AIC; Innovative Research Group Project; Funds for Innovative Research Groups of China; Innovative Research Groups of the Natural Science Foundation of China NSFC; Foundation for Innovative Research Groups of the National Natural Science Fund of China || NOT MATCHED</t>
  </si>
  <si>
    <t>https://openalex.org/funders/f4320315254 || https://openalex.org/funders/f4320321001</t>
  </si>
  <si>
    <t>Improved two-phase flow boiling in a minichannel heat sink for thermal management of information and communication technology (ICT) equipment</t>
  </si>
  <si>
    <t>https://doi.org/10.1016/j.applthermaleng.2020.115957</t>
  </si>
  <si>
    <t>Japan Society for the Promotion of Science; Grants-in-Aid for Scientific Research; Grants-in-Aid for Scientific Research Program; KAKENHI; 日本学術振興会; KAKEN; JSPS || Huawei Technologies; Huawei Technologies; Huawei Technologies Co., Ltd.; Huawei Technologies Co., Ltd. (Guangdong)</t>
  </si>
  <si>
    <t>https://openalex.org/funders/f4320334764 || https://openalex.org/funders/f4320322183</t>
  </si>
  <si>
    <t>Recent developments in utilising yoctowells for investigations in nanospace</t>
  </si>
  <si>
    <t>https://doi.org/10.1039/c1cs15152e</t>
  </si>
  <si>
    <t>Optimal Strategy to Mitigate Tunnel-Induced Settlement in Soft Soils: Simulation Approach</t>
  </si>
  <si>
    <t>https://doi.org/10.1061/(ASCE)CF.1943-5509.0001322</t>
  </si>
  <si>
    <t>Research and Development; State Science and Technology Commission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Postdoctoral Research Foundation of China; China Postdoctoral Research Foundation</t>
  </si>
  <si>
    <t>https://openalex.org/funders/f4320335443 || https://openalex.org/funders/f4320321001 || https://openalex.org/funders/f4320337504</t>
  </si>
  <si>
    <t>Cryopreservation of summer flounder, Paralichthys dentatus L., sperm</t>
  </si>
  <si>
    <t>https://doi.org/10.1111/j.1365-2109.2012.03163.x</t>
  </si>
  <si>
    <t>U.S. Department of Agriculture; United States Department of Agriculture; USDA; US Department of Agriculture || New Hampshire Agricultural Experiment Station; NHAES; NH Agricultural Experiment Station at UNH; NH Agricultural Experiment Station; The NH Agricultural Experiment Station; New Hampshire Agricultural Experiment Station at the University of New Hampshire; NH Agricultural Experiment Station at University of New Hampshire</t>
  </si>
  <si>
    <t>https://openalex.org/funders/f4320306114 || https://openalex.org/funders/f4320338006</t>
  </si>
  <si>
    <t>An Ab Initio Computational Study of Electronic and Structural Factors in the Isomerization of Donor-Acceptor Stenhouse Adducts</t>
  </si>
  <si>
    <t>https://doi.org/10.1021/acs.jpca.0c06494</t>
  </si>
  <si>
    <t>Label-free aptamer-based electrochemical impedance biosensor for 17 beta-estradiol</t>
  </si>
  <si>
    <t>https://doi.org/10.1039/c1an15856b</t>
  </si>
  <si>
    <t>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 || NOT MATCHED || Program for New Century Excellent Talents in University; New Century Excellent Talents Program; Program for New Century Excellent Talents; NCET</t>
  </si>
  <si>
    <t>https://openalex.org/funders/f4320335777 || https://openalex.org/funders/f4320334924</t>
  </si>
  <si>
    <t>Characterization of Laminar Zones in the Mid-Gestation Primate Brain with Magnetic Resonance Imaging and Histological Methods</t>
  </si>
  <si>
    <t>https://doi.org/10.3389/fnana.2015.00147</t>
  </si>
  <si>
    <t>Function-related asymmetry of the specific cardiolipin binding sites on the mitochondrial ADP/ATP carrier</t>
  </si>
  <si>
    <t>https://doi.org/10.1016/j.bbamem.2020.183466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</si>
  <si>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Natural Science Foundation of Zhejiang Province; Zhejiang Natural Science Foundation; ZJNSF; 浙江省自然科学基金根据国; Zhejiang Provincial Natural Science Foundation || Zhejiang Province Public Welfare Technology Application Research Project; Public Welfare Technology Application Research Project of Zhejiang Province || Department of Education of Zhejiang Province; ZPDE; 浙江省教育厅; Zhejiang Province Department of Education; Zhejiang Provincial Department of Education; Department of Education, Zhejiang Province</t>
  </si>
  <si>
    <t>https://openalex.org/funders/f4320338464 || https://openalex.org/funders/f4320338465 || https://openalex.org/funders/f4320325436 || https://openalex.org/funders/f4320321001</t>
  </si>
  <si>
    <t>Association between long-term low-intensity cigarette smoking and incidence of smoking-related cancer in the national institutes of health-AARP cohort</t>
  </si>
  <si>
    <t>https://doi.org/10.1002/ijc.31059</t>
  </si>
  <si>
    <t>Division of Cancer Epidemiology and Genetics; DCEG; Division of Cancer Epidemiology and Genetics at the National Cancer Institute; Division of Cancer Epidemiology and Genetics, National Cancer Institute; NCI Division of Cancer Epidemiology and Genetics; Division of Cancer Epidemiology &amp; Genetics at the National Cancer Institute; National Cancer Institute Division of Cancer Epidemiology and Genetics || National Cancer Institute; NCI; Instituto Nacional del Cáncer</t>
  </si>
  <si>
    <t>https://openalex.org/funders/f4320337351 || https://openalex.org/institutions/i4391012607</t>
  </si>
  <si>
    <t>Molecular docking and molecular dynamics simulation studies of Trypanosoma cruzi triosephosphate isomerase inhibitors. Insights into the inhibition mechanism and selectivity</t>
  </si>
  <si>
    <t>https://doi.org/10.1016/j.jmgm.2015.02.002</t>
  </si>
  <si>
    <t>NOT MATCHED || Agencia Nacional de Investigación e Innovación; ANII; La Agencia Nacional de Investigación e Innovación; Agência Nacional para a Investigação e Inovação; National Agency for Research and Innovation</t>
  </si>
  <si>
    <t>Prevalence of pre-existing resistance-associated mutations to rilpivirine, emtricitabine and tenofovir in antiretroviral-naive patients infected with B and non-B subtype HIV-1 viruses</t>
  </si>
  <si>
    <t>https://doi.org/10.1093/jac/dkt003</t>
  </si>
  <si>
    <t>Agence Nationale de Recherches sur le Sida et les Hépatites Virales; National Agency for AIDS Research; ANRS; National Agency of Research on AIDS and Viral Hepatitis; National Agency for Research on AIDS and Viral Hepatitis || European Research Council; ERC || Association de Recherche en Virologie et Dermatologie; ARVD</t>
  </si>
  <si>
    <t>https://openalex.org/funders/f4320324037 || https://openalex.org/funders/f4320334678 || https://openalex.org/funders/f4320321833</t>
  </si>
  <si>
    <t>Two-phase flow patterns, heat transfer and pressure drop characteristics of R600a during flow boiling inside a horizontal tube</t>
  </si>
  <si>
    <t>https://doi.org/10.1016/j.applthermaleng.2017.03.124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</si>
  <si>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National Science Fund for Distinguished Young Scholars; National Science Foundation for Distinguished Young Scholars</t>
  </si>
  <si>
    <t>https://openalex.org/funders/f4320336125 || https://openalex.org/funders/f4320321001</t>
  </si>
  <si>
    <t>The Sidi Mohamed peridotites (Edough Massif, NE Algeria): Evidence for an upper mantle origin</t>
  </si>
  <si>
    <t>https://doi.org/10.1007/s12040-013-0358-z</t>
  </si>
  <si>
    <t>Deutscher Akademischer Austauschdienst; German Academic Exchange Service; DAAD || NOT MATCHED</t>
  </si>
  <si>
    <t>https://openalex.org/funders/f4320320875</t>
  </si>
  <si>
    <t>Average of Hardy's function at Gram points</t>
  </si>
  <si>
    <t>https://doi.org/10.4064/aa191103-13-2</t>
  </si>
  <si>
    <t>Tune-out wavelengths of the hyperfine components of the ground level of Cs-133 atoms</t>
  </si>
  <si>
    <t>https://doi.org/10.1103/PhysRevA.102.042823</t>
  </si>
  <si>
    <t>Green synthesis, characterization and anticancer activity of yttrium oxide nanoparticles</t>
  </si>
  <si>
    <t>https://doi.org/10.1016/j.matlet.2017.12.081</t>
  </si>
  <si>
    <t>National Research Foundation of Korea; NRF; 한국연구재단이 창의적 연구와 || National Research Foundation; NRF || NOT MATCHED</t>
  </si>
  <si>
    <t>https://openalex.org/funders/f4320320671 || https://openalex.org/funders/f4320322120</t>
  </si>
  <si>
    <t>Immune Checkpoint Inhibitor-Induced Cerebral Pseudoprogression: Patterns and Categorization</t>
  </si>
  <si>
    <t>https://doi.org/10.3389/fimmu.2021.798811</t>
  </si>
  <si>
    <t>NOT MATCHED || Flora Family Foundation; FFF || NOT MATCHED || NOT MATCHED || NOT MATCHED || Flora Family Foundation; FFF</t>
  </si>
  <si>
    <t>https://openalex.org/funders/f4320306336</t>
  </si>
  <si>
    <t>Workshops of innovation in chemical engineering to train communication skills in science and technology</t>
  </si>
  <si>
    <t>https://doi.org/10.1016/j.ece.2018.07.001</t>
  </si>
  <si>
    <t>NOT MATCHED || NOT MATCHED || Universitat de València; 85|86; University of Valencia</t>
  </si>
  <si>
    <t>https://openalex.org/funders/f4320321974</t>
  </si>
  <si>
    <t>ANALYSIS OF BUFFALO BREEDERS' DECISIONS IN TURKEY WITH ANALYTICAL HIERARCHY PROCESS</t>
  </si>
  <si>
    <t>https://doi.org/10.21162/PAKJAS/20.9309</t>
  </si>
  <si>
    <t>Prognostic Impact of Baseline Hemoglobin Levels on Long-Term Thrombotic and Bleeding Events After Percutaneous Coronary Interventions</t>
  </si>
  <si>
    <t>https://doi.org/10.1161/JAHA.119.013703</t>
  </si>
  <si>
    <t>Pharmaceuticals and Medical Devices Agency; PMDA; 独立行政法人 医薬品医療機器総合機構 || NOT MATCHED || NOT MATCHED</t>
  </si>
  <si>
    <t>https://openalex.org/institutions/i91962293</t>
  </si>
  <si>
    <t>Experimental investigation of hydrogen production by variable volume membrane batch reactors with modulated liquid fuel introduction</t>
  </si>
  <si>
    <t>https://doi.org/10.1016/j.ijhydene.2014.12.116</t>
  </si>
  <si>
    <t>Division of Chemical, Bioengineering, Environmental, and Transport Systems; NSF Division of Chemical, Bioengineering, Environmental, and Transport Systems; Chemical, Bioengineering, Environmental and Transport Systems; CBET; Chemical, Bioengineering, Environmental &amp; Transport Systems Division; NSF's Division of Chemical, Bioengineering, Environmental and Transport Systems; Chemical, Bioengineering, Environmental and Transport Systems (CBET) Division; ENG\/CBET; US NSF - ENG - CBET; Division of Chemical, Bioengineering, Environmental and Transport Systems || NOT MATCHED || U.S. Department of Defense; Department of Defense; United States Department of Defense; US Department of Defense; USDOD; U.S. Dept of Defense; US Dept of Defense; DOD</t>
  </si>
  <si>
    <t>https://openalex.org/funders/f4320306078 || https://openalex.org/funders/f4320337390</t>
  </si>
  <si>
    <t>Fibrinogen storage disease in a Chinese boy with de novo fibrinogen Aguadilla mutation: Incomplete response to carbamazepine and ursodeoxycholic acid</t>
  </si>
  <si>
    <t>https://doi.org/10.1186/s12876-016-0507-3</t>
  </si>
  <si>
    <t>NOT MATCHED || Shanghai Municipal Health Bureau; Shanghai Municipal Public Health Bureau</t>
  </si>
  <si>
    <t>https://openalex.org/funders/f4320324283</t>
  </si>
  <si>
    <t>Interactions Between Spermine-Derivatized Tentacle Porphyrins and The Human Telomeric DNA G-Quadruplex</t>
  </si>
  <si>
    <t>https://doi.org/10.3390/ijms19113686</t>
  </si>
  <si>
    <t>National Institute of Health; NIH; ՀՀ ԱՆ Առողջապահության Ազգային Ինստիտուտ; National Institute of Health after academician S. Avdalbekyan || NOT MATCHED || NOT MATCHED || Università di Catania; UNICT; University of Catania; Università degli Studi di Catania || NOT MATCHED || National Cancer Institute; NCI; Instituto Nacional del Cáncer</t>
  </si>
  <si>
    <t>https://openalex.org/funders/f4320322690 || https://openalex.org/institutions/i4210122293 || https://openalex.org/funders/f4320337351</t>
  </si>
  <si>
    <t>Human Sulfotransferase Assays With PAPS Production in situ</t>
  </si>
  <si>
    <t>https://doi.org/10.3389/fmolb.2022.827638</t>
  </si>
  <si>
    <t>World Anti-Doping Agency; WADA; l'Agence mondiale antidopage; AMA || Freie Universität Berlin; FU; FU Berlin; Free University of Berlin || Dongfeng Motor Group (China); DFG; Dongfeng Motor Co., Ltd.; Dongfeng Automobile Industry Investment</t>
  </si>
  <si>
    <t>https://openalex.org/funders/f4320324521 || https://openalex.org/funders/f4320321049 || https://openalex.org/institutions/i4210153068</t>
  </si>
  <si>
    <t>Characterization of glycine-N-acyltransferase like 1 (GLYATL1) in prostate cancer</t>
  </si>
  <si>
    <t>https://doi.org/10.1002/pros.23887</t>
  </si>
  <si>
    <t>O'Neal Comprehensive Cancer Center</t>
  </si>
  <si>
    <t>https://openalex.org/institutions/i4390039376</t>
  </si>
  <si>
    <t>The Poloxamer P85 Is Protective Against Listeria monocytogenes Invasion</t>
  </si>
  <si>
    <t>https://doi.org/10.1089/fpd.2008.0125</t>
  </si>
  <si>
    <t>U.S. Department of Agriculture; United States Department of Agriculture; USDA; US Department of Agriculture</t>
  </si>
  <si>
    <t>https://openalex.org/funders/f4320306114</t>
  </si>
  <si>
    <t>White Light Emission From Tb3+/Sm3+ Codoped LiYF4 Single Crystal Excited by UV Light</t>
  </si>
  <si>
    <t>https://doi.org/10.1109/LPT.2014.2325935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</si>
  <si>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Natural Science Foundation of Zhejiang Province; Zhejiang Natural Science Foundation; ZJNSF; 浙江省自然科学基金根据国; Zhejiang Provincial Natural Science Foundation || Natural Science Foundation of Ningbo; Natural Science Foundation of Ningbo Municipality; Natural Science Foundation of Ningbo City; Ningbo Natural Science Foundation; 宁波市自然科学基金; Ningbo Municipal Natural Science Foundation; Ningbo Natural Science Foundation of China || K. C. Wong Magna Fund in Ningbo University; K.C.Wong Magna Fund in Ningbo University; K. C. Wong Magna Fund of Ningbo University; K.C. Wong Magna Fund in Ningbo University; K.C Wong Magna Fund in Ningbo University ( Ningbo); K. C. Wong Magna Fund of NingboUniversity; K.C. Wong Magna. Fund in Ningbo University; K C Wong Magna Fund in Ningbo University; K.C Wong Magna Fund in Ningbo University; The K.C. Wong Magna Fund in Ningbo University</t>
  </si>
  <si>
    <t>https://openalex.org/funders/f4320338464 || https://openalex.org/funders/f4320332587 || https://openalex.org/funders/f4320321001 || https://openalex.org/funders/f4320337015</t>
  </si>
  <si>
    <t>A method to reduce waiting time on node relay-based webcast for selective contents</t>
  </si>
  <si>
    <t>https://doi.org/10.1108/17440081111165875</t>
  </si>
  <si>
    <t>Japan Prize Foundation; The Japan Prize Foundation || Japan Society for the Promotion of Science; Grants-in-Aid for Scientific Research; Grants-in-Aid for Scientific Research Program; KAKENHI; 日本学術振興会; KAKEN; JSPS || Okawa Foundation for Information and Telecommunications; The Okawa Foundation || Japan Society for the Promotion of Science; Grants-in-Aid for Scientific Research; Grants-in-Aid for Scientific Research Program; KAKENHI; 日本学術振興会; KAKEN; JSPS</t>
  </si>
  <si>
    <t>https://openalex.org/funders/f4320322617 || https://openalex.org/funders/f4320334764 || https://openalex.org/funders/f4320322286</t>
  </si>
  <si>
    <t>Equilibrium Electrostatics of Responsive Polyelectrolyte Monolayers</t>
  </si>
  <si>
    <t>https://doi.org/10.1021/ja807435q</t>
  </si>
  <si>
    <t>Optimal position and perforated radius of punched vortex generators for heat sink</t>
  </si>
  <si>
    <t>https://doi.org/10.1016/j.csite.2022.101916</t>
  </si>
  <si>
    <t>Does fragmentation avoidance improve the performance of dynamic spectrum allocation in elastic optical networks?</t>
  </si>
  <si>
    <t>https://doi.org/10.1007/s11107-017-0745-5</t>
  </si>
  <si>
    <t>Comisión Nacional de Investigación Científica y Tecnológica; National Commission for Scientific and Technological Research; CONICYT || NOT MATCHED || Fondo Nacional de Desarrollo Científico y Tecnológico; National Fund for Scientific and Technological Development; FONDECYT; El Fondo Nacional de Desarrollo Científico y Tecnológico</t>
  </si>
  <si>
    <t>https://openalex.org/funders/f4320338073 || https://openalex.org/funders/f4320334812</t>
  </si>
  <si>
    <t>Antibodies and immunohistochemistry in extracellular matrix research</t>
  </si>
  <si>
    <t>https://doi.org/10.1016/j.ymeth.2008.01.011</t>
  </si>
  <si>
    <t>Arthritis Research UK; Arthritis Research Campaign; Empire Rheumatism Council; Arthritis Research UK; Arthritis Care; Empire Rheumatism Council  || Biotechnology and Biological Sciences Research Council; BBSRC; The Biotechnology And Biological Sciences Research Council</t>
  </si>
  <si>
    <t>https://openalex.org/funders/f4320334629 || https://openalex.org/funders/f4320320045</t>
  </si>
  <si>
    <t>Influence of particle-size segregation on the impact of dry granular flow</t>
  </si>
  <si>
    <t>https://doi.org/10.1016/j.powtec.2018.09.014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</si>
  <si>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Institute of Mountain Hazards and Environment; IMHE</t>
  </si>
  <si>
    <t>https://openalex.org/funders/f4320334932 || https://openalex.org/funders/f4320321001</t>
  </si>
  <si>
    <t>Liquid-Crystalline Small Molecules for Nonfullerene Solar Cells with High Fill Factors and Power Conversion Efficiencies</t>
  </si>
  <si>
    <t>https://doi.org/10.1002/aenm.201803175</t>
  </si>
  <si>
    <t>Ministry of Science and Technology, Taiwan; Ministry of Science and Technology of Taiwan; MOST; Ministry of Science and Technology, R.O.C. (Taiwan)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Beijing Municipal Science and Technology Commission; Science and Technology Commission of Beijing Municipality; 北京市科学技术委员会; BMSTC; Beijing Municipal Science &amp; Technology Commission; Municipal Science &amp; Technology Commission || Youth Innovation Promotion Association of the Chinese Academy of Sciences; CAS YIPA; YIPA CAS; Youth Innovation Promotion Association, Chinese Academy of Sciences; Youth Innovation Promotion Association of Chinese Academy of Sciences; 中国科学院青年创新促进会; Youth Innovation Promotion Association, CAS; Youth Innovation Promotion Association CAS || Chinese Academy of Sciences; CAS; 中国科学院</t>
  </si>
  <si>
    <t>https://openalex.org/funders/f4320325902 || https://openalex.org/funders/f4320321001 || https://openalex.org/funders/f4320322795 || https://openalex.org/funders/f4320321133 || https://openalex.org/funders/f4320322847</t>
  </si>
  <si>
    <t>Molecular tools for the harmonisation of ecological and human risk assessment</t>
  </si>
  <si>
    <t>https://doi.org/10.1016/j.toxlet.2011.05.1021</t>
  </si>
  <si>
    <t>Natural Environment Research Council; NERC</t>
  </si>
  <si>
    <t>Ergosterol Supplementation Improves Furfural Tolerance of Saccharomyces cerevisiae to Produce Ethanol and Its Underlying Mechanism</t>
  </si>
  <si>
    <t>https://doi.org/10.15376/biores.18.1.228-246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</si>
  <si>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China Scholarship Council; CSC || Hubei Provincial Department of Education; 湖北省教育厅; Department of Education, Hubei Province; Department of Education of the Hubei Province; Educational Commission of Hubei Province || NOT MATCHED || NOT MATCHED || NOT MATCHED || NOT MATCHED || NOT MATCHED || NOT MATCHED || NOT MATCHED</t>
  </si>
  <si>
    <t>https://openalex.org/funders/f4320313620 || https://openalex.org/funders/f4320322725 || https://openalex.org/funders/f4320321001</t>
  </si>
  <si>
    <t>Nickel doped cobalt sulfide as a high performance counter electrode for dye-sensitized solar cells</t>
  </si>
  <si>
    <t>https://doi.org/10.1016/j.apsusc.2014.12.020</t>
  </si>
  <si>
    <t>Greater body appreciation moderates the association between maladaptive attentional biases and body dissatisfaction in undergraduate women</t>
  </si>
  <si>
    <t>https://doi.org/10.1177/2043808719838937</t>
  </si>
  <si>
    <t>Characterization of Polyphenol and Volatile Fractions of Californian-Style Black Olives and Innovative Application of E-nose for Acrylamide Determination</t>
  </si>
  <si>
    <t>https://doi.org/10.3390/foods10122973</t>
  </si>
  <si>
    <t>Junta de Extremadura; Regional Government of Extremadura || European Regional Development Fund; Europejski Fundusz Rozwoju Regionalnego; ESRR; L-FEŻR; Den Europæiske Fond for Regionaludvikling; Europos Regionines Pletros Fondas; ERDF; Európsky Fond Regionálneho Rozvoja; FESR; ЕФРР; Eruf; EFRO; Evropski sklad za regionalni razvoj; Evropský fond pro regionální rozvoj; ERFA; FEDER; FEDER; Europäischer Fonds für regionale Entwicklung; Fundo Europeu de Desenvolvimento Regional; Europeiska regionala utvecklingsfonden; ΕΤΠΑ; Euroopa Regionaalarengu Fond; Fondo Europeo de Desarrollo Regional; Fonds Européen de Développement Régional; Il-Fond Ewropew għall-Iżvilupp Reġjonali; ERPF; Euroopan aluekehitysrahasto; ERAF; Fondo Europeo di Sviluppo Regionale; EAKR; ERFi; Европейски фонд за регионално развитие; Fondul European de Dezvoltare Regională; FEDR; Europees Fonds voor Regionale Ontwikkeling; Europski Fond za Regionalni Razvoj; EFRU; Európai Regionális Fejlesztési Alap; EFRR; EFRR; EFRE; Ευρωπαϊκό Ταμείο Περιφερειακής Ανάπτυξης; Eiropas Reģionālās attīstības fonds || Junta de Extremadura; Regional Government of Extremadura</t>
  </si>
  <si>
    <t>https://openalex.org/funders/f4320335322 || https://openalex.org/funders/f4320328352</t>
  </si>
  <si>
    <t>Is light pollution driving moth population declines? A review of causal mechanisms across the life cycle</t>
  </si>
  <si>
    <t>https://doi.org/10.1111/icad.12447</t>
  </si>
  <si>
    <t>Natural Environment Research Council; NERC || Butterfly Conservation</t>
  </si>
  <si>
    <t>https://openalex.org/institutions/i134453025 || https://openalex.org/funders/f4320334631</t>
  </si>
  <si>
    <t>Construction of genetic map and QTL analysis of fiber quality traits for Upland cotton (Gossypium hirsutum L.)</t>
  </si>
  <si>
    <t>https://doi.org/10.1007/s10681-014-1189-y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</si>
  <si>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Higher Education Discipline Innovation Project; National 111 Project of China; 111 Plan; Higher Education Discipline Innovation Project of China; 111 Project || Research and Development; State Science and Technology Commission || Natural Science Foundation of Chongqing; Chonqing Natural Science Foundation; Municipal Natural Science Foundation of Chongqing; Natural Science Foundation of Chongqing Municipality; 重庆市自然科学基金</t>
  </si>
  <si>
    <t>https://openalex.org/funders/f4320327912 || https://openalex.org/funders/f4320323172 || https://openalex.org/funders/f4320321001 || https://openalex.org/funders/f4320337504</t>
  </si>
  <si>
    <t>Defining fundamental steps in the assembly of the Drosophila RNAi enzyme complex</t>
  </si>
  <si>
    <t>https://doi.org/10.1038/nature14254</t>
  </si>
  <si>
    <t>Straightforward Microwave-Assisted Synthesis of 1-Carboxymethyl-5-trifluoromethyl-5-hydroxy-4,5-dihydro-1H-pyrazoles under Solvent-Free Conditions</t>
  </si>
  <si>
    <t>https://doi.org/10.1002/jhet.309</t>
  </si>
  <si>
    <t>Conselho Nacional de Desenvolvimento Científico e Tecnológico; National Council for Scientific and Technological Development; Brazilian National Council for Research and Development; CNPq || Coordenação de Aperfeiçoamento de Pessoal de Nível Superior; Coordination for the Improvement of Higher Education Personnel; CAPES; Brazilian Federal Agency for the Support and Evaluation of Graduate Education || São Paulo State Technological College; FATEC; Faculdades de Tecnologia do Estado de São Paulo</t>
  </si>
  <si>
    <t>https://openalex.org/institutions/i3131263933 || https://openalex.org/funders/f4320321091 || https://openalex.org/funders/f4320322025</t>
  </si>
  <si>
    <t>Paper-Based Immunosensors with Bio-Chemiluminescence Detection</t>
  </si>
  <si>
    <t>https://doi.org/10.3390/s21134309</t>
  </si>
  <si>
    <t>NOT MATCHED || NOT MATCHED || European Commission; Europeiska kommissionen; Ευρωπαϊκής Επιτροπής; Comisia Europeană; Europese Commissie; Euroopa Komisjoni; Eiropas Komisiju; Euroopan komission; Europskoj komisiji; EU; Choimisiúin Eorpaigh; EU-Kommissionen; Evropski komisiji; EC; Comisión Europea; Europos Komisijos; Europäische Kommission; La Commissione europea; Evropské komise; Comissão Europeia; Európskej komisii; Европейската комисия; Európai Bizottságról; Komisja Europejska; Commissione europea; European Union; Commission européenne</t>
  </si>
  <si>
    <t>Kinetics and Faradaic Efficiency of Oxygen Evolution on Reduced HXWO3 Photoelectrodes</t>
  </si>
  <si>
    <t>https://doi.org/10.1021/acs.jpcc.8b11777</t>
  </si>
  <si>
    <t>NOT MATCHED || University of Michigan; मिशिगन विश्वविद्यालय; Universidade de Michigan; UMich; Universitas Michigania; U-M; 密西根大学; The University of Michigan; UM; Universidad de Michigan; U of Michigan; U of M || National Science Foundation; U.S. National Science Foundation; USA NSF; USNSF; NSF; US National Science Foundation; US NSF || Energy Institute, University of Michigan; University of Michigan Energy Institute; Energy Institute; U-M Energy Institute</t>
  </si>
  <si>
    <t>https://openalex.org/funders/f4320306076 || https://openalex.org/funders/f4320309652 || https://openalex.org/funders/f4320333803</t>
  </si>
  <si>
    <t>Specific detection of Cronobacter sakazakii in powdered infant formula using ssDNA aptamer</t>
  </si>
  <si>
    <t>https://doi.org/10.1039/d1an00118c</t>
  </si>
  <si>
    <t>Korea Institute of Science and Technology; KIST</t>
  </si>
  <si>
    <t>https://openalex.org/funders/f4320322091</t>
  </si>
  <si>
    <t>Multivariate multi-scale weighted permutation entropy analysis of EEG complexity for Alzheimer's disease</t>
  </si>
  <si>
    <t>https://doi.org/10.1007/s11571-016-9418-9</t>
  </si>
  <si>
    <t>Natural Science Foundation of Tianjin Municipal Science and Technology Commission; Natural Science Foundation of Tianjin Municipal Science &amp; Technology Commission || NOT MATCHED || Natural Science Foundation of Jilin Province; Jilin Provincial Natural Science Foundation; Natural Science Foundation of Jilin Province of China; Jilin Province Natural Science Foundation</t>
  </si>
  <si>
    <t>https://openalex.org/funders/f4320310121 || https://openalex.org/funders/f4320335468</t>
  </si>
  <si>
    <t>Effect of Botanical Immunomodulators on Human CYP3A4 Inhibition: Implications for Concurrent Use as Adjuvants in Cancer Therapy</t>
  </si>
  <si>
    <t>https://doi.org/10.1177/1534735413503551</t>
  </si>
  <si>
    <t>Unsupervised Sentiment Analysis by Transferring Multi-source Knowledge</t>
  </si>
  <si>
    <t>https://doi.org/10.1007/s12559-020-09792-8</t>
  </si>
  <si>
    <t>CHANGES IN FISH COMMUNITIES FOLLOWING RECOLONIZATION OF THE CEDAR RIVER, WA, USA BY PACIFIC SALMON AFTER 103 YEARS OF LOCAL EXTIRPATION</t>
  </si>
  <si>
    <t>https://doi.org/10.1002/rra.1174</t>
  </si>
  <si>
    <t>NOT MATCHED || Seattle Pacific University; SPU || Northwest Fisheries Science Center; NW Fisheries Science Center; NFSC; NWFSC; NOAA Northwest Fisheries Science Center || Washington Sea Grant, University of Washington; Washington Sea Grant; Washington Sea Grant - University of Washington; WA Sea Grant; WSG || National Oceanic and Atmospheric Administration; NOAA; National Oceanic &amp; Atmospheric Administration || NOT MATCHED</t>
  </si>
  <si>
    <t>https://openalex.org/funders/f4320338409 || https://openalex.org/funders/f4320332181 || https://openalex.org/institutions/i11317958 || https://openalex.org/funders/f4320332292</t>
  </si>
  <si>
    <t>Ground State Conformational Preferences and CH Stretch-Bend Coupling in a Model Alkoxy Chain: 1,2-Diphenoxyethane</t>
  </si>
  <si>
    <t>https://doi.org/10.1021/jp400691a</t>
  </si>
  <si>
    <t>NOT MATCHED || National Science Foundation; U.S. National Science Foundation; USA NSF; USNSF; NSF; US National Science Foundation; US NSF || Directorate for Mathematical and Physical Sciences; NSF Directorate for Mathematical &amp; Physical Sciences; MPS\/OAD; MPS; Mathematical and Physical Sciences; Directorate for Mathematical &amp; Physical Sciences; NSF Directorate for Mathematical and Physical Sciences</t>
  </si>
  <si>
    <t>https://openalex.org/funders/f4320306076 || https://openalex.org/funders/f4320332172</t>
  </si>
  <si>
    <t>Inhibition of FAK prevents blister formation in the neonatal mouse model of pemphigus vulgaris</t>
  </si>
  <si>
    <t>https://doi.org/10.1111/j.1600-0625.2012.01441.x</t>
  </si>
  <si>
    <t>Ministerio de Sanidad, Consumo y Bienestar Social; MSCBS; MISAN; Ministerio de Sanidad; Ministry of Health of Spain; Ministry of Health, Consumer Affairs and Social Welfare; Ministry of Health, Consumption and Social Welfare; Ministry of Health; Spain Ministry of Health, Consumer Affairs and Social Welfare</t>
  </si>
  <si>
    <t>https://openalex.org/funders/f4320316381</t>
  </si>
  <si>
    <t>Analyzing how forest-based amenity values and carbon storage benefits affect spatial targeting for conservation investment</t>
  </si>
  <si>
    <t>https://doi.org/10.1016/j.forpol.2021.102570</t>
  </si>
  <si>
    <t>National Institute of Food and Agriculture; USDA National Institute of Food and Agriculture; U.S. Department of Agriculture, National Institute of Food and Agriculture; NIFA USDA; NIFA; National Institute of Food and Agriculture (USDA); National Institute of Food &amp; Agriculture; USDA\/NIFA; National Institute for Food and Agriculture of the United States Department of Agriculture; USDA - NIFA; USDA\/National Institute of Food and Agriculture; USDA's National Institute of Food and Agriculture; USDA NIFA; National Institute of Food and Agriculture at USDA</t>
  </si>
  <si>
    <t>https://openalex.org/funders/f4320332299</t>
  </si>
  <si>
    <t>Bis amide-aromatic-ureas-highly effective hydro- and organogelator systems</t>
  </si>
  <si>
    <t>https://doi.org/10.1016/j.tet.2014.09.017</t>
  </si>
  <si>
    <t>University of Reading; UoR || NOT MATCHED || Engineering and Physical Sciences Research Council; EPSRC</t>
  </si>
  <si>
    <t>https://openalex.org/funders/f4320334627 || https://openalex.org/funders/f4320320326</t>
  </si>
  <si>
    <t>Comparison of Sucrose-Hydrolyzing Enzymes Produced by Rhizopus oryzae and Amylomyces rouxii</t>
  </si>
  <si>
    <t>https://doi.org/10.1271/bbb.80346</t>
  </si>
  <si>
    <t>Ministry of Agriculture, Forestry and Fisheries; MAFF; Ministry of Agriculture, Forestry and Fisheries of Japan</t>
  </si>
  <si>
    <t>https://openalex.org/funders/f4320322266</t>
  </si>
  <si>
    <t>Linear and nonlinear generalized consensuses of multi-agent systems</t>
  </si>
  <si>
    <t>https://doi.org/10.1088/1674-1056/23/5/050508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</si>
  <si>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Fundamental Research Funds for the Central Universities; Fundamental Research Funds for the Central Universities of China; Fundamental Research Fund for the Central Universities</t>
  </si>
  <si>
    <t>First asymptotic approximations to a solution of singularly perturbed optimal control problem with intersecting solutions of degenerate problem</t>
  </si>
  <si>
    <t>https://doi.org/10.1016/j.amc.2016.07.038</t>
  </si>
  <si>
    <t>National Foundation for Science and Technology Development; National Foundation for Science &amp; Technology Development; Vietnam's National Foundation for Science and Technology Development; NAFOSTED; The National Foundation for Science and Technology Development; Vietnam National Foundation for Science and Technology Development; Quỹ phát triển khoa học và công nghệ Quốc gia</t>
  </si>
  <si>
    <t>https://openalex.org/funders/f4320309617</t>
  </si>
  <si>
    <t>Achievements of the deworming programme in Sri Lanka</t>
  </si>
  <si>
    <t>https://doi.org/10.1016/S2214-109X(19)30309-2</t>
  </si>
  <si>
    <t>All-Directional DOA Estimation for Ultra-Wideband Regular Tetrahedral Array Using Wrapped PDoA</t>
  </si>
  <si>
    <t>https://doi.org/10.3390/s22041532</t>
  </si>
  <si>
    <t>Field Emission Characteristics of Multi-Walled Carbon Nanotubes with Double Gate Electrodes</t>
  </si>
  <si>
    <t>https://doi.org/10.1063/1.5119500</t>
  </si>
  <si>
    <t>Ministry of Science and Technology, Taiwan; Ministry of Science and Technology of Taiwan; MOST; Ministry of Science and Technology, R.O.C. (Taiwan) || Slovenská Akadémia Vied; SAV; Slovak Academy of Sciences || NOT MATCHED</t>
  </si>
  <si>
    <t>https://openalex.org/funders/f4320312330 || https://openalex.org/funders/f4320322795</t>
  </si>
  <si>
    <t>Self-consistent analytic solutions in twisted CPN-1 model in the large-N limit</t>
  </si>
  <si>
    <t>https://doi.org/10.1007/JHEP09(2018)092</t>
  </si>
  <si>
    <t>Ministry of Education, Culture, Sports, Science and Technology; Monbu Kagakusho; 文部科学省; MEXT; Monbusho || Japan Society for the Promotion of Science; Grants-in-Aid for Scientific Research; Grants-in-Aid for Scientific Research Program; KAKENHI; 日本学術振興会; KAKEN; JSPS || Ministry of Education, Culture, Sports, Science and Technology; Monbu Kagakusho; 文部科学省; MEXT; Monbusho</t>
  </si>
  <si>
    <t>The antifungal effects and mechanical properties of silver bromide/cationic polymer nano-composite-modified Poly-methyl methacrylate-based dental resin</t>
  </si>
  <si>
    <t>https://doi.org/10.1038/s41598-017-01686-4</t>
  </si>
  <si>
    <t>Efficient inhibition of Cronobacter biofilms by chitooligosaccharides of specific molecular weight</t>
  </si>
  <si>
    <t>https://doi.org/10.1007/s11274-019-2662-5</t>
  </si>
  <si>
    <t>China Postdoctoral Science Foundation</t>
  </si>
  <si>
    <t>https://openalex.org/funders/f4320321543</t>
  </si>
  <si>
    <t>Blood Vessel Maturation by Disintegrin in Oxygen-Induced Retinopathy</t>
  </si>
  <si>
    <t>https://doi.org/10.3109/02713683.2015.1050737</t>
  </si>
  <si>
    <t>Hungarian University of Fine Arts; MKE; Magyar Képzőművészeti Egyetem</t>
  </si>
  <si>
    <t>https://openalex.org/institutions/i3130318847</t>
  </si>
  <si>
    <t>Bendable BiVO4-Based Photoanodes on a Metal Substrate Realized through Template Engineering for Photoelectrochemical Water Splitting</t>
  </si>
  <si>
    <t>https://doi.org/10.1021/acsami.1c02314</t>
  </si>
  <si>
    <t>Circulating Protein Biomarkers for Prognostic Use in Patients with Advanced Pancreatic Ductal Adenocarcinoma Undergoing Chemotherapy</t>
  </si>
  <si>
    <t>https://doi.org/10.3390/cancers14133250</t>
  </si>
  <si>
    <t>Celgene; Celgene Corporation || Velux Fonden; The Velux Foundation; Velux Foundation || Kræftens Bekæmpelse; Danish Cancer Society; DCS; The Danish Cancer Society; Fight Against Cancer || NOT MATCHED || Beckett-Fonden; Beckett Fund || NOT MATCHED || NOT MATCHED</t>
  </si>
  <si>
    <t>https://openalex.org/funders/f4320310455 || https://openalex.org/funders/f4320309086 || https://openalex.org/funders/f4320326094 || https://openalex.org/institutions/i4388482692</t>
  </si>
  <si>
    <t>2-step Phase-shifting Digital Holographic Optical Encryption and Error Analysis</t>
  </si>
  <si>
    <t>https://doi.org/10.3807/JOSK.2011.15.3.244</t>
  </si>
  <si>
    <t>Incheon National University; Incheon University; INU</t>
  </si>
  <si>
    <t>https://openalex.org/funders/f4320321363</t>
  </si>
  <si>
    <t>Cost-effectiveness of the implementation of a transitional discharge model for community integration of psychiatric clients: Practice insights and policy implications</t>
  </si>
  <si>
    <t>https://doi.org/10.1080/00207411.2019.1649237</t>
  </si>
  <si>
    <t>Association pour la Recherche de Thérapeutiques Innovantes en Cancérologie; ARTIC</t>
  </si>
  <si>
    <t>https://openalex.org/institutions/i4210150538</t>
  </si>
  <si>
    <t>Optimal roofing solutions for Australian green buildings: a life-cycle cost perspective</t>
  </si>
  <si>
    <t>https://doi.org/10.1680/jensu.17.00064</t>
  </si>
  <si>
    <t>NOT MATCHED</t>
  </si>
  <si>
    <t>A General Method for Calculating Likelihoods Under the Coalescent Process</t>
  </si>
  <si>
    <t>https://doi.org/10.1534/genetics.111.129569</t>
  </si>
  <si>
    <t>European Research Council; ERC || Natural Environment Research Council; NERC || Medical Research Council; MRC; UK Medical Research Council || Natural Environment Research Council; NERC || Medical Research Council; MRC; UK Medical Research Council || Natural Environment Research Council; NERC</t>
  </si>
  <si>
    <t>https://openalex.org/funders/f4320334626 || https://openalex.org/funders/f4320334678 || https://openalex.org/funders/f4320334631</t>
  </si>
  <si>
    <t>Development of a risk-scoring system to evaluate the serosal invasion for macroscopic serosal invasion positive gastric cancer patients</t>
  </si>
  <si>
    <t>https://doi.org/10.1016/j.ejso.2018.01.240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</si>
  <si>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Natural Science Foundation of Liaoning Province; Liaoning Province Natural Science Foundation</t>
  </si>
  <si>
    <t>https://openalex.org/funders/f4320323086 || https://openalex.org/funders/f4320321001</t>
  </si>
  <si>
    <t>Mitochondrial Cu,Zn-Superoxide Dismutase Mediates Pulmonary Fibrosis by Augmenting H2O2 Generation</t>
  </si>
  <si>
    <t>https://doi.org/10.1074/jbc.M110.187377</t>
  </si>
  <si>
    <t>National Institutes of Health; US National Institutes of Health; Institutos Nacionales de la Salud; NIH || National Cancer Institute; NCI; Instituto Nacional del Cáncer || National Institute of Environmental Health Sciences; The National Institute of Environmental Health Sciences; NIH National Institute of Environmental Health Sciences; NIEHS</t>
  </si>
  <si>
    <t>https://openalex.org/funders/f4320332161 || https://openalex.org/funders/f4320337351 || https://openalex.org/funders/f4320337361</t>
  </si>
  <si>
    <t>ATGgenes, new playerson early Fe toxicity response in rice (Oryza sativa)</t>
  </si>
  <si>
    <t>https://doi.org/10.1111/pbr.12860</t>
  </si>
  <si>
    <t>Conselho Nacional de Desenvolvimento Científico e Tecnológico; National Council for Scientific and Technological Development; Brazilian National Council for Research and Development; CNPq || Conselho Nacional de Desenvolvimento Científico e Tecnológico; National Council for Scientific and Technological Development; Brazilian National Council for Research and Development; CNPq || Coordenação de Aperfeiçoamento de Pessoal de Nível Superior; Coordination for the Improvement of Higher Education Personnel; CAPES; Brazilian Federal Agency for the Support and Evaluation of Graduate Education || Fundação de Amparo à Pesquisa do Estado do Rio Grande do Sul; Foundation for Research Support of Rio Grande do Sul State; Foundation of Rio Grande do Sul State for Research Support; Research Support Foundation of the State of Rio Grande do Sul; Fundação de Amparo à Pesquisa do Estado do Rs; FAPERGS; Foundation for Research Support of the State of Rio Grande do Sul</t>
  </si>
  <si>
    <t>https://openalex.org/funders/f4320322502 || https://openalex.org/funders/f4320321091 || https://openalex.org/funders/f4320322025</t>
  </si>
  <si>
    <t>Caregivers' Role in the Effectiveness of Two Dutch School-Based Nutrition Education Programmes for Children Aged 7-12 Years Old</t>
  </si>
  <si>
    <t>https://doi.org/10.3390/nu13010140</t>
  </si>
  <si>
    <t>Ministerie van Landbouw, Natuur en Voedselkwaliteit; LNV; Ministry of Agriculture, Nature and Food Quality; Ministerie van LNV; Het ministerie van LNV || Ministerie van Volksgezondheid, Welzijn en Sport; VWS; Dutch Ministry of Health, Welfare and Sport || National Health and Medical Research Council; NHMRC || NOT MATCHED</t>
  </si>
  <si>
    <t>https://openalex.org/funders/f4320321645 || https://openalex.org/funders/f4320334705 || https://openalex.org/funders/f4320328182</t>
  </si>
  <si>
    <t>Influence of N+ implantation on structure, morphology, and corrosion behavior of Al in NaCl solution</t>
  </si>
  <si>
    <t>https://doi.org/10.1088/1674-1056/ab7d97</t>
  </si>
  <si>
    <t>University of Tehran; دانشگاه تهران; UT</t>
  </si>
  <si>
    <t>https://openalex.org/funders/f4320322667</t>
  </si>
  <si>
    <t>A refined Brill-Noether theory over Hurwitz spaces</t>
  </si>
  <si>
    <t>https://doi.org/10.1007/s00222-020-01023-z</t>
  </si>
  <si>
    <t>NOT MATCHED || National Science Foundation; U.S. National Science Foundation; USA NSF; USNSF; NSF; US National Science Foundation; US NSF || NOT MATCHED || Stanford University; Stanford; SU; Leland Stanford Junior University</t>
  </si>
  <si>
    <t>https://openalex.org/funders/f4320306076 || https://openalex.org/funders/f4320308507</t>
  </si>
  <si>
    <t>Amine-Triggered Highly Facile Oxidative Benzannulation Reaction for the Synthesis of Anthranilates under Solvent- Free Calcium(II) Catalysis</t>
  </si>
  <si>
    <t>https://doi.org/10.1021/acsomega.7b00753</t>
  </si>
  <si>
    <t>Council of Scientific and Industrial Research, India; CSIR, India; CSIR; Council of Scientific and Industrial Research; Council of Scientific &amp; Industrial Research; वैज्ञानिक तथा औद्योगिक अनुसंधान परिषद; CSIR INDIA; सीएसआईआर || NOT MATCHED || University of Hyderabad; UoH || Central University of Rajasthan; CURAJ; राजस्थान केन्द्रीय विश्वविद्यालय</t>
  </si>
  <si>
    <t>https://openalex.org/funders/f4320320721 || https://openalex.org/institutions/i76777374 || https://openalex.org/funders/f4320324655</t>
  </si>
  <si>
    <t>Chiro-optical fields with asymmetric orbital angular momentum and polarization</t>
  </si>
  <si>
    <t>https://doi.org/10.1364/OE.449884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</si>
  <si>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Natural Science Foundation of Shandong Province; Natural Science Foundation of Shandong; Shandong Province Natural Science Foundation; Shandong Provincial Natural Science Foundation</t>
  </si>
  <si>
    <t>https://openalex.org/funders/f4320321001 || https://openalex.org/funders/f4320324174</t>
  </si>
  <si>
    <t>Synthesis of Methanol from CO2 on Cu-Zn/xAl(2)O(3)-(1-x)SiO2 Catalysts. Effect of Support Composition</t>
  </si>
  <si>
    <t>https://doi.org/10.1134/S0036024421120128</t>
  </si>
  <si>
    <t>UV degradation of accreted organics on Mars: IDP longevity, surface reservoir of organics, and relevance to the detection of methane in the atmosphere</t>
  </si>
  <si>
    <t>https://doi.org/10.1029/2012JE004060</t>
  </si>
  <si>
    <t>NOT MATCHED || NOT MATCHED || Natural Sciences and Engineering Research Council of Canada; CRSNG; NSERC; Conseil de Recherches en Sciences Naturelles et en Génie du Canada || NOT MATCHED</t>
  </si>
  <si>
    <t>Behavioural correlates of parasitism and reproductive success in male eastern chipmunks, Tamias striatus</t>
  </si>
  <si>
    <t>https://doi.org/10.1016/j.anbehav.2011.02.016</t>
  </si>
  <si>
    <t>Natural Sciences and Engineering Research Council of Canada; CRSNG; NSERC; Conseil de Recherches en Sciences Naturelles et en Génie du Canada || Canada Foundation for Innovation; CFI; Fondation canadienne pour l’innovation || Ontario Ministry of Research and Innovation; Ministry of Research and Innovation; MRI; ministère de la Recherche et de l’Innovation || Laurentian University; Université Laurentienne</t>
  </si>
  <si>
    <t>https://openalex.org/funders/f4320336370 || https://openalex.org/funders/f4320329073 || https://openalex.org/funders/f4320334593 || https://openalex.org/funders/f4320320995</t>
  </si>
  <si>
    <t>Exploring the complex effects of metal ions on D-hydantoinase purification with an immobilized metal affinity membrane</t>
  </si>
  <si>
    <t>https://doi.org/10.1016/j.jtice.2011.02.006</t>
  </si>
  <si>
    <t>National Science Council; National Science Council, Taiwan; National Science Council of Taiwan; NSC || Ministry of Education; MOE; Ministry of Education, Republic of China (Taiwan)</t>
  </si>
  <si>
    <t>https://openalex.org/funders/f4320321040 || https://openalex.org/funders/f4320311687</t>
  </si>
  <si>
    <t>Crumpled states of a wire in a two-dimensional cavity with pins</t>
  </si>
  <si>
    <t>https://doi.org/10.1103/PhysRevE.81.031127</t>
  </si>
  <si>
    <t>Coordenação de Aperfeiçoamento de Pessoal de Nível Superior; Coordination for the Improvement of Higher Education Personnel; CAPES; Brazilian Federal Agency for the Support and Evaluation of Graduate Education || Conselho Nacional de Desenvolvimento Científico e Tecnológico; National Council for Scientific and Technological Development; Brazilian National Council for Research and Development; CNPq || Fundação de Amparo à Pesquisa do Estado do Piauí; Foundation for Research Support of the State of Piauí; FAPEPI || NOT MATCHED || Universidade Federal do Piauí; Federal University of Piauí; UFPI</t>
  </si>
  <si>
    <t>https://openalex.org/funders/f4320321091 || https://openalex.org/funders/f4320323198 || https://openalex.org/funders/f4320322025 || https://openalex.org/funders/f4320322989</t>
  </si>
  <si>
    <t>Photocatalytic Degradation of Methyl Orange by CeO2 and Fe-doped CeO2 Films under Visible Light Irradiation</t>
  </si>
  <si>
    <t>https://doi.org/10.1038/srep05757</t>
  </si>
  <si>
    <t>Thailand Research Fund; TRF || Australian Renewable Energy Agency; The Australian Renewable Energy Agency; ARENA</t>
  </si>
  <si>
    <t>https://openalex.org/funders/f4320323119 || https://openalex.org/funders/f4320322614</t>
  </si>
  <si>
    <t>Spexin Promotes Insulin Secretion and beta-Cell Proliferation</t>
  </si>
  <si>
    <t>https://doi.org/10.2337/db20-248-LB</t>
  </si>
  <si>
    <t>Impact of lipid composition and photosensitizer hydrophobicity on the efficiency of light-triggered liposomal release</t>
  </si>
  <si>
    <t>https://doi.org/10.1039/c7cp00983f</t>
  </si>
  <si>
    <t>Ministère de l'Education Nationale, de l'Enseignement Superieur et de la Recherche; French Ministry of Higher Education and Research; MESR; Ministry of Higher Education and Research</t>
  </si>
  <si>
    <t>https://openalex.org/funders/f4320322727</t>
  </si>
  <si>
    <t>Effects of atmospheric composition on apparent activation energy of silicate weathering: II. Implications for evolution of atmospheric CO2 in the Precambrian</t>
  </si>
  <si>
    <t>https://doi.org/10.1016/j.gca.2018.08.020</t>
  </si>
  <si>
    <t>Refugees and the transforming landscapes of small cities in the US</t>
  </si>
  <si>
    <t>https://doi.org/10.1080/02723638.2020.1785202</t>
  </si>
  <si>
    <t>A Short-Turn Dispatching Strategy to Improve the Reliability of Bus Operation</t>
  </si>
  <si>
    <t>https://doi.org/10.1155/2020/5947802</t>
  </si>
  <si>
    <t>CONJUGATE STRESS/STRAIN BASE PAIRS FOR PLANAR ANALYSIS OF BIOLOGICAL TISSUES</t>
  </si>
  <si>
    <t>https://doi.org/10.2140/jomms.2017.12.219</t>
  </si>
  <si>
    <t>Mi̇lli̇ Eği̇ti̇m Bakanliği; Ministry of National Education; T.C. Milli Egitim Bakanligi; Türkiye Cumhuriyeti Millî Eğitim Bakanlığı; Milli Eğitim Bakanlığı; T.C. Millî Eğitim Bakanlığı; Turkish Ministry of National Education; Milli Egitim Bakanligi || NOT MATCHED || Directorate for Engineering; NSF Directorate for Engineering; National Science Foundation's (NSF) Directorate for Engineering (ENG); ENG; Engineering; ENG\/OAD</t>
  </si>
  <si>
    <t>https://openalex.org/funders/f4320332170 || https://openalex.org/institutions/i4210094226</t>
  </si>
  <si>
    <t>Multimodal optical excitation pulsed thermography: Enhanced recognize debonding defects of the solid propellant rocket motor cladding layer</t>
  </si>
  <si>
    <t>https://doi.org/10.1016/j.ymssp.2021.108164</t>
  </si>
  <si>
    <t>Innovative Research Group Project of the National Natural Science Foundation of China; Fund for innovative Research Groups of the National Natural Science Fund Committee of Science; AIC; Innovative Research Group Project; Funds for Innovative Research Groups of China; Innovative Research Groups of the Natural Science Foundation of China NSFC; Foundation for Innovative Research Groups of the National Natural Science Fund of China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National Postdoctoral Program for Innovative Talents; Postdoctoral Innovation Talent Support Program of China || China Postdoctoral Science Foundation || State Key Laboratory of Robotics and System || NOT MATCHED || Heilongjiang Provincial Postdoctoral Science Foundation; Heilongjiang Province Postdoctoral Science Foundation; Heilongjiang Postdoctoral Science Foundation || Aeronautical Science Foundation of China; National Aerospace Science Foundation of China</t>
  </si>
  <si>
    <t>https://openalex.org/funders/f4320327001 || https://openalex.org/funders/f4320321001 || https://openalex.org/funders/f4320321543 || https://openalex.org/funders/f4320326178 || https://openalex.org/funders/f4320335768 || https://openalex.org/funders/f4320322857 || https://openalex.org/funders/f4320315254</t>
  </si>
  <si>
    <t>Cost-Effective Control of Plant Disease When Epidemiological Knowledge Is Incomplete: Modelling Bahia Bark Scaling of Citrus</t>
  </si>
  <si>
    <t>https://doi.org/10.1371/journal.pcbi.1003753</t>
  </si>
  <si>
    <t>Landmark Localization for Cephalometric Analysis Using Multiscale Image Patch-Based Graph Convolutional Networks</t>
  </si>
  <si>
    <t>https://doi.org/10.1109/JBHI.2022.3157722</t>
  </si>
  <si>
    <t>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 || National Science Foundation; U.S. National Science Foundation; USA NSF; USNSF; NSF; US National Science Foundation; US NSF || Natural Science Foundation of Jiangsu Province; Jiangsu Provincial Natural Science Foundation; Jiangsu Natural Science Foundation; Jiangsu Province Natural Science Foundation || Fundamental Research Funds for the Central Universities; Fundamental Research Funds for the Central Universities of China; Fundamental Research Fund for the Central Universities || NOT MATCHED</t>
  </si>
  <si>
    <t>https://openalex.org/funders/f4320322769 || https://openalex.org/funders/f4320335777 || https://openalex.org/funders/f4320306076 || https://openalex.org/funders/f4320335787</t>
  </si>
  <si>
    <t>Cooperation between p21 and Akt is required for p53-dependent cellular senescence</t>
  </si>
  <si>
    <t>https://doi.org/10.1111/acel.12639</t>
  </si>
  <si>
    <t>National Research Foundation of Korea; NRF; 한국연구재단이 창의적 연구와 || NOT MATCHED</t>
  </si>
  <si>
    <t>Leaf Rust Resistance in Selected Uruguayan Common Wheat Cultivars with Early Maturity</t>
  </si>
  <si>
    <t>https://doi.org/10.2135/cropsci2011.06.0335</t>
  </si>
  <si>
    <t>Cereal Research Centre; CER || Agriculture and Agri-Food Canada; AAFC; Department of Agriculture and Agri-Food; Agriculture et Agroalimentaire Canada || Cereal Disease Laboratory; CDL || Canadian International Development Agency; CIDA; Agence Canadienne de Développement International</t>
  </si>
  <si>
    <t>https://openalex.org/institutions/i4210161159 || https://openalex.org/funders/f4320312108 || https://openalex.org/institutions/i4210088917 || https://openalex.org/funders/f4320334595</t>
  </si>
  <si>
    <t>Exchanging satellite attitude quaternions for improved GNSS data processing consistency</t>
  </si>
  <si>
    <t>https://doi.org/10.1016/j.asr.2021.04.049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</si>
  <si>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Centre National d’Etudes Spatiales; National Centre for Space Research, France; CNES</t>
  </si>
  <si>
    <t>https://openalex.org/funders/f4320321519 || https://openalex.org/funders/f4320321001</t>
  </si>
  <si>
    <t>Evolution of crosslinking networks structure and thermo-oxidative aging behavior of unfilled NR/BR blends with TBIR as extra functional compatibilizer</t>
  </si>
  <si>
    <t>https://doi.org/10.1016/j.polymertesting.2022.107715</t>
  </si>
  <si>
    <t>Major Scientific and Technological Innovation Project of Shandong Province; 山东省重大科技创新工程项目 || NOT MATCHED</t>
  </si>
  <si>
    <t>https://openalex.org/funders/f4320329857</t>
  </si>
  <si>
    <t>Multi-objective drone path planning for search and rescue with quality-of-service requirements</t>
  </si>
  <si>
    <t>https://doi.org/10.1007/s10514-020-09926-9</t>
  </si>
  <si>
    <t>Alpen-Adria-Universität Klagenfurt; Alps Adriatic University of Klagenfurt; Alpen Adria Universität Klagenfurt; AAU</t>
  </si>
  <si>
    <t>https://openalex.org/funders/f4320325472</t>
  </si>
  <si>
    <t>Personal reflections on Sir James Black (1924-2010) and histamine</t>
  </si>
  <si>
    <t>https://doi.org/10.1007/s00011-010-0269-2</t>
  </si>
  <si>
    <t>Johnson and Johnson; Johnson &amp; Johnson; johnson &amp; Johnson Services, Inc.; J&amp;J; Johnson &amp; Johnson Services Inc; JNJ</t>
  </si>
  <si>
    <t>https://openalex.org/funders/f4320332194</t>
  </si>
  <si>
    <t>Phytochemicals content and antioxidant properties of sea buckthorn (Hippophae rhamnoides L.) as affected by heat treatment - Quantitative spectroscopic and kinetic approaches</t>
  </si>
  <si>
    <t>https://doi.org/10.1016/j.foodchem.2017.04.107</t>
  </si>
  <si>
    <t>National Authority for Scientific Research and Innovation; ANCSI</t>
  </si>
  <si>
    <t>https://openalex.org/funders/f4320315989</t>
  </si>
  <si>
    <t>Splenic Switch-off: A Tool to Assess Stress Adequacy in Adenosine Perfusion Cardiac MR Imaging</t>
  </si>
  <si>
    <t>https://doi.org/10.1148/radiol.2015142059</t>
  </si>
  <si>
    <t>American Heart Association; AMERICAN HEART ASSOCIATION INC; AMERICAN HEART ASSN.; American Heart Association, Inc.; AHA; American Heart Assn; AMERICAN HEART ASSOC.; American Heart Association, Inc || Children's Cardiomyopathy Foundation; CCFheartkids; Childrens Cardiomyopathy Foundation Inc; CCF; Childrens Cardiomyopathy Foundation Inc.; Children's Cardiomyopathy Foundation, Inc. || British Heart Foundation; BHF || National Institute for Health and Care Research; NIHR; National Institute for Health Research</t>
  </si>
  <si>
    <t>https://openalex.org/funders/f4320319990 || https://openalex.org/funders/f4320319992 || https://openalex.org/funders/f4320311481 || https://openalex.org/funders/f4320306230</t>
  </si>
  <si>
    <t>Statistical Optimization for Production of Light Olefins in a Fluidized-Bed Reactor</t>
  </si>
  <si>
    <t>https://doi.org/10.1002/ceat.201400681</t>
  </si>
  <si>
    <t>Nanotechnology Initiative</t>
  </si>
  <si>
    <t>https://openalex.org/funders/f4320306104</t>
  </si>
  <si>
    <t>Dual-band giant spin-selective full-dimensional manipulation of graphene-based chiral meta-mirrors for terahertz waves</t>
  </si>
  <si>
    <t>https://doi.org/10.1364/OE.463220</t>
  </si>
  <si>
    <t>Sichuan Province Science and Technology Support Program; Science and Technology Project of Sichuan Province; Science and Technology Project of Sichuan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</t>
  </si>
  <si>
    <t>https://openalex.org/funders/f4320335777 || https://openalex.org/funders/f4320333335 || https://openalex.org/funders/f4320321001</t>
  </si>
  <si>
    <t>Hyperpolarized He-3 magnetic resonance imaging-derived pulmonary pressure-volume curves</t>
  </si>
  <si>
    <t>https://doi.org/10.1152/japplphysiol.01085.2009</t>
  </si>
  <si>
    <t>NOT MATCHED || Canadian Institutes of Health Research; CIHR; IRSC; Instituts de Recherche en Santé du Canada || Canadian Lung Association; Association Pulmonaire du Canada; CLA; L’Association pulmonaire; Association Pulmonaire; Lung Association</t>
  </si>
  <si>
    <t>https://openalex.org/funders/f4320334506 || https://openalex.org/funders/f4320319962</t>
  </si>
  <si>
    <t>Finger motion and contact by a second finger influence the tactile perception of electrovibration</t>
  </si>
  <si>
    <t>https://doi.org/10.1098/rsif.2020.0783</t>
  </si>
  <si>
    <t>Max-Planck-Gesellschaft; Max-Planck-Gesellschaft zur Förderung der Wissenschaften; MPG; Max Planck Society for the Advancement of Science; Max Planck Society</t>
  </si>
  <si>
    <t>https://openalex.org/funders/f4320322434</t>
  </si>
  <si>
    <t>Ion behavior and interelectrode breakdown voltage of a drift tube</t>
  </si>
  <si>
    <t>https://doi.org/10.1088/1674-1137/39/5/057003</t>
  </si>
  <si>
    <t>NOT MATCHED || Recruitment Program of Global Experts; Thousand Talents Plan; One-Thousand-Talents Program; Thousand Talents Program; 1,000 Talents Plan || NOT MATCHED || NOT MATCHED</t>
  </si>
  <si>
    <t>https://openalex.org/funders/f4320326701</t>
  </si>
  <si>
    <t>Fluorinated diarylamide complexes of uranium(III, IV) incorporating ancillary fluorine-to-uranium dative interactions</t>
  </si>
  <si>
    <t>https://doi.org/10.1039/c2sc21458j</t>
  </si>
  <si>
    <t>University of Pennsylvania; Penn; Universitas Pennsylvaniensis; Upenn || National Science Foundation; U.S. National Science Foundation; USA NSF; USNSF; NSF; US National Science Foundation; US NSF</t>
  </si>
  <si>
    <t>https://openalex.org/funders/f4320306076 || https://openalex.org/funders/f4320309370</t>
  </si>
  <si>
    <t>Maternal obesity prevention: The Health in Preconception, Pregnancy, and Postpartum Early- and Mid-Career Researcher Collective</t>
  </si>
  <si>
    <t>https://doi.org/10.1111/ajo.13316</t>
  </si>
  <si>
    <t>NOT MATCHED || NOT MATCHED || National Health and Medical Research Council; NHMRC || NOT MATCHED || Hunter Medical Research Institute; HMRI || NOT MATCHED || Royal Hobart Hospital Research Foundation; The RHH Research Foundation; The Royal Hobart Hospital Research Foundation; Royal Hobart Hospital Research Foundation (inc); ROYAL HOBART HOSPITAL RESEARCH FOUNDATION INC; RHHRF; Royal Hobart Hospital Research Foundation Incorporated; RHH Research Foundation || National Heart Foundation of Australia; Heart Foundation</t>
  </si>
  <si>
    <t>https://openalex.org/funders/f4320313579 || https://openalex.org/funders/f4320334705 || https://openalex.org/funders/f4320320442 || https://openalex.org/funders/f4320320489</t>
  </si>
  <si>
    <t>Electromigration Damage Characterization in Sn-3.9Ag-0.7Cu and Sn-3.9Ag-0.7Cu-0.5Ce Solder Joints by Three-Dimensional X-ray Tomography and Scanning Electron Microscopy</t>
  </si>
  <si>
    <t>https://doi.org/10.1007/s11664-013-2667-z</t>
  </si>
  <si>
    <t>Semiconductor Research Corporation; Semiconductor Research Corp.; SRC; Semiconductor Research Corp</t>
  </si>
  <si>
    <t>https://openalex.org/funders/f4320306087</t>
  </si>
  <si>
    <t>A Single-Molecule Magnet Tetranuclear [(Mn3MnO3Cl)-Mn-III-O-IV] Complex with Bis(diisopropylphosphinyl) imide Ligands</t>
  </si>
  <si>
    <t>https://doi.org/10.1007/s10876-018-1442-y</t>
  </si>
  <si>
    <t>Nuclear matter equation of state from a quark-model nucleon-nucleon interaction</t>
  </si>
  <si>
    <t>https://doi.org/10.1103/PhysRevC.92.065802</t>
  </si>
  <si>
    <t>European Cooperation in Science and Technology; COST; European Cooperation in Science &amp; Technology; The European Cooperation in Science and Technology</t>
  </si>
  <si>
    <t>https://openalex.org/funders/f4320320366</t>
  </si>
  <si>
    <t>Kinematics of suction feeding in the seahorse Hippocampus reidi</t>
  </si>
  <si>
    <t>https://doi.org/10.1242/jeb.033050</t>
  </si>
  <si>
    <t>Biological E (India); BE; Biological Products || NOT MATCHED</t>
  </si>
  <si>
    <t>https://openalex.org/institutions/i4210096236</t>
  </si>
  <si>
    <t>On-surface synthesis of ethers through dehydrative coupling of hydroxymethyl substituents</t>
  </si>
  <si>
    <t>https://doi.org/10.1039/d2cp03073j</t>
  </si>
  <si>
    <t>Direct White Light Emission from Ultrasmall Europium Nanocrystals</t>
  </si>
  <si>
    <t>https://doi.org/10.1021/acssuschemeng.0c02813</t>
  </si>
  <si>
    <t>Protective effects of kaempferol against cardiac sinus node dysfunction via CaMKII deoxidization</t>
  </si>
  <si>
    <t>https://doi.org/10.5115/acb.2015.48.4.235</t>
  </si>
  <si>
    <t>Quantum Susceptibilities in Time-Domain Sampling of Electric Field Fluctuations</t>
  </si>
  <si>
    <t>https://doi.org/10.1002/lpor.202100423</t>
  </si>
  <si>
    <t>National Science Foundation; U.S. National Science Foundation; USA NSF; USNSF; NSF; US National Science Foundation; US NSF || Universität Konstanz; University of Konstanz || Baden-Württemberg Stiftung; BW Stiftung; Landesstiftung Baden-Württemberg; Baden-Württemberg Foundation; Baden-Württemberg Stiftung gGmbH; BWS; Baden-Württemberg Foundation gGmbH || National Research Foundation of Korea; NRF; 한국연구재단이 창의적 연구와 || Deutsche Forschungsgemeinschaft; German Research Association; DFG; German Research Foundation</t>
  </si>
  <si>
    <t>https://openalex.org/funders/f4320306076 || https://openalex.org/funders/f4320326505 || https://openalex.org/funders/f4320322120 || https://openalex.org/funders/f4320320879 || https://openalex.org/funders/f4320310414</t>
  </si>
  <si>
    <t>Risk of urinary stones among women with pelvic organ prolapse: A national population-based cohort study</t>
  </si>
  <si>
    <t>https://doi.org/10.1111/iju.13702</t>
  </si>
  <si>
    <t>Ministry of Health and Welfare; 衛生福利部; Ministry of Health and Welfare, Taiwan; MOHW || China Medical University; CMU; 中國醫藥大學; China Medical College || NOT MATCHED || NOT MATCHED || NOT MATCHED || NOT MATCHED</t>
  </si>
  <si>
    <t>https://openalex.org/funders/f4320310848 || https://openalex.org/institutions/i184693016</t>
  </si>
  <si>
    <t>The challenge of delineating biogeographical regions: nestedness matters for Indo-Pacific coral reef fishes</t>
  </si>
  <si>
    <t>https://doi.org/10.1111/jbi.12194</t>
  </si>
  <si>
    <t>Fondation pour la Recherche sur la Biodiversite; Fondation pour la Recherche sur la Biodiversité; Foundation for Research on Biodiversity; FRB || Australian Research Council; The Australian Research Council; ARC || NOT MATCHED</t>
  </si>
  <si>
    <t>https://openalex.org/funders/f4320334704 || https://openalex.org/funders/f4320321735</t>
  </si>
  <si>
    <t>Biological parameters and fertility life table of Aphisspiraecola Patch, 1914 (Hemiptera: Aphididae) on different hosts</t>
  </si>
  <si>
    <t>https://doi.org/10.1007/s12600-022-01005-2</t>
  </si>
  <si>
    <t>A triangular radial cubic spline deformation model for efficient 3D beating heart tracking</t>
  </si>
  <si>
    <t>https://doi.org/10.1007/s11760-017-1090-y</t>
  </si>
  <si>
    <t>The role of speech fidelity in the irrelevant sound effect: Insights from noise-vocoded speech backgrounds</t>
  </si>
  <si>
    <t>https://doi.org/10.1177/1747021817739257</t>
  </si>
  <si>
    <t>SHyLoC 2.0: A Versatile Hardware Solution for On-Board Data and Hyperspectral Image Compression on Future Space Missions</t>
  </si>
  <si>
    <t>https://doi.org/10.1109/ACCESS.2020.2980767</t>
  </si>
  <si>
    <t>European Space Agency; ESA || NOT MATCHED</t>
  </si>
  <si>
    <t>https://openalex.org/funders/f4320318240</t>
  </si>
  <si>
    <t>Osteopontin promotes gastric cancer metastasis by augmenting cell survival and invasion through Akt-mediated HIF-1 alpha up-regulation and MMP9 activation</t>
  </si>
  <si>
    <t>https://doi.org/10.1111/j.1582-4934.2008.00540.x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</si>
  <si>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Program for New Century Excellent Talents in University; New Century Excellent Talents Program; Program for New Century Excellent Talents; NCET || Xiamen University; XMU</t>
  </si>
  <si>
    <t>https://openalex.org/funders/f4320334924 || https://openalex.org/funders/f4320325434 || https://openalex.org/funders/f4320321001</t>
  </si>
  <si>
    <t>Design, synthesis and DNA interactions of a chimera between a platinum complex and an IHF mimicking peptide</t>
  </si>
  <si>
    <t>https://doi.org/10.1039/c5ob01885d</t>
  </si>
  <si>
    <t>Deutsche Forschungsgemeinschaft; German Research Association; DFG; German Research Foundation || Swedish Cancer Foundation || Vetenskapsrådet; VR; Swedish Research Council || NOT MATCHED</t>
  </si>
  <si>
    <t>https://openalex.org/funders/f4320322581 || https://openalex.org/funders/f4320320879 || https://openalex.org/funders/f4320313607</t>
  </si>
  <si>
    <t>Reactive gliosis in Alzheimer's disease: a crucial role for cognitive impairment and memory loss</t>
  </si>
  <si>
    <t>https://doi.org/10.1007/s11011-022-00953-2</t>
  </si>
  <si>
    <t>Fixed-time position coordinated tracking control for spacecraft formation flying with collision avoidance</t>
  </si>
  <si>
    <t>https://doi.org/10.1016/j.cja.2020.12.024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</si>
  <si>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NOT MATCHED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</t>
  </si>
  <si>
    <t>Investigation of interaction between thermodynamic processes and pressure pulsation based on transient CFD model of a reciprocating compressor</t>
  </si>
  <si>
    <t>https://doi.org/10.1177/09544089211004724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</si>
  <si>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China Postdoctoral Science Foundation || Natural Science Foundation of Shaanxi Province; Shaanxi Province Natural Science Foundation</t>
  </si>
  <si>
    <t>https://openalex.org/funders/f4320324173 || https://openalex.org/funders/f4320321001 || https://openalex.org/funders/f4320321543</t>
  </si>
  <si>
    <t>Microsurgical training course for clinicians and scientists: a 10-year experience at the Munster University Hospital</t>
  </si>
  <si>
    <t>https://doi.org/10.1186/s12909-021-02737-1</t>
  </si>
  <si>
    <t>Observation of photon-pair generation in the normal group-velocity-dispersion regime with slight detuning from the pump wavelength</t>
  </si>
  <si>
    <t>https://doi.org/10.1088/1367-2630/aae172</t>
  </si>
  <si>
    <t>NOT MATCHED || National Research Foundation of Korea; NRF; 한국연구재단이 창의적 연구와</t>
  </si>
  <si>
    <t>A method for the detection of alcohol vapours based on optical sensing of magnesium 5,10,15,20-tetraphenyl porphyrin thin film by an optical spectrometer and principal component analysis</t>
  </si>
  <si>
    <t>https://doi.org/10.1016/j.aca.2012.10.054</t>
  </si>
  <si>
    <t>Mahidol University; มหาวิทยาลัยมหิดล; MU || National Nanotechnology Center; NANOTEC || Office of the Higher Education Commission; Office of Higher Education Commission, Thailand; Office of Higher Education Commission; OHEC</t>
  </si>
  <si>
    <t>https://openalex.org/funders/f4320324123 || https://openalex.org/funders/f4320322401 || https://openalex.org/funders/f4320333332</t>
  </si>
  <si>
    <t>A pilot study of a systematic method for translating patient satisfaction questionnaires</t>
  </si>
  <si>
    <t>https://doi.org/10.1111/j.1365-2648.2010.05569.x</t>
  </si>
  <si>
    <t>NOT MATCHED || China Medical Board; CMB || National Health and Family Planning Commission of the People's Republic of China; Ministry of Health of China; Chinese Health and Family Planning Committee; National Health and Family Planning Commission || National Institute of Nursing Research; NINR; National Institute of Nursing Research National Institutes of Health || European Commission; Europeiska kommissionen; Ευρωπαϊκής Επιτροπής; Comisia Europeană; Europese Commissie; Euroopa Komisjoni; Eiropas Komisiju; Euroopan komission; Europskoj komisiji; EU; Choimisiúin Eorpaigh; EU-Kommissionen; Evropski komisiji; EC; Comisión Europea; Europos Komisijos; Europäische Kommission; La Commissione europea; Evropské komise; Comissão Europeia; Európskej komisii; Европейската комисия; Európai Bizottságról; Komisja Europejska; Commissione europea; European Union; Commission européenne || National Institute of Nursing Research; NINR; National Institute of Nursing Research National Institutes of Health</t>
  </si>
  <si>
    <t>https://openalex.org/funders/f4320337353 || https://openalex.org/funders/f4320322735 || https://openalex.org/funders/f4320320300 || https://openalex.org/funders/f4320306650</t>
  </si>
  <si>
    <t>A feasibility study of the biologically inspired green manufacturing of precipitated silica</t>
  </si>
  <si>
    <t>https://doi.org/10.1016/j.cej.2014.01.071</t>
  </si>
  <si>
    <t>Department of Chemical and Process Engineering, University of Surrey; Department of Chemical &amp; Process Engineering; Department of Chemical and Process Engineering; CPE || NOT MATCHED || NOT MATCHED || Engineering and Physical Sciences Research Council; EPSRC</t>
  </si>
  <si>
    <t>https://openalex.org/funders/f4320334627 || https://openalex.org/funders/f4320336849</t>
  </si>
  <si>
    <t>Cigarette smoking hinders human periodontal ligament-derived stem cell proliferation, migration and differentiation potentials</t>
  </si>
  <si>
    <t>https://doi.org/10.1038/srep07828</t>
  </si>
  <si>
    <t>Research Grants Council, University Grants Committee; 研究資助局; 研究資助局 || NOT MATCHED || NOT MATCHED || NOT MATCHED</t>
  </si>
  <si>
    <t>https://openalex.org/funders/f4320321592</t>
  </si>
  <si>
    <t>Efficacy and safety of long pulse Nd:YAG laser versus fractional erbium:YAG laser in the treatment of facial skin wrinkles</t>
  </si>
  <si>
    <t>https://doi.org/10.1007/s10103-018-2614-6</t>
  </si>
  <si>
    <t>Efficacy of an AS03(A)-adjuvanted split H5N1 influenza vaccine against an antigenically distinct low pathogenic H5N1 virus in pigs</t>
  </si>
  <si>
    <t>https://doi.org/10.1016/j.vaccine.2012.06.028</t>
  </si>
  <si>
    <t>GlaxoSmithKline (Belgium); GSK</t>
  </si>
  <si>
    <t>https://openalex.org/institutions/i4210095529</t>
  </si>
  <si>
    <t>All-solid-state electrochromic devices based on the LiAlSiO4 electrolyte</t>
  </si>
  <si>
    <t>https://doi.org/10.1016/j.matlet.2021.129592</t>
  </si>
  <si>
    <t>Converging for deterring land abandonment: a systematization of experiences of a rural grassroots innovation</t>
  </si>
  <si>
    <t>https://doi.org/10.1093/cdj/bsv051</t>
  </si>
  <si>
    <t>European Commission; Europeiska kommissionen; Ευρωπαϊκής Επιτροπής; Comisia Europeană; Europese Commissie; Euroopa Komisjoni; Eiropas Komisiju; Euroopan komission; Europskoj komisiji; EU; Choimisiúin Eorpaigh; EU-Kommissionen; Evropski komisiji; EC; Comisión Europea; Europos Komisijos; Europäische Kommission; La Commissione europea; Evropské komise; Comissão Europeia; Európskej komisii; Европейската комисия; Európai Bizottságról; Komisja Europejska; Commissione europea; European Union; Commission européenne || Fundação para a Ciência e a Tecnologia; FCT; Portuguese Science and Technology Foundation; Foundation for Science and Technology</t>
  </si>
  <si>
    <t>https://openalex.org/funders/f4320334779 || https://openalex.org/funders/f4320320300</t>
  </si>
  <si>
    <t>Long-term multimodal imaging in acute posterior multifocal placoid pigment epitheliopathy and association with coxsackievirus exposure</t>
  </si>
  <si>
    <t>https://doi.org/10.1371/journal.pone.0238080</t>
  </si>
  <si>
    <t>Research to Prevent Blindness; Research to Prevent Blindness, Inc; Research To Prevent Blindness, Inc.; RESEARCH TO PREVENT BLINDNESS INC; RPB || NOT MATCHED || National Eye Institute; NIH\/National Eye Institute; The National Eye Institute; NEI; Instituto Nacional del Ojo</t>
  </si>
  <si>
    <t>Influence of Abiotic Stress Factors on the Antioxidant Properties and Polyphenols Profile Composition of Green Barley (Hordeum vulgare L.)</t>
  </si>
  <si>
    <t>https://doi.org/10.3390/ijms21020397</t>
  </si>
  <si>
    <t>Narodowym Centrum Nauki; NCN; National Science Centre; National Science Centre, Poland</t>
  </si>
  <si>
    <t>Plasmonic Hybrid Nanocomposites for Plasmon-Enhanced Fluorescence and Their Biomedical Applications</t>
  </si>
  <si>
    <t>https://doi.org/10.1007/978-3-030-29207-2_12</t>
  </si>
  <si>
    <t>Science and Technology Development Fund; Science, Technology &amp; Innovation Funding Authority, Ministry of Scientific Research; Science &amp; Technology Development Fund; Science, Technology &amp; Innovation Funding Authority; STDF; هيئة تمويل العلوم والتكنولوجيا والابتكار</t>
  </si>
  <si>
    <t>https://openalex.org/funders/f4320321655</t>
  </si>
  <si>
    <t>The LINC complex transmits integrin-dependent tension to the nuclear lamina and represses epidermal differentiation</t>
  </si>
  <si>
    <t>https://doi.org/10.7554/eLife.58541</t>
  </si>
  <si>
    <t>National Institutes of Health; US National Institutes of Health; Institutos Nacionales de la Salud; NIH || American Heart Association; AMERICAN HEART ASSOCIATION INC; AMERICAN HEART ASSN.; American Heart Association, Inc.; AHA; American Heart Assn; AMERICAN HEART ASSOC.; American Heart Association, Inc || Ludwig Family Foundation; The Ludwig Family Foundation, Inc.; The Ludwig Family Foundation Inc; The Ludwig Family Foundation</t>
  </si>
  <si>
    <t>https://openalex.org/funders/f4320332161 || https://openalex.org/funders/f4320317924 || https://openalex.org/funders/f4320306230</t>
  </si>
  <si>
    <t>Trace element characteristics of magnetite: Constraints on the genesis of the Lengshuikeng Ag-Pb-Zn deposit, China</t>
  </si>
  <si>
    <t>https://doi.org/10.1016/j.oregeorev.2020.103943</t>
  </si>
  <si>
    <t>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</t>
  </si>
  <si>
    <t>Fabrication of adenosine 5 '-triphosphate-capped silver nanoparticles: Enhanced cytotoxicity efficacy and targeting effect against tumor cells</t>
  </si>
  <si>
    <t>https://doi.org/10.1016/j.procbio.2017.11.003</t>
  </si>
  <si>
    <t>Ferdowsi University of Mashhad; FUM; دانشگاه فردوسی مشهد</t>
  </si>
  <si>
    <t>Budget impact analysis of long-acting injectable antipsychotic treatments in schizophrenic patients in Sweden</t>
  </si>
  <si>
    <t>https://doi.org/10.1016/j.euroneuro.2019.09.720</t>
  </si>
  <si>
    <t>Cilag; Cilag AG; Janssen-Cilag</t>
  </si>
  <si>
    <t>https://openalex.org/funders/f4320338413</t>
  </si>
  <si>
    <t>ACTIVELY FORMED GOLD DUAL ANCHOR STRUCTURES-BASED RF MEMS TUNABLE CAPACITOR</t>
  </si>
  <si>
    <t>https://doi.org/10.1002/mop.29109</t>
  </si>
  <si>
    <t>Ciclosporin A therapy is associated with disturbances in glucose metabolism in dogs with atopic dermatitis</t>
  </si>
  <si>
    <t>https://doi.org/10.1111/j.1365-3164.2010.00935.x</t>
  </si>
  <si>
    <t>Petplan Charitable Trust</t>
  </si>
  <si>
    <t>https://openalex.org/funders/f4320311268</t>
  </si>
  <si>
    <t>A meta-analysis of transcriptome datasets characterizes malignant transformation from melanocytes and nevi to melanoma</t>
  </si>
  <si>
    <t>https://doi.org/10.3892/ol.2018.8861</t>
  </si>
  <si>
    <t>Synchronous flowering times and asymmetrical hybridization in Typha latifolia and T-angustifolia in northeastern North America</t>
  </si>
  <si>
    <t>https://doi.org/10.1016/j.aquabot.2012.08.006</t>
  </si>
  <si>
    <t>The COVID-19 pandemic necessitates a shift to a plastic circular economy</t>
  </si>
  <si>
    <t>https://doi.org/10.1038/s43017-021-00223-2</t>
  </si>
  <si>
    <t>National Research Foundation of Korea; NRF; 한국연구재단이 창의적 연구와 || NOT MATCHED || NOT MATCHED</t>
  </si>
  <si>
    <t>Asymmetric Michael Addition of Ketones to Nitroolefins Catalyzed by a Novel Chiral Pyrrolidine-Thiourea in the Ionic Liquid</t>
  </si>
  <si>
    <t>https://doi.org/10.5012/bkcs.2013.34.11.3179</t>
  </si>
  <si>
    <t>Korean Chemical Society; KCS</t>
  </si>
  <si>
    <t>https://openalex.org/institutions/i4210105001</t>
  </si>
  <si>
    <t>Three monthly doses of 150,000 IU of oral cholecalciferol correct vitamin D deficiency in adolescents: A pragmatic study</t>
  </si>
  <si>
    <t>https://doi.org/10.1111/ijcp.14989</t>
  </si>
  <si>
    <t>Université de Genève; University of Geneva; UNIGE || Université de Genève; University of Geneva; UNIGE</t>
  </si>
  <si>
    <t>https://openalex.org/funders/f4320323830</t>
  </si>
  <si>
    <t>Preparation of InAs(001) surface for spin injection via a chemical route</t>
  </si>
  <si>
    <t>https://doi.org/10.1088/0022-3727/40/10/024</t>
  </si>
  <si>
    <t>Iterative Design and Implementation of Rapid Gradient Descent Method</t>
  </si>
  <si>
    <t>https://doi.org/10.1007/978-3-030-20912-4_48</t>
  </si>
  <si>
    <t>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 || Key Research and Development Projects of Shaanxi Province; Shaanxi Province Key R&amp;D Program; 陕西省重点研发计划; Key Research and Development Program of Shaanxi || Education Department of Shaanxi Province; Shaanxi Provincial Education Department; Education Department of Shaanxi Provincial Government; Department of Education, Shaanxi Province; Department of Education of Shaanxi Province; 陕西省教育厅; Shaanxi Provincial Department of Education; Education Bureau of Shaanxi Province || China Postdoctoral Science Foundation || Specialized Research Fund for the Doctoral Program of Higher Education of China; Research Fund for the Doctoral Program of Higher Education of China; SRFDP; Specialized Research Fund for the Doctoral Program of Higher Education; Specialized Research Fund for the Doctoral Program of Higher Education (SRFDP) of the Ministry of Education of China; Research Fund for the Doctoral Program of Higher Education</t>
  </si>
  <si>
    <t>https://openalex.org/funders/f4320336350 || https://openalex.org/funders/f4320321543 || https://openalex.org/funders/f4320335777 || https://openalex.org/funders/f4320336024 || https://openalex.org/funders/f4320325627</t>
  </si>
  <si>
    <t>Assessment of carotid stenosis using three-dimensional T2-weighted dark blood imaging: Initial experience</t>
  </si>
  <si>
    <t>https://doi.org/10.1002/jmri.22839</t>
  </si>
  <si>
    <t>Flame Image Velocimetry Analysis of Flame Front Turbulence and Growth Rate in an Optical Direct-Injection Spark-Ignition Engine</t>
  </si>
  <si>
    <t>https://doi.org/10.4271/03-15-05-0036</t>
  </si>
  <si>
    <t>NOT MATCHED || Australian Research Council; The Australian Research Council; ARC</t>
  </si>
  <si>
    <t>Self-induced stochastic resonance in an excitable potential well</t>
  </si>
  <si>
    <t>https://doi.org/10.1016/j.physleta.2021.127520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</si>
  <si>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Priority Academic Program Development of Jiangsu Higher Education Institutions; PAPD || State Key Laboratory of Mechanics and Control of Mechanical Structures; SKLMCMS</t>
  </si>
  <si>
    <t>https://openalex.org/funders/f4320327518 || https://openalex.org/funders/f4320327014 || https://openalex.org/funders/f4320321001</t>
  </si>
  <si>
    <t>Musculoskeletal pain in elite professional musicians from British symphony orchestras</t>
  </si>
  <si>
    <t>https://doi.org/10.1093/occmed/kqr129</t>
  </si>
  <si>
    <t>Colt Foundation; The Colt Foundation || Medical Research Council; MRC; UK Medical Research Council || Medical Research Council; MRC; UK Medical Research Council</t>
  </si>
  <si>
    <t>https://openalex.org/funders/f4320334626 || https://openalex.org/funders/f4320320340</t>
  </si>
  <si>
    <t>Improved Corrosion Protection of Acrylic Waterborne Coating by Doping with Microencapsulated Corrosion Inhibitors</t>
  </si>
  <si>
    <t>https://doi.org/10.3390/coatings11091134</t>
  </si>
  <si>
    <t>NOT MATCHED || University of Akron; UA</t>
  </si>
  <si>
    <t>https://openalex.org/funders/f4320310824</t>
  </si>
  <si>
    <t>funder_display_name</t>
  </si>
  <si>
    <t>Prince Sultan University</t>
  </si>
  <si>
    <t>Universiteit Stellenbosch;National Agricultural Research Foundation;Rhodes University</t>
  </si>
  <si>
    <t>Education Department of Jiangxi Province;National Natural Science Foundation of China</t>
  </si>
  <si>
    <t>Deutsche Forschungsgemeinschaft</t>
  </si>
  <si>
    <t>China Postdoctoral Science Foundation;National Natural Science Foundation of China;Natural Science Foundation of Guangdong Province;Natural Science Foundation of Hainan Province</t>
  </si>
  <si>
    <t>National Natural Science Foundation of China;Xuzhou Science and Technology Bureau;Jiangsu Provincial Department of Education</t>
  </si>
  <si>
    <t>Narodowe Centrum Nauki</t>
  </si>
  <si>
    <t>National Natural Science Foundation of China</t>
  </si>
  <si>
    <t>European Research Council;Foundation for Fundamental Research on Matter</t>
  </si>
  <si>
    <t>Monash University</t>
  </si>
  <si>
    <t>National Health and Medical Research Council</t>
  </si>
  <si>
    <t>National Research Foundation of Korea</t>
  </si>
  <si>
    <t>Guangdong Office of Philosophy and Social Science</t>
  </si>
  <si>
    <t>Ministerio de Asuntos Económicos y Transformación Digital, Gobierno de España</t>
  </si>
  <si>
    <t>Key Research Program of Frontier Science, Chinese Academy of Sciences;Natural Science Foundation of Fujian Province;National Natural Science Foundation of China</t>
  </si>
  <si>
    <t>National Research Program for Biopharmaceuticals</t>
  </si>
  <si>
    <t>Ministry of Health and Welfare;Ministry of Science and Technology, Taiwan;National Cheng Kung University Hospital</t>
  </si>
  <si>
    <t>Fonds De La Recherche Scientifique - FNRS;Agence Nationale de la Recherche;Université Catholique de Louvain</t>
  </si>
  <si>
    <t>Korea Electric Power Corporation</t>
  </si>
  <si>
    <t>Coordenação de Aperfeiçoamento de Pessoal de Nível Superior;Fundação de Amparo à Pesquisa do Estado de São Paulo;Conselho Nacional de Desenvolvimento Científico e Tecnológico</t>
  </si>
  <si>
    <t>Office of Environmental Management;Biological and Environmental Research</t>
  </si>
  <si>
    <t>Universiti Teknologi Petronas</t>
  </si>
  <si>
    <t>National Institutes of Health</t>
  </si>
  <si>
    <t>National Natural Science Foundation of China;Division of Chemistry</t>
  </si>
  <si>
    <t>European Social Fund;European Commission</t>
  </si>
  <si>
    <t>China Scholarship Council;Nederlandse Organisatie voor Wetenschappelijk Onderzoek</t>
  </si>
  <si>
    <t>Fondo Nacional de Desarrollo Científico y Tecnológico</t>
  </si>
  <si>
    <t>Danmarks Frie Forskningsfond;Villum Fonden</t>
  </si>
  <si>
    <t>Herman Frasch Foundation for Chemical Research;National Science Foundation;National Institute of General Medical Sciences</t>
  </si>
  <si>
    <t>Karlsruhe Institute of Technology;Bundesministerium für Bildung und Forschung;Seventh Framework Programme</t>
  </si>
  <si>
    <t>National Science Foundation;Air Force Office of Scientific Research</t>
  </si>
  <si>
    <t>Japan Society for the Promotion of Science</t>
  </si>
  <si>
    <t>U.S. Department of Defense</t>
  </si>
  <si>
    <t>Türkiye Bilimsel ve Teknolojik Araştırma Kurumu;Sakarya Üniversitesi</t>
  </si>
  <si>
    <t>Engineering and Physical Sciences Research Council</t>
  </si>
  <si>
    <t>Deutsche Forschungsgemeinschaft;Helmholtz-Gemeinschaft</t>
  </si>
  <si>
    <t>Fundação de Amparo à Pesquisa do Estado de Minas Gerais;Conselho Nacional de Desenvolvimento Científico e Tecnológico</t>
  </si>
  <si>
    <t>Women's Foundation of Minnesota</t>
  </si>
  <si>
    <t>Foundation for Innovative Research Groups of the National Natural Science Foundation of China</t>
  </si>
  <si>
    <t>China Postdoctoral Science Foundation;Government of Jiangsu Province;Division of Chemical, Bioengineering, Environmental, and Transport Systems;Louisiana Space Consortium;National Natural Science Foundation of China</t>
  </si>
  <si>
    <t>Coordenação de Aperfeiçoamento de Pessoal de Nível Superior;Fundação de Amparo à Pesquisa do Estado de São Paulo;Conselho Nacional de Desenvolvimento Científico e Tecnológico;Fonds Wetenschappelijk Onderzoek</t>
  </si>
  <si>
    <t>State Atomic Energy Corporation ROSATOM;National Natural Science Foundation of China;Department of Science and Technology, Ministry of Science and Technology, India;Nuclear Physics;Ministry of Education of the People's Republic of China;Ministry of Science and Technology of the People's Republic of China;Ministry of Education and Science of the Russian Federation;Ministarstvo Znanosti, Obrazovanja i Sporta;Department of Atomic Energy, Government of India;National Science Foundation;Helmholtz Association;Bundesministerium für Bildung und Forschung;Chinese Academy of Sciences;National Research Foundation of Korea;Narodowe Centrum Nauki</t>
  </si>
  <si>
    <t>Council of Scientific and Industrial Research, India;Science and Engineering Research Board;Indian Institute of Technology Indore;Ministry of Education, India</t>
  </si>
  <si>
    <t>Consejo Nacional de Ciencia y Tecnología;Canada Foundation for Innovation;Natural Sciences and Engineering Research Council of Canada;Directorate-General for Research and Innovation;Fonds Québécois de la Recherche sur la Nature et les Technologies;Division of Materials Research</t>
  </si>
  <si>
    <t>Office of Naval Research;Advanced Research Projects Agency - Energy;National Science Foundation</t>
  </si>
  <si>
    <t>National Natural Science Foundation of China;Natural Science Foundation of Fujian Province</t>
  </si>
  <si>
    <t>Welch Foundation;Division of Chemistry</t>
  </si>
  <si>
    <t>Cancer Research UK;Wellcome;Medical Research Council</t>
  </si>
  <si>
    <t>Fundamental Research Funds for the Central Universities;National Natural Science Foundation of China</t>
  </si>
  <si>
    <t>Fundamental Research Funds for the Central Universities;National Natural Science Foundation of China;Natural Science Foundation of Hubei Province</t>
  </si>
  <si>
    <t>Griffith University</t>
  </si>
  <si>
    <t>Israel Science Foundation</t>
  </si>
  <si>
    <t>National Natural Science Foundation of China;Lanzhou University</t>
  </si>
  <si>
    <t>Christian Doppler Forschungsgesellschaft;European Commission</t>
  </si>
  <si>
    <t>National Natural Science Foundation of China;National Institutes of Health</t>
  </si>
  <si>
    <t>National Natural Science Foundation of China;Youth Innovation Promotion Association of the Chinese Academy of Sciences</t>
  </si>
  <si>
    <t>National Key Research and Development Program of China;National Natural Science Foundation of China;Fundamental Research Funds for the Central Universities</t>
  </si>
  <si>
    <t>Ministère des Forêts, de la Faune et des Parcs</t>
  </si>
  <si>
    <t>National Institutes of Health;National Institute of Mental Health</t>
  </si>
  <si>
    <t>Ministry of Education, Culture, Sports, Science and Technology</t>
  </si>
  <si>
    <t>National Center for Complementary and Integrative Health;National Cancer Institute</t>
  </si>
  <si>
    <t>National Science Council</t>
  </si>
  <si>
    <t>Ministry of Health, Labour and Welfare</t>
  </si>
  <si>
    <t>American Chemical Society Petroleum Research Fund;Ministry of Education and Science of the Republic of Kazakhstan</t>
  </si>
  <si>
    <t>Natural Science Foundation of Hebei Province;National Natural Science Foundation of China</t>
  </si>
  <si>
    <t>European Social Fund</t>
  </si>
  <si>
    <t>Ministerio de Educación, Cultura y Deporte;Federación Española de Enfermedades Raras;Académie de recherche et d'enseignement supérieur</t>
  </si>
  <si>
    <t>National Natural Science Foundation of China-Yunnan Joint Fund</t>
  </si>
  <si>
    <t>Australian Research Council</t>
  </si>
  <si>
    <t>National Center for Advancing Translational Sciences</t>
  </si>
  <si>
    <t>Natural Sciences and Engineering Research Council of Canada</t>
  </si>
  <si>
    <t>Ministerio de Ciencia, Tecnología y Medio Ambiente</t>
  </si>
  <si>
    <t>Met Office</t>
  </si>
  <si>
    <t>Conselho Nacional de Desenvolvimento Científico e Tecnológico;Fundação de Amparo à Pesquisa do Estado de São Paulo</t>
  </si>
  <si>
    <t>Hunan Provincial Innovation Foundation for Postgraduate;National Natural Science Foundation of China</t>
  </si>
  <si>
    <t>Prinses Beatrix Spierfonds</t>
  </si>
  <si>
    <t>China Agricultural Research System;National Natural Science Foundation of China</t>
  </si>
  <si>
    <t>H2020 European Research Council;Office of Naval Research;Air Force Office of Scientific Research;Army Research Office</t>
  </si>
  <si>
    <t>Australian Research Council;Centre National de la Recherche Scientifique</t>
  </si>
  <si>
    <t>Ministerio de Economía y Competitividad;Consejo Nacional de Investigaciones Científicas y Técnicas;Fondo para la Investigación Científica y Tecnológica</t>
  </si>
  <si>
    <t>National Natural Science Foundation of China;Natural Sciences and Engineering Research Council of Canada;Natural Science Foundation of Zhejiang Province</t>
  </si>
  <si>
    <t>National Research Centre</t>
  </si>
  <si>
    <t>Chinese Government Scholarship</t>
  </si>
  <si>
    <t>Fonds Wetenschappelijk Onderzoek</t>
  </si>
  <si>
    <t>National Natural Science Foundation of China;National Key Research and Development Program of China</t>
  </si>
  <si>
    <t>Universidade Federal de Santa Catarina</t>
  </si>
  <si>
    <t>National Institute for Health and Care Research</t>
  </si>
  <si>
    <t>Ministerio de Economía y Competitividad;Comunidad de Madrid</t>
  </si>
  <si>
    <t>Technology Strategy Board</t>
  </si>
  <si>
    <t>National Natural Science Foundation of China;Recruitment Program of Global Experts;Ministry of Education of the People's Republic of China;China Postdoctoral Science Foundation</t>
  </si>
  <si>
    <t>Defense Advanced Research Projects Agency</t>
  </si>
  <si>
    <t>Australian National University;National Institute of Education;Institute for Advanced Study;Australian Research Council;Queensland University of Technology</t>
  </si>
  <si>
    <t>National Natural Science Foundation of China;Wellcome;Academy of Finland;Biotechnology and Biological Sciences Research Council</t>
  </si>
  <si>
    <t>Norges Forskningsråd</t>
  </si>
  <si>
    <t>Center for Global Connections, Michigan State University;National Institutes of Health</t>
  </si>
  <si>
    <t>National Natural Science Foundation of China;Project 211</t>
  </si>
  <si>
    <t>Austrian Science Fund</t>
  </si>
  <si>
    <t>Australian Government;Government of Western Australia</t>
  </si>
  <si>
    <t>Ministry of Internal Affairs and Communications</t>
  </si>
  <si>
    <t>Huazhong University of Science and Technology</t>
  </si>
  <si>
    <t>National Natural Science Foundation of China;Fundamental Research Funds for the Central Universities</t>
  </si>
  <si>
    <t>National Science Foundation</t>
  </si>
  <si>
    <t>Ministry of Science and Technology, Taiwan</t>
  </si>
  <si>
    <t>Ministerstwo Edukacji i Nauki</t>
  </si>
  <si>
    <t>PetroChina Company Limited;National Key Research and Development Program of China</t>
  </si>
  <si>
    <t>National Institute on Drug Abuse</t>
  </si>
  <si>
    <t>South China University of Technology;National Natural Science Foundation of China;Guangdong Provincial Pearl River Talents Program</t>
  </si>
  <si>
    <t>National Natural Science Foundation of China;Shanghai Municipal Education Commission</t>
  </si>
  <si>
    <t>Natural Science Foundation of Hebei Province;China Postdoctoral Science Foundation;National Natural Science Foundation of China</t>
  </si>
  <si>
    <t>University of Wisconsin-Madison;Basic Energy Sciences</t>
  </si>
  <si>
    <t>Charles E. Kaufman Foundation;National Institute of General Medical Sciences</t>
  </si>
  <si>
    <t>National Cancer Institute;Cancer Institute NSW</t>
  </si>
  <si>
    <t>Ministerio de Economía y Competitividad</t>
  </si>
  <si>
    <t>National Natural Science Foundation of China;Office of Naval Research;Air Force Office of Scientific Research</t>
  </si>
  <si>
    <t>National Cancer Institute</t>
  </si>
  <si>
    <t>Heinrich Böll Stiftung</t>
  </si>
  <si>
    <t>National Natural Science Foundation of China;Science Challenge Project</t>
  </si>
  <si>
    <t>John Templeton Foundation;National Institutes of Health</t>
  </si>
  <si>
    <t>Ministerio de Ciencia e Innovación;Air Force Office of Scientific Research</t>
  </si>
  <si>
    <t>National Natural Science Foundation of China;China Postdoctoral Science Foundation</t>
  </si>
  <si>
    <t>Chinese Academy of Fishery Sciences</t>
  </si>
  <si>
    <t>Michael J. Fox Foundation for Parkinson's Research;Arizona Department of Health Services;American Lebanese Syrian Associated Charities;Arizona Biomedical Research Commission</t>
  </si>
  <si>
    <t>Youth Innovation Promotion Association of the Chinese Academy of Sciences;Chinese Academy of Sciences;National Science Foundation;National Natural Science Foundation of China</t>
  </si>
  <si>
    <t>National Science Foundation;Basic Energy Sciences</t>
  </si>
  <si>
    <t>Nederlandse Organisatie voor Wetenschappelijk Onderzoek</t>
  </si>
  <si>
    <t>Fundação de Amparo à Pesquisa do Estado de Goiás;Conselho Nacional de Desenvolvimento Científico e Tecnológico</t>
  </si>
  <si>
    <t>Coordenação de Aperfeiçoamento de Pessoal de Nível Superior</t>
  </si>
  <si>
    <t>Natural Sciences and Engineering Research Council of Canada;Canadian Institutes of Health Research</t>
  </si>
  <si>
    <t>Alexander von Humboldt-Stiftung;National Natural Science Foundation of China;Specialized Research Fund for the Doctoral Program of Higher Education of China;National Key Research and Development Program of China</t>
  </si>
  <si>
    <t>Shanghai Jiao Tong University;National Natural Science Foundation of China</t>
  </si>
  <si>
    <t>National Natural Science Foundation of China;Ministry of Education of the People's Republic of China</t>
  </si>
  <si>
    <t>Deutsche Forschungsgemeinschaft;Royal Society</t>
  </si>
  <si>
    <t>Medical Research Council;Public Health Research Programme</t>
  </si>
  <si>
    <t>U.S. National Library of Medicine;National Institutes of Health</t>
  </si>
  <si>
    <t>National Science Foundation of Sri Lanka</t>
  </si>
  <si>
    <t>National Key Research and Development Program of China;National Natural Science Foundation of China;Chinese Academy of Sciences;National Office for Philosophy and Social Sciences</t>
  </si>
  <si>
    <t>National Natural Science Foundation of China;State Key Laboratory of Advanced Design and Manufacturing for Vehicle Body;Australian Research Council</t>
  </si>
  <si>
    <t>Conselho Nacional de Desenvolvimento Científico e Tecnológico;Coordenação de Aperfeiçoamento de Pessoal de Nível Superior;Fundação Ary Frauzino para Pesquisa e Controle do Câncer;Fundação Carlos Chagas Filho de Amparo à Pesquisa do Estado do Rio de Janeiro;Laboratório Nacional de Luz Síncrotron</t>
  </si>
  <si>
    <t>National Institute of Neurological Disorders and Stroke</t>
  </si>
  <si>
    <t>University of Missouri</t>
  </si>
  <si>
    <t>National Natural Science Foundation of China;Natural Science Foundation of Beijing Municipality</t>
  </si>
  <si>
    <t>Beijing University of Posts and Telecommunications;National Natural Science Foundation of China</t>
  </si>
  <si>
    <t>Defence Science and Technology Agency - Singapore;Nanyang Technological University</t>
  </si>
  <si>
    <t>European Cooperation in Science and Technology;Deutsche Forschungsgemeinschaft;Tekes</t>
  </si>
  <si>
    <t>National Research Foundation of Korea;Korea Institute of Energy Technology Evaluation and Planning</t>
  </si>
  <si>
    <t>Deutsche Forschungsgemeinschaft;Alfried Krupp von Bohlen und Halbach-Stiftung</t>
  </si>
  <si>
    <t>National Institute of General Medical Sciences;Howard Hughes Medical Institute;Science Foundation Ireland</t>
  </si>
  <si>
    <t>Ministarstvo Prosvete, Nauke i Tehnološkog Razvoja</t>
  </si>
  <si>
    <t>Hunan Provincial Science and Technology Department</t>
  </si>
  <si>
    <t>National Cancer Institute;National Institutes of Health</t>
  </si>
  <si>
    <t>Institute for Basic Science;Institute of Chemistry, Chinese Academy of Sciences</t>
  </si>
  <si>
    <t>Natural Science Foundation of Inner Mongolia</t>
  </si>
  <si>
    <t>Deanship of Scientific Research, King Saud University</t>
  </si>
  <si>
    <t>Česká Zemědělská Univerzita v Praze</t>
  </si>
  <si>
    <t>Canada Research Chairs;Canadian Cancer Society Research Institute</t>
  </si>
  <si>
    <t>Royal Commission for Jubail and Yanbu</t>
  </si>
  <si>
    <t>National Natural Science Foundation of China;Natural Science Foundation of Jiangsu Province</t>
  </si>
  <si>
    <t>Canadian Institutes of Health Research;AFM-Téléthon</t>
  </si>
  <si>
    <t>Toyota Motor Corporation</t>
  </si>
  <si>
    <t>Science and Engineering Research Board</t>
  </si>
  <si>
    <t>National Key Research and Development Program of China</t>
  </si>
  <si>
    <t>National Institute of Food and Agriculture;Agricultural Research Service</t>
  </si>
  <si>
    <t>National Natural Science Foundation of China;Natural Science Foundation of Yunnan Province</t>
  </si>
  <si>
    <t>Rufford Foundation;Inyuvesi Yakwazulu-Natali</t>
  </si>
  <si>
    <t>Army Research Office;Defense Advanced Research Projects Agency</t>
  </si>
  <si>
    <t>Division of Chemistry</t>
  </si>
  <si>
    <t>Universiti Kebangsaan Malaysia</t>
  </si>
  <si>
    <t>National Institute on Drug Abuse;National Heart, Lung, and Blood Institute;National Human Genome Research Institute;National Institute on Alcohol Abuse and Alcoholism</t>
  </si>
  <si>
    <t>Division of Materials Research</t>
  </si>
  <si>
    <t>Natural Science Foundation of Guangdong Province</t>
  </si>
  <si>
    <t>Natural Environment Research Council;Biotechnology and Biological Sciences Research Council</t>
  </si>
  <si>
    <t>Conselho Nacional de Desenvolvimento Científico e Tecnológico</t>
  </si>
  <si>
    <t>National Institute on Aging;National Institutes of Health</t>
  </si>
  <si>
    <t>European Commission</t>
  </si>
  <si>
    <t>National Center for Genetic Engineering and Biotechnology;National Science and Technology Development Agency</t>
  </si>
  <si>
    <t>National Institutes of Health;Indiana University</t>
  </si>
  <si>
    <t>Science and Engineering Research Board;Department of Science and Technology, Ministry of Science and Technology, India</t>
  </si>
  <si>
    <t>National Institute of Diabetes and Digestive and Kidney Diseases;Department of Veterans' Affairs, Australian Government</t>
  </si>
  <si>
    <t>National Institute of Environmental Health Sciences;Indiana University;National Science Foundation</t>
  </si>
  <si>
    <t>Medical Research Council</t>
  </si>
  <si>
    <t>Conselho Nacional de Desenvolvimento Científico e Tecnológico;Coordenação de Aperfeiçoamento de Pessoal de Nível Superior</t>
  </si>
  <si>
    <t>Agency for Healthcare Research and Quality</t>
  </si>
  <si>
    <t>National Natural Science Foundation of China;Shanghai Rising-Star Program</t>
  </si>
  <si>
    <t>Chinese Academy of Sciences;National Natural Science Foundation of China</t>
  </si>
  <si>
    <t>Aarhus Universitet</t>
  </si>
  <si>
    <t>Fondo Nacional de Desarrollo Científico y Tecnológico;Comisión Nacional de Investigación Científica y Tecnológica</t>
  </si>
  <si>
    <t>Xuchang University</t>
  </si>
  <si>
    <t>Ministry of Food, Agricultural and Livestock</t>
  </si>
  <si>
    <t>Ministry of Science, ICT and Future Planning;National Research Foundation of Korea</t>
  </si>
  <si>
    <t>Bill and Melinda Gates Foundation;Government of Western Australia;Thermo Fisher Scientific;National Endowment for Science Technology and the Arts</t>
  </si>
  <si>
    <t>Fundacja na rzecz Nauki Polskiej</t>
  </si>
  <si>
    <t>Wellcome</t>
  </si>
  <si>
    <t>Natural Science Foundation of Hubei Province;China Scholarship Council;National Natural Science Foundation of China;National Key Research and Development Program of China;Fundamental Research Funds for the Central Universities</t>
  </si>
  <si>
    <t>Russian Foundation for Basic Research;Russian Science Foundation;Ministry of Education and Science of the Russian Federation;New York State Stem Cell Science</t>
  </si>
  <si>
    <t>BHP Billiton;BG Group;Shell;ConocoPhillips;Petrobras;BP;Statoil;Total</t>
  </si>
  <si>
    <t>National Institute on Aging</t>
  </si>
  <si>
    <t>Seventh Framework Programme</t>
  </si>
  <si>
    <t>Ministerstvo Školství, Mládeže a Tělovýchovy;Grantová Agentura České Republiky</t>
  </si>
  <si>
    <t>National Natural Science Foundation of China;Natural Science Foundation of Hebei Province</t>
  </si>
  <si>
    <t>European Molecular Biology Organization;National Institutes of Health</t>
  </si>
  <si>
    <t>Jiangnan University;National Key Research and Development Program of China</t>
  </si>
  <si>
    <t>Legislative-Citizen Commission on Minnesota Resources</t>
  </si>
  <si>
    <t>Ministry of Education, Culture, Sports, Science and Technology;National Institutes of Health;Japan Society for the Promotion of Science</t>
  </si>
  <si>
    <t>Center for AIDS Research, Johns Hopkins University;National Institutes of Health</t>
  </si>
  <si>
    <t>Indiana University</t>
  </si>
  <si>
    <t>Ministry of Education - Singapore;Nanyang Technological University</t>
  </si>
  <si>
    <t>Agency for Science, Technology and Research</t>
  </si>
  <si>
    <t>Vetenskapsrådet;Knut och Alice Wallenbergs Stiftelse;European Research Council</t>
  </si>
  <si>
    <t>Novo Nordisk</t>
  </si>
  <si>
    <t>Natural Science Foundation of Shaanxi Province;Shaanxi University of Science and Technology;China Postdoctoral Science Foundation;National Natural Science Foundation of China</t>
  </si>
  <si>
    <t>Fundação de Amparo à Pesquisa do Estado de São Paulo;Conselho Nacional de Desenvolvimento Científico e Tecnológico</t>
  </si>
  <si>
    <t>Natural Science Foundation of Zhejiang Province;Science and Technology Department of Zhejiang Province;National Natural Science Foundation of China</t>
  </si>
  <si>
    <t>Agencia Nacional de Investigación e Innovación</t>
  </si>
  <si>
    <t>National Research Foundation of Korea;Konkuk University;Ministry of Education</t>
  </si>
  <si>
    <t>Universitat de València;Department of Chemical Engineering, Universiti Teknologi Petronas</t>
  </si>
  <si>
    <t>Camille and Henry Dreyfus Foundation;Howard Hughes Medical Institute;Foundation for the National Institutes of Health</t>
  </si>
  <si>
    <t>World Anti-Doping Agency</t>
  </si>
  <si>
    <t>Institute of Mountain Hazards and Environment;National Natural Science Foundation of China</t>
  </si>
  <si>
    <t>Beijing Municipal Science and Technology Commission;National Natural Science Foundation of China;Ministry of Science and Technology of the People's Republic of China</t>
  </si>
  <si>
    <t>National Research Foundation of Korea;Ministry of Education, Science and Technology</t>
  </si>
  <si>
    <t>Junta de Extremadura;European Regional Development Fund</t>
  </si>
  <si>
    <t>Natural Environment Research Council</t>
  </si>
  <si>
    <t>Ministero dell’Istruzione, dell’Università e della Ricerca;Partnership for Research and Innovation in the Mediterranean Area</t>
  </si>
  <si>
    <t>Basic Energy Sciences</t>
  </si>
  <si>
    <t>Natural Science Foundation of Jilin Province</t>
  </si>
  <si>
    <t>University of Reading</t>
  </si>
  <si>
    <t>National Foundation for Science and Technology Development</t>
  </si>
  <si>
    <t>Postdoctoral Research Foundation of China</t>
  </si>
  <si>
    <t>Kræftens Bekæmpelse;Celgene;Harboefonden</t>
  </si>
  <si>
    <t>Natural Science Foundation of Liaoning Province;National Natural Science Foundation of China</t>
  </si>
  <si>
    <t>University Grants Commission;Council of Scientific and Industrial Research, India</t>
  </si>
  <si>
    <t>Ministry of Education;National Science Council</t>
  </si>
  <si>
    <t>Aeronautical Science Foundation of China;National Natural Science Foundation of China;Heilongjiang Provincial Postdoctoral Science Foundation;National Postdoctoral Program for Innovative Talents;Project 211;Foundation for Innovative Research Groups of the National Natural Science Foundation of China;China Postdoctoral Science Foundation</t>
  </si>
  <si>
    <t>Canadian International Development Agency</t>
  </si>
  <si>
    <t>Major Scientific and Technological Innovation Project of Shandong Province</t>
  </si>
  <si>
    <t>National Health and Medical Research Council;Royal Hobart Hospital Research Foundation;Hunter Medical Research Institute;National Heart Foundation of Australia;NSW Ministry of Health</t>
  </si>
  <si>
    <t>Shanghai University;National Natural Science Foundation of China</t>
  </si>
  <si>
    <t>National Research Foundation of Korea;Ewha Womans University</t>
  </si>
  <si>
    <t>Deutsche Forschungsgemeinschaft;BioXFEL Science and Technology Center;Baden-Württemberg Stiftung</t>
  </si>
  <si>
    <t>Academia Sinica;China Medical University;Ministry of Health and Welfare</t>
  </si>
  <si>
    <t>Fondation pour la Recherche sur la Biodiversite;Australian Research Council</t>
  </si>
  <si>
    <t>China Postdoctoral Science Foundation;Natural Science Foundation of Shaanxi Province;National Natural Science Foundation of China</t>
  </si>
  <si>
    <t>Westfälische Wilhelms-Universität Münster</t>
  </si>
  <si>
    <t>National Research Foundation of Korea;Korea Institute of Science and Technology</t>
  </si>
  <si>
    <t>Foundation for the National Institutes of Health</t>
  </si>
  <si>
    <t>Ministeriet for Forskning Innovation og Videregående Uddannelser</t>
  </si>
  <si>
    <t>National Natural Science Foundation of China;State Key Laboratory of Mechanics and Control of Mechanical Structures;Priority Academic Program Development of Jiangsu Higher Education Institutions</t>
  </si>
  <si>
    <t>University of Akron</t>
  </si>
  <si>
    <t>WIKI_data_url</t>
  </si>
  <si>
    <t>National Research Foundation;NRF||Department of Science and Innovation;Department of Science and Technology;DST;DSI</t>
  </si>
  <si>
    <t>https://en.wikipedia.org/wiki/Department_of_Science_and_Innovation||https://en.wikipedia.org/wiki/National_Research_Foundation_(South_Africa)</t>
  </si>
  <si>
    <t>TU Darmstadt;Technical University of Darmstadt</t>
  </si>
  <si>
    <t>http://en.wikipedia.org/wiki/Technische_Universit%C3%A4t_Darmstadt</t>
  </si>
  <si>
    <t>European Commission;EC</t>
  </si>
  <si>
    <t>https://en.wikipedia.org/wiki/European_Commission</t>
  </si>
  <si>
    <t>Canadian Institutes of Health Research;CIHR</t>
  </si>
  <si>
    <t>http://en.wikipedia.org/wiki/Canadian_Institutes_of_Health_Research</t>
  </si>
  <si>
    <t>Ministry of Economy, Industry and Competitiveness;MINECO||Coordenação de Aperfeicoamento de Pessoal de Nível Superior;CAPES</t>
  </si>
  <si>
    <t>https://en.wikipedia.org/wiki/Coordena%C3%A7%C3%A3o_de_Aperfeicoamento_de_Pessoal_de_N%C3%ADvel_Superior||https://en.wikipedia.org/wiki/Ministry_of_Economy_and_Enterprise</t>
  </si>
  <si>
    <t>National Natural Science Foundation of China;NSFC||Shanghai Municipal Education Commission;SHMEC</t>
  </si>
  <si>
    <t>https://en.wikipedia.org/wiki/National_Natural_Science_Foundation_of_China||</t>
  </si>
  <si>
    <t>National Natural Science Foundation of China;NSFC</t>
  </si>
  <si>
    <t>https://en.wikipedia.org/wiki/National_Natural_Science_Foundation_of_China</t>
  </si>
  <si>
    <t>Office of Basic Energy Sciences;BES||Society for Neuroscience;SfN</t>
  </si>
  <si>
    <t>||https://en.wikipedia.org/wiki/Society_for_Neuroscience</t>
  </si>
  <si>
    <t>National Institute of Diabetes and Digestive and Kidney Diseases;NIDDK</t>
  </si>
  <si>
    <t>https://en.wikipedia.org/wiki/National_Institute_of_Diabetes_and_Digestive_and_Kidney_Diseases</t>
  </si>
  <si>
    <t>National Natural Science Foundation of China;NSFC||Chinese Academy of Sciences;CAS</t>
  </si>
  <si>
    <t>https://en.wikipedia.org/wiki/National_Natural_Science_Foundation_of_China||http://en.wikipedia.org/wiki/Chinese_Academy_of_Sciences</t>
  </si>
  <si>
    <t>Deutsche Forschungsgemeinschaft;DFG</t>
  </si>
  <si>
    <t>http://en.wikipedia.org/wiki/Deutsche_Forschungsgemeinschaft</t>
  </si>
  <si>
    <t>National Institute of Food and Agriculture;NIFA||National Institute of Environmental Health Sciences;NIEHS</t>
  </si>
  <si>
    <t>http://en.wikipedia.org/wiki/National_Institute_of_Environmental_Health_Sciences||https://en.wikipedia.org/wiki/National_Institute_of_Food_and_Agriculture</t>
  </si>
  <si>
    <t>Institut de Recherche pour le Développement;IRD</t>
  </si>
  <si>
    <t>https://en.wikipedia.org/wiki/Institut_de_recherche_pour_le_d%C3%A9veloppement</t>
  </si>
  <si>
    <t>China Postdoctoral Science Foundation||National Natural Science Foundation of China;NSFC</t>
  </si>
  <si>
    <t>||https://en.wikipedia.org/wiki/National_Natural_Science_Foundation_of_China</t>
  </si>
  <si>
    <t>National Natural Science Foundation of China;NSFC||Jiangsu Provincial Department of Education</t>
  </si>
  <si>
    <t>Research to Prevent Blindness;RPB||National Eye Institute;NEI</t>
  </si>
  <si>
    <t>https://en.wikipedia.org/wiki/Research_to_Prevent_Blindness||https://en.wikipedia.org/wiki/National_Eye_Institute</t>
  </si>
  <si>
    <t>National Research Foundation of Korea;NRF||Japan Society for the Promotion of Science;Nihon Gakujutsu Shinkō Kai;JSPS</t>
  </si>
  <si>
    <t>https://en.wikipedia.org/wiki/National_Research_Foundation_of_Korea||http://en.wikipedia.org/wiki/Japan_Society_for_the_Promotion_of_Science</t>
  </si>
  <si>
    <t>National Science and Technology Council;National Science Council;Ministry of Science and Technology;MOST;NSC</t>
  </si>
  <si>
    <t>https://en.wikipedia.org/wiki/Ministry_of_Science_and_Technology_(Taiwan)</t>
  </si>
  <si>
    <t>National Science Center;Narodowe Centrum Nauki;NCN</t>
  </si>
  <si>
    <t>https://en.wikipedia.org/wiki/The_National_Science_Centre_(Poland)</t>
  </si>
  <si>
    <t>National Scientific and Technical Research Council;CONICET</t>
  </si>
  <si>
    <t>https://en.wikipedia.org/wiki/National_Scientific_and_Technical_Research_Council</t>
  </si>
  <si>
    <t>National Natural Science Foundation of China;NSFC||Ministry of Education of the People's Republic of China;Ministry of Education Central People's Government;State Education Commission;MOE</t>
  </si>
  <si>
    <t>https://en.wikipedia.org/wiki/National_Natural_Science_Foundation_of_China||http://en.wikipedia.org/wiki/Ministry_of_Education_of_the_People's_Republic_of_China</t>
  </si>
  <si>
    <t>Instituto de Salud Carlos III;Carlos III Health Institute;ISCIII</t>
  </si>
  <si>
    <t>https://en.wikipedia.org/wiki/Carlos_III_Health_Institute</t>
  </si>
  <si>
    <t>Economic and Social Research Council;Social Science Research Council;ESRC||Parkes Foundation||Natural Environment Research Council;NERC||Zoological Society of London;ZSL||Fellowship Fund Inc;FFI</t>
  </si>
  <si>
    <t>http://en.wikipedia.org/wiki/Natural_Environment_Research_Council||http://en.wikipedia.org/wiki/Zoological_Society_of_London||https://en.wikipedia.org/wiki/Economic_and_Social_Research_Council||</t>
  </si>
  <si>
    <t>Japan Atomic Energy Agency;JAEA||Japan Society for the Promotion of Science;Nihon Gakujutsu Shinkō Kai;JSPS||RIKEN;Institute of Physical and Chemical Research</t>
  </si>
  <si>
    <t>http://en.wikipedia.org/wiki/Japan_Society_for_the_Promotion_of_Science||http://en.wikipedia.org/wiki/RIKEN||https://en.wikipedia.org/wiki/Japan_Atomic_Energy_Agency</t>
  </si>
  <si>
    <t>National Institute on Aging;NIA</t>
  </si>
  <si>
    <t>https://en.wikipedia.org/wiki/National_Institute_on_Aging</t>
  </si>
  <si>
    <t>Dutch Research Council;Netherlands Organisation for Scientific Research;NWO||European Research Council;ERC</t>
  </si>
  <si>
    <t>https://en.wikipedia.org/wiki/Dutch_Research_Council||https://en.wikipedia.org/wiki/European_Research_Council</t>
  </si>
  <si>
    <t>National Cancer Institute;NCI||National Institute of Biomedical Imaging and Bioengineering;NIBIB||National Institute of Neurological Disorders and Stroke;NINDS</t>
  </si>
  <si>
    <t>https://en.wikipedia.org/wiki/National_Institute_of_Biomedical_Imaging_and_Bioengineering||https://en.wikipedia.org/wiki/National_Institute_of_Neurological_Disorders_and_Stroke||https://en.wikipedia.org/wiki/National_Cancer_Institute</t>
  </si>
  <si>
    <t>National Research Foundation of Korea;NRF</t>
  </si>
  <si>
    <t>https://en.wikipedia.org/wiki/National_Research_Foundation_of_Korea</t>
  </si>
  <si>
    <t>Australian Government;Government of Australia;Government of the Commonwealth of Australia</t>
  </si>
  <si>
    <t>https://en.wikipedia.org/wiki/Government_of_Australia</t>
  </si>
  <si>
    <t>National Health and Medical Research Council;NHMRC||National Computational Infrastructure;NCI Australia;NCI||Medical Research Council;MRC</t>
  </si>
  <si>
    <t>https://en.wikipedia.org/wiki/National_Health_and_Medical_Research_Council||http://en.wikipedia.org/wiki/Medical_Research_Council_%28United_Kingdom%29||https://en.wikipedia.org/wiki/National_Computational_Infrastructure</t>
  </si>
  <si>
    <t>Ministry of Education;MOE||National Research Foundation of Korea;NRF</t>
  </si>
  <si>
    <t>https://en.wikipedia.org/wiki/Ministry_of_Education_(South_Korea)||https://en.wikipedia.org/wiki/National_Research_Foundation_of_Korea</t>
  </si>
  <si>
    <t>Ministry of Economy, Industry and Competitiveness;MINECO</t>
  </si>
  <si>
    <t>https://en.wikipedia.org/wiki/Ministry_of_Economy_and_Enterprise</t>
  </si>
  <si>
    <t>National Institute of Allergy and Infectious Diseases;NIAID</t>
  </si>
  <si>
    <t>https://en.wikipedia.org/wiki/National_Institute_of_Allergy_and_Infectious_Diseases</t>
  </si>
  <si>
    <t>National Institute on Alcohol Abuse and Alcoholism;NIAAA||National Natural Science Foundation of China;NSFC||Ministry of Science and Technology of the People's Republic of China;State Science and Technology Commission;MOST||Guangdong Science and Technology Department</t>
  </si>
  <si>
    <t>||https://en.wikipedia.org/wiki/Ministry_of_Science_and_Technology_of_the_People%27s_Republic_of_China||https://en.wikipedia.org/wiki/National_Institute_on_Alcohol_Abuse_and_Alcoholism||https://en.wikipedia.org/wiki/National_Natural_Science_Foundation_of_China</t>
  </si>
  <si>
    <t>Fujian Institute of Research on the Structure of Matter;FJIRSM||National Natural Science Foundation of China;NSFC||Chinese Academy of Sciences;CAS</t>
  </si>
  <si>
    <t>http://en.wikipedia.org/wiki/Chinese_Academy_of_Sciences||https://en.wikipedia.org/wiki/National_Natural_Science_Foundation_of_China||</t>
  </si>
  <si>
    <t>Ministry of Health and Welfare;Wèishēng Shǔ;Department of Health;Zhōnghuá Mínguó Wèishēng Fúlì Bù;DOH;MOHW||National Taiwan University Hospital;Guólì Táiwān Dàxué Yīxuéyuàn Fùshè Yīyuàn;NTUH||National Science and Technology Council;National Science Council;Ministry of Science and Technology;MOST;NSC</t>
  </si>
  <si>
    <t>https://en.wikipedia.org/wiki/National_Taiwan_University_Hospital||https://en.wikipedia.org/wiki/Ministry_of_Science_and_Technology_(Taiwan)||https://en.wikipedia.org/wiki/Ministry_of_Health_and_Welfare_(Taiwan)</t>
  </si>
  <si>
    <t>Ministry of Science and Technology of the People's Republic of China;State Science and Technology Commission;MOST||National Natural Science Foundation of China;NSFC||University Grants Committee;UGC</t>
  </si>
  <si>
    <t>https://en.wikipedia.org/wiki/National_Natural_Science_Foundation_of_China||https://en.wikipedia.org/wiki/Ministry_of_Science_and_Technology_of_the_People%27s_Republic_of_China||https://en.wikipedia.org/wiki/University_Grants_Committee_(Hong_Kong)</t>
  </si>
  <si>
    <t>Department of Agriculture Food and the Marine||Science Foundation Ireland;SFI</t>
  </si>
  <si>
    <t>https://en.wikipedia.org/wiki/Department_of_Agriculture,_Food_and_the_Marine||https://en.wikipedia.org/wiki/Science_Foundation_Ireland</t>
  </si>
  <si>
    <t>Korea Institute of Energy Technology Evaluation and Planning;KETEP||Ministry of Trade, Industry and Energy;MOTIE</t>
  </si>
  <si>
    <t>https://en.wikipedia.org/wiki/Ministry_of_Trade,_Industry_and_Energy_(South_Korea)||</t>
  </si>
  <si>
    <t>National Science and Technology Council;National Science Council;Ministry of Science and Technology;MOST;NSC||National Cheng Kung University Hospital;NCKU Hospital||Ministry of Health and Welfare;Wèishēng Shǔ;Department of Health;Zhōnghuá Mínguó Wèishēng Fúlì Bù;DOH;MOHW</t>
  </si>
  <si>
    <t>https://en.wikipedia.org/wiki/Ministry_of_Health_and_Welfare_(Taiwan)||||https://en.wikipedia.org/wiki/Ministry_of_Science_and_Technology_(Taiwan)</t>
  </si>
  <si>
    <t>Eunice Kennedy Shriver National Institute of Child Health and Human Development;NICHD</t>
  </si>
  <si>
    <t>https://en.wikipedia.org/wiki/Eunice_Kennedy_Shriver_National_Institute_of_Child_Health_and_Human_Development</t>
  </si>
  <si>
    <t>Biotechnology and Biological Sciences Research Council;BBSRC||National Institute for Health and Care Research;National Institute for Health Research;NIHR</t>
  </si>
  <si>
    <t>http://en.wikipedia.org/wiki/Biotechnology_and_Biological_Sciences_Research_Council||https://en.wikipedia.org/wiki/National_Institute_for_Health_and_Care_Research</t>
  </si>
  <si>
    <t>National Natural Science Foundation of China;NSFC||John Templeton Foundation;Templeton Foundation||China Postdoctoral Science Foundation</t>
  </si>
  <si>
    <t>https://en.wikipedia.org/wiki/National_Natural_Science_Foundation_of_China||||https://en.wikipedia.org/wiki/John_Templeton_Foundation</t>
  </si>
  <si>
    <t>Guangdong Science and Technology Department||National Natural Science Foundation of China;NSFC</t>
  </si>
  <si>
    <t>Fund for Scientific Research;FRS FNRS||Agence Nationale de la Recherche;ANR</t>
  </si>
  <si>
    <t>https://en.wikipedia.org/wiki/National_Fund_for_Scientific_Research||https://en.wikipedia.org/wiki/Agence_nationale_de_la_recherche</t>
  </si>
  <si>
    <t>National Research Foundation of Korea;NRF||Ministry of Science and ICT;Ministry of Science and Technology;MSIT</t>
  </si>
  <si>
    <t>https://en.wikipedia.org/wiki/Ministry_of_Science_and_ICT||https://en.wikipedia.org/wiki/National_Research_Foundation_of_Korea</t>
  </si>
  <si>
    <t>São Paulo Research Foundation;FAPESP||National Council for Scientific and Technological Development;Conselho Nacional de Pesquisa;CNPq||Coordenação de Aperfeicoamento de Pessoal de Nível Superior;CAPES</t>
  </si>
  <si>
    <t>https://en.wikipedia.org/wiki/National_Council_for_Scientific_and_Technological_Development||https://en.wikipedia.org/wiki/Coordena%C3%A7%C3%A3o_de_Aperfeicoamento_de_Pessoal_de_N%C3%ADvel_Superior||https://en.wikipedia.org/wiki/S%C3%A3o_Paulo_Research_Foundation</t>
  </si>
  <si>
    <t>Office of Biological and Environmental Research;BER||Office of Environmental Management;EM||Battelle;Battelle Memorial Institute</t>
  </si>
  <si>
    <t>||https://en.wikipedia.org/wiki/Battelle_Memorial_Institute</t>
  </si>
  <si>
    <t>United States Public Health Service;USPHS;PHS||Swiss National Science Foundation;SNSF;SNF;FNS||National Institute of Allergy and Infectious Diseases;NIAID||European Commission;EC</t>
  </si>
  <si>
    <t>https://en.wikipedia.org/wiki/European_Commission||https://en.wikipedia.org/wiki/Swiss_National_Science_Foundation||https://en.wikipedia.org/wiki/National_Institute_of_Allergy_and_Infectious_Diseases||https://en.wikipedia.org/wiki/United_States_Public_Health_Service</t>
  </si>
  <si>
    <t>National Cancer Institute;NCI||National Institute of General Medical Sciences;NIGMS</t>
  </si>
  <si>
    <t>https://en.wikipedia.org/wiki/National_Cancer_Institute||https://en.wikipedia.org/wiki/National_Institute_of_General_Medical_Sciences</t>
  </si>
  <si>
    <t>National Natural Science Foundation of China;NSFC||Ministry of Science and Technology of the People's Republic of China;State Science and Technology Commission;MOST||Swedish Energy Agency;Energimyndigheten||Knut and Alice Wallenberg Foundation;Knut och Alice Wallenbergs Stiftelse</t>
  </si>
  <si>
    <t>||https://en.wikipedia.org/wiki/National_Natural_Science_Foundation_of_China||https://en.wikipedia.org/wiki/Knut_and_Alice_Wallenberg_Foundation||https://en.wikipedia.org/wiki/Ministry_of_Science_and_Technology_of_the_People%27s_Republic_of_China</t>
  </si>
  <si>
    <t>Government of Western Australia Department of Health;Western Australia Department of Health;Department of Health;WA Health</t>
  </si>
  <si>
    <t>https://en.wikipedia.org/wiki/Department_of_Health_(Western_Australia)</t>
  </si>
  <si>
    <t>Directorate for Mathematical &amp; Physical Sciences;NSF MPS||Division of Chemistry;NSF CHE||National Natural Science Foundation of China;NSFC</t>
  </si>
  <si>
    <t>Coordenação de Aperfeicoamento de Pessoal de Nível Superior;CAPES||Deutsche Forschungsgemeinschaft;DFG||National Council for Scientific and Technological Development;Conselho Nacional de Pesquisa;CNPq</t>
  </si>
  <si>
    <t>https://en.wikipedia.org/wiki/National_Council_for_Scientific_and_Technological_Development||https://en.wikipedia.org/wiki/Coordena%C3%A7%C3%A3o_de_Aperfeicoamento_de_Pessoal_de_N%C3%ADvel_Superior||http://en.wikipedia.org/wiki/Deutsche_Forschungsgemeinschaft</t>
  </si>
  <si>
    <t>International Human Frontier Science Program Organization;The Human Frontier Science Program;HFSP;HFSPO||Swiss National Science Foundation;SNSF;SNF;FNS</t>
  </si>
  <si>
    <t>https://en.wikipedia.org/wiki/Swiss_National_Science_Foundation||https://en.wikipedia.org/wiki/Human_Frontier_Science_Program</t>
  </si>
  <si>
    <t>European Commission;EC||Fundação para a Ciência e Tecnologia;FCT</t>
  </si>
  <si>
    <t>https://en.wikipedia.org/wiki/Funda%C3%A7%C3%A3o_para_a_Ci%C3%AAncia_e_Tecnologia||https://en.wikipedia.org/wiki/European_Commission</t>
  </si>
  <si>
    <t>Direction Générale des Entreprises;Direction générale de la compétitivité, de l'industrie et des services;DGE</t>
  </si>
  <si>
    <t>Ministry of Education of the People's Republic of China;Ministry of Education Central People's Government;State Education Commission;MOE||Ministry of Science and Technology of the People's Republic of China;State Science and Technology Commission;MOST||National Natural Science Foundation of China;NSFC</t>
  </si>
  <si>
    <t>http://en.wikipedia.org/wiki/Ministry_of_Education_of_the_People's_Republic_of_China||https://en.wikipedia.org/wiki/Ministry_of_Science_and_Technology_of_the_People%27s_Republic_of_China||https://en.wikipedia.org/wiki/National_Natural_Science_Foundation_of_China</t>
  </si>
  <si>
    <t>European Research Council;ERC</t>
  </si>
  <si>
    <t>https://en.wikipedia.org/wiki/European_Research_Council</t>
  </si>
  <si>
    <t>Directorate for Engineering;NSF ENG</t>
  </si>
  <si>
    <t>Ministry of Science and Technology of the People's Republic of China;State Science and Technology Commission;MOST||Ministry of Education of the People's Republic of China;Ministry of Education Central People's Government;State Education Commission;MOE||National Natural Science Foundation of China;NSFC</t>
  </si>
  <si>
    <t>https://en.wikipedia.org/wiki/Ministry_of_Science_and_Technology_of_the_People%27s_Republic_of_China||https://en.wikipedia.org/wiki/National_Natural_Science_Foundation_of_China||http://en.wikipedia.org/wiki/Ministry_of_Education_of_the_People's_Republic_of_China</t>
  </si>
  <si>
    <t>Wildlife Conservation Society;New York Zoological Society;WCS;NYZS||Idea Wild||Rufford Foundation;Rufford Maurice Laing Foundation||German Academic Exchange Service;DAAD</t>
  </si>
  <si>
    <t>https://en.wikipedia.org/wiki/Rufford_Foundation||||https://en.wikipedia.org/wiki/Wildlife_Conservation_Society||https://en.wikipedia.org/wiki/German_Academic_Exchange_Service</t>
  </si>
  <si>
    <t>National Research Foundation of Korea;NRF||National Institute of Biomedical Imaging and Bioengineering;NIBIB</t>
  </si>
  <si>
    <t>https://en.wikipedia.org/wiki/National_Institute_of_Biomedical_Imaging_and_Bioengineering||https://en.wikipedia.org/wiki/National_Research_Foundation_of_Korea</t>
  </si>
  <si>
    <t>China Scholarship Council;CSC||Dutch Research Council;Netherlands Organisation for Scientific Research;NWO</t>
  </si>
  <si>
    <t>https://en.wikipedia.org/wiki/China_Scholarship_Council||https://en.wikipedia.org/wiki/Dutch_Research_Council</t>
  </si>
  <si>
    <t>Agencia Nacional de Investigación y Desarrollo;ANID</t>
  </si>
  <si>
    <t>Danish Agency for Science and Higher Education||The Velux Foundations;Villum Fonden;Villum Foundation;Villum Kann Rasmussen Foundation</t>
  </si>
  <si>
    <t>National Council for Scientific and Technological Development;Conselho Nacional de Pesquisa;CNPq||Coordenação de Aperfeicoamento de Pessoal de Nível Superior;CAPES||Fundação Carlos Chagas Filho de Amparo à Pesquisa do Estado do Rio de Janeiro;FAPERJ</t>
  </si>
  <si>
    <t>||https://en.wikipedia.org/wiki/Coordena%C3%A7%C3%A3o_de_Aperfeicoamento_de_Pessoal_de_N%C3%ADvel_Superior||https://en.wikipedia.org/wiki/National_Council_for_Scientific_and_Technological_Development</t>
  </si>
  <si>
    <t>National Institute for Health and Care Research;National Institute for Health Research;NIHR||Wellcome Trust;WT||Medical Research Council;MRC</t>
  </si>
  <si>
    <t>http://en.wikipedia.org/wiki/Medical_Research_Council_%28United_Kingdom%29||https://en.wikipedia.org/wiki/National_Institute_for_Health_and_Care_Research||http://en.wikipedia.org/wiki/Wellcome_Trust</t>
  </si>
  <si>
    <t>National Cancer Institute;NCI</t>
  </si>
  <si>
    <t>https://en.wikipedia.org/wiki/National_Cancer_Institute</t>
  </si>
  <si>
    <t>Ministry of Education, Culture, Sports, Science and Technology;Monbu-kagaku-shō;MEXT</t>
  </si>
  <si>
    <t>https://en.wikipedia.org/wiki/Ministry_of_Education,_Culture,_Sports,_Science_and_Technology</t>
  </si>
  <si>
    <t>Ministry of Science and Technology of the People's Republic of China;State Science and Technology Commission;MOST</t>
  </si>
  <si>
    <t>https://en.wikipedia.org/wiki/Ministry_of_Science_and_Technology_of_the_People%27s_Republic_of_China</t>
  </si>
  <si>
    <t>Japan Society for the Promotion of Science;Nihon Gakujutsu Shinkō Kai;JSPS||Nakatomi Foundation</t>
  </si>
  <si>
    <t>http://en.wikipedia.org/wiki/Japan_Society_for_the_Promotion_of_Science||</t>
  </si>
  <si>
    <t>Directorate for Computer &amp; Information Science &amp; Engineering;NSF CISE||National Institute of General Medical Sciences;NIGMS||American Chemical Society;ACS||National Science Foundation;NSF</t>
  </si>
  <si>
    <t>||https://en.wikipedia.org/wiki/National_Institute_of_General_Medical_Sciences||https://en.wikipedia.org/wiki/National_Science_Foundation||https://en.wikipedia.org/wiki/American_Chemical_Society</t>
  </si>
  <si>
    <t>European Commission;EC||Research Foundation - Flanders;FWO</t>
  </si>
  <si>
    <t>https://en.wikipedia.org/wiki/Research_Foundation_-_Flanders_(FWO)||https://en.wikipedia.org/wiki/European_Commission</t>
  </si>
  <si>
    <t>Karlsruhe Institute of Technology;Karlsruhe Institute of Technology - The Research University in the Helmholtz Association;Das Karlsruher Institut für Technologie (KIT) – Die Forschungsuniversität in der Helmholtz-Gemeinschaft;KIT||Federal Ministry of Education and Research;BMBF||European Commission;EC</t>
  </si>
  <si>
    <t>https://en.wikipedia.org/wiki/European_Commission||https://en.wikipedia.org/wiki/Federal_Ministry_of_Education_and_Research_(Germany)||http://en.wikipedia.org/wiki/Karlsruhe_Institute_of_Technology</t>
  </si>
  <si>
    <t>United States Air Force Office of Scientific Research;AFOSR;USAFOSR||Directorate for Mathematical &amp; Physical Sciences;NSF MPS||United States Department of the Air Force;United States Air Force;DAF;USAF</t>
  </si>
  <si>
    <t>https://en.wikipedia.org/wiki/United_States_Department_of_the_Air_Force||</t>
  </si>
  <si>
    <t>Japan Society for the Promotion of Science;Nihon Gakujutsu Shinkō Kai;JSPS||Engineering Laboratory;EL</t>
  </si>
  <si>
    <t>Engineering and Physical Sciences Research Council;EPSRC||European Commission;EC</t>
  </si>
  <si>
    <t>https://en.wikipedia.org/wiki/Engineering_and_Physical_Sciences_Research_Council||https://en.wikipedia.org/wiki/European_Commission</t>
  </si>
  <si>
    <t>United States Department of Defense;USDOD ;DOD</t>
  </si>
  <si>
    <t>https://en.wikipedia.org/wiki/United_States_Department_of_Defense</t>
  </si>
  <si>
    <t>Scientific and Technological Research Council of Turkey;Türkiye Bilimsel ve Teknolojik Araştırma Kurumu;TÜBİTAK</t>
  </si>
  <si>
    <t>https://en.wikipedia.org/wiki/Scientific_and_Technological_Research_Council_of_Turkey</t>
  </si>
  <si>
    <t>Engineering and Physical Sciences Research Council;EPSRC</t>
  </si>
  <si>
    <t>https://en.wikipedia.org/wiki/Engineering_and_Physical_Sciences_Research_Council</t>
  </si>
  <si>
    <t>National Natural Science Foundation of China;NSFC||Ministry of Science and Technology of the People's Republic of China;State Science and Technology Commission;MOST</t>
  </si>
  <si>
    <t>https://en.wikipedia.org/wiki/Ministry_of_Science_and_Technology_of_the_People%27s_Republic_of_China||https://en.wikipedia.org/wiki/National_Natural_Science_Foundation_of_China</t>
  </si>
  <si>
    <t>Japan Society for the Promotion of Science;Nihon Gakujutsu Shinkō Kai;JSPS</t>
  </si>
  <si>
    <t>http://en.wikipedia.org/wiki/Japan_Society_for_the_Promotion_of_Science</t>
  </si>
  <si>
    <t>Spanish National Research Council;CSIC||European Commission;EC</t>
  </si>
  <si>
    <t>https://en.wikipedia.org/wiki/European_Commission||http://en.wikipedia.org/wiki/Spanish_National_Research_Council</t>
  </si>
  <si>
    <t>Australian Research Council;ARC</t>
  </si>
  <si>
    <t>http://en.wikipedia.org/wiki/Australian_Research_Council</t>
  </si>
  <si>
    <t>Deutsche Forschungsgemeinschaft;DFG||Helmholtz Association of German Research Centres</t>
  </si>
  <si>
    <t>http://en.wikipedia.org/wiki/Deutsche_Forschungsgemeinschaft||http://en.wikipedia.org/wiki/Helmholtz_Association_of_German_Research_Centres</t>
  </si>
  <si>
    <t>Max Planck Society;MPG||Fundação de Amparo à Pesquisa do Estado de Minas Gerais;FAPEMIG||National Council for Scientific and Technological Development;Conselho Nacional de Pesquisa;CNPq</t>
  </si>
  <si>
    <t>http://en.wikipedia.org/wiki/Max_Planck_Society||||https://en.wikipedia.org/wiki/National_Council_for_Scientific_and_Technological_Development</t>
  </si>
  <si>
    <t>https://en.wikipedia.org/wiki/National_Natural_Science_Foundation_of_China||https://en.wikipedia.org/wiki/Ministry_of_Science_and_Technology_of_the_People%27s_Republic_of_China</t>
  </si>
  <si>
    <t>Division of Chemical, Bioengineering, Environmental, and Transport Systems;NSF CBET||Louisiana Space Grant Consortium;LaSPACE||China Postdoctoral Science Foundation||Government of Jiangsu Province||Directorate for Engineering;NSF ENG||National Natural Science Foundation of China;NSFC</t>
  </si>
  <si>
    <t>Department of Science and Technology;DST||University Grants Commission;UGC</t>
  </si>
  <si>
    <t>https://en.wikipedia.org/wiki/Department_of_Science_and_Technology_(India)||https://en.wikipedia.org/wiki/University_Grants_Commission_(India)</t>
  </si>
  <si>
    <t>National Institute of Dental and Craniofacial Research;NIDCR</t>
  </si>
  <si>
    <t>https://en.wikipedia.org/wiki/National_Institute_of_Dental_and_Craniofacial_Research</t>
  </si>
  <si>
    <t>National Oceanic and Atmospheric Administration;NOAA||Directorate for Social, Behavioral &amp; Economic Sciences;NSF SBE</t>
  </si>
  <si>
    <t>http://en.wikipedia.org/wiki/National_Oceanic_and_Atmospheric_Administration||</t>
  </si>
  <si>
    <t>Research Foundation - Flanders;FWO||Coordenação de Aperfeicoamento de Pessoal de Nível Superior;CAPES||National Council for Scientific and Technological Development;Conselho Nacional de Pesquisa;CNPq||São Paulo Research Foundation;FAPESP</t>
  </si>
  <si>
    <t>https://en.wikipedia.org/wiki/S%C3%A3o_Paulo_Research_Foundation||https://en.wikipedia.org/wiki/National_Council_for_Scientific_and_Technological_Development||https://en.wikipedia.org/wiki/Coordena%C3%A7%C3%A3o_de_Aperfeicoamento_de_Pessoal_de_N%C3%ADvel_Superior||https://en.wikipedia.org/wiki/Research_Foundation_-_Flanders_(FWO)</t>
  </si>
  <si>
    <t>University Grants Commission;UGC</t>
  </si>
  <si>
    <t>https://en.wikipedia.org/wiki/University_Grants_Commission_(India)</t>
  </si>
  <si>
    <t>National Natural Science Foundation of China;NSFC||Educational Department of Liaoning Province;EDLP</t>
  </si>
  <si>
    <t>Federal Ministry of Education and Research;BMBF||Lawrence Berkeley National Laboratory;Berkeley Lab;LBNL;LBL||Ministry of Education of the People's Republic of China;Ministry of Education Central People's Government;State Education Commission;MOE||Department of Science and Technology;DST||The Ministry of Education and Science of the Russian Federation;Minobrnauki of Russia||Helmholtz Association of German Research Centres||National Natural Science Foundation of China;NSFC||Directorate for Mathematical &amp; Physical Sciences;NSF MPS||National Science Center;Narodowe Centrum Nauki;NCN||Rosatom (Russia);Rosatom State Atomic Energy Corporation||Department of Atomic Energy;DAE||Brookhaven National Laboratory;BNL||Ministry of Education Youth and Sports;MSMT||Ministry of Science and Technology of the People's Republic of China;State Science and Technology Commission;MOST||National Research Foundation of Korea;NRF||Chinese Academy of Sciences;CAS||Office of Nuclear Physics;NP</t>
  </si>
  <si>
    <t>https://en.wikipedia.org/wiki/Federal_Ministry_of_Education_and_Research_(Germany)||https://en.wikipedia.org/wiki/National_Research_Foundation_of_Korea||http://en.wikipedia.org/wiki/Ministry_of_Education_of_the_People's_Republic_of_China||http://en.wikipedia.org/wiki/Chinese_Academy_of_Sciences||https://en.wikipedia.org/wiki/Ministry_of_Science_and_Technology_of_the_People%27s_Republic_of_China||https://en.wikipedia.org/wiki/Rosatom||https://en.wikipedia.org/wiki/Department_of_Atomic_Energy||https://en.wikipedia.org/wiki/Lawrence_Berkeley_National_Laboratory||https://en.wikipedia.org/wiki/The_National_Science_Centre_(Poland)||||https://en.wikipedia.org/wiki/Ministry_of_Education,_Youth_and_Sports_(Czech_Republic)||http://en.wikipedia.org/wiki/Helmholtz_Association_of_German_Research_Centres||http://en.wikipedia.org/wiki/Brookhaven_National_Laboratory||https://en.wikipedia.org/wiki/Ministry_of_Education_and_Science_(Russia)||https://en.wikipedia.org/wiki/National_Natural_Science_Foundation_of_China||https://en.wikipedia.org/wiki/Department_of_Science_and_Technology_(India)</t>
  </si>
  <si>
    <t>filipi</t>
  </si>
  <si>
    <t>Directorate for Mathematical &amp; Physical Sciences;NSF MPS</t>
  </si>
  <si>
    <t>Council of Scientific and Industrial Research;CSIR||Ministry of Education;Ministry of Human Resource Development;MHRD;MoE||Science and Engineering Research Board;SERB</t>
  </si>
  <si>
    <t>http://en.wikipedia.org/wiki/Council_of_Scientific_and_Industrial_Research||https://en.wikipedia.org/wiki/Ministry_of_Education_(India)||https://en.wikipedia.org/wiki/Science_and_Engineering_Research_Board</t>
  </si>
  <si>
    <t>Natural Sciences and Engineering Research Council;NSERC;CRSNG||Canada Foundation for Innovation;CFI||Consejo Nacional de Humanidades, Ciencias y Tecnologías;Consejo Nacional de Ciencia y Tecnología;CONACYT;CONAHCYT||Division of Materials Research;NSF DMR||Fonds de Recherche du Québec – Nature et Technologies;FRQNT||Directorate-General for Research and Innovation||Directorate for Mathematical &amp; Physical Sciences;NSF MPS||Ministry of Education, Universities and Research;MIUR||European Commission;EC||CMC Microsystems (Canada)</t>
  </si>
  <si>
    <t>https://en.wikipedia.org/wiki/European_Commission||https://en.wikipedia.org/wiki/Natural_Sciences_and_Engineering_Research_Council||||https://en.wikipedia.org/wiki/Consejo_Nacional_de_Ciencia_y_Tecnolog%C3%ADa_(Mexico)||http://en.wikipedia.org/wiki/Ministry_of_Education,_Universities_and_Research_(Italy)||http://en.wikipedia.org/wiki/Canada_Foundation_for_Innovation||https://en.wikipedia.org/wiki/Directorate-General_for_Research_and_Innovation_(European_Commission)</t>
  </si>
  <si>
    <t>Ministry of Trade, Industry and Energy;MOTIE||National Research Foundation of Korea;NRF||Korea Research Institute of Chemical Technology;KRICT</t>
  </si>
  <si>
    <t>https://en.wikipedia.org/wiki/Ministry_of_Trade,_Industry_and_Energy_(South_Korea)||https://en.wikipedia.org/wiki/Korea_Research_Institute_of_Chemical_Technology||https://en.wikipedia.org/wiki/National_Research_Foundation_of_Korea</t>
  </si>
  <si>
    <t>Gilead Sciences (United States)</t>
  </si>
  <si>
    <t>https://en.wikipedia.org/wiki/Gilead_Sciences</t>
  </si>
  <si>
    <t>Directorate for STEM Education;Directorate for Education &amp; Human Resources;EDU||Office of Naval Research;ONR||Advanced Research Projects Agency-Energy;ARPA-E||Directorate for Engineering;NSF ENG||National Science Foundation;NSF||Bayer (United States)</t>
  </si>
  <si>
    <t>https://en.wikipedia.org/wiki/National_Science_Foundation||https://en.wikipedia.org/wiki/Bayer_Corporation||https://en.wikipedia.org/wiki/Office_of_Naval_Research||||https://en.wikipedia.org/wiki/ARPA-E</t>
  </si>
  <si>
    <t>https://en.wikipedia.org/wiki/National_Natural_Science_Foundation_of_China||http://en.wikipedia.org/wiki/Ministry_of_Education_of_the_People's_Republic_of_China||https://en.wikipedia.org/wiki/Ministry_of_Science_and_Technology_of_the_People%27s_Republic_of_China</t>
  </si>
  <si>
    <t>http://en.wikipedia.org/wiki/Ministry_of_Education_of_the_People's_Republic_of_China||https://en.wikipedia.org/wiki/National_Natural_Science_Foundation_of_China</t>
  </si>
  <si>
    <t>United States National Library of Medicine;NLM</t>
  </si>
  <si>
    <t>https://en.wikipedia.org/wiki/United_States_National_Library_of_Medicine</t>
  </si>
  <si>
    <t>Division of Chemistry;NSF CHE||Directorate for Mathematical &amp; Physical Sciences;NSF MPS||Welch Foundation||National Institute of Biomedical Imaging and Bioengineering;NIBIB</t>
  </si>
  <si>
    <t>||https://en.wikipedia.org/wiki/Robert_A._Welch_Foundation||https://en.wikipedia.org/wiki/National_Institute_of_Biomedical_Imaging_and_Bioengineering</t>
  </si>
  <si>
    <t>Cancer Research UK;CRUK||Wellcome Trust;WT||Medical Research Council;MRC</t>
  </si>
  <si>
    <t>http://en.wikipedia.org/wiki/Wellcome_Trust||http://en.wikipedia.org/wiki/Medical_Research_Council_%28United_Kingdom%29||http://en.wikipedia.org/wiki/Cancer_Research_UK</t>
  </si>
  <si>
    <t>Czech Science Foundation;Grantová agentura České republiky;GAČR||Czech Academy of Sciences;AVČR;CAS</t>
  </si>
  <si>
    <t>http://en.wikipedia.org/wiki/Academy_of_Sciences_of_the_Czech_Republic||https://en.wikipedia.org/wiki/Czech_Science_Foundation</t>
  </si>
  <si>
    <t>Aid for Cancer Research||Ministry of Health Labour and Welfare;Kōsei-rōdō-shō</t>
  </si>
  <si>
    <t>||https://en.wikipedia.org/wiki/Ministry_of_Health,_Labour,_and_Welfare</t>
  </si>
  <si>
    <t>Israel Science Foundation;ISF</t>
  </si>
  <si>
    <t>University Grants Committee;UGC</t>
  </si>
  <si>
    <t>https://en.wikipedia.org/wiki/University_Grants_Committee_(Hong_Kong)</t>
  </si>
  <si>
    <t>National Council for Scientific and Technological Development;Conselho Nacional de Pesquisa;CNPq||São Paulo Research Foundation;FAPESP||Associação Fundo de Incentivo à Pesquisa;AFIP||National Institute of Mental Health;NIMH</t>
  </si>
  <si>
    <t>https://en.wikipedia.org/wiki/S%C3%A3o_Paulo_Research_Foundation||https://en.wikipedia.org/wiki/National_Council_for_Scientific_and_Technological_Development||||https://en.wikipedia.org/wiki/National_Institute_of_Mental_Health</t>
  </si>
  <si>
    <t>National Institute of Neurological Disorders and Stroke;NINDS</t>
  </si>
  <si>
    <t>https://en.wikipedia.org/wiki/National_Institute_of_Neurological_Disorders_and_Stroke</t>
  </si>
  <si>
    <t>Christian Doppler Research Association;CDG||European Commission;EC||Federal Ministry of Science, Research and Economics;BMWFW</t>
  </si>
  <si>
    <t>||https://en.wikipedia.org/wiki/European_Commission</t>
  </si>
  <si>
    <t>National Health and Medical Research Council;NHMRC</t>
  </si>
  <si>
    <t>https://en.wikipedia.org/wiki/National_Health_and_Medical_Research_Council</t>
  </si>
  <si>
    <t>Directorate for Mathematical &amp; Physical Sciences;NSF MPS||United States Army Research Office;US ARO;ARO</t>
  </si>
  <si>
    <t>National Institute of Arthritis and Musculoskeletal and Skin Diseases;NIAMS</t>
  </si>
  <si>
    <t>https://en.wikipedia.org/wiki/National_Institute_of_Arthritis_and_Musculoskeletal_and_Skin_Diseases</t>
  </si>
  <si>
    <t>Ministry of Science and Technology of the People's Republic of China;State Science and Technology Commission;MOST||Medical Research Council;MRC||National Natural Science Foundation of China;NSFC||National Institute of General Medical Sciences;NIGMS||National Institute of Diabetes and Digestive and Kidney Diseases;NIDDK</t>
  </si>
  <si>
    <t>https://en.wikipedia.org/wiki/National_Natural_Science_Foundation_of_China||https://en.wikipedia.org/wiki/Ministry_of_Science_and_Technology_of_the_People%27s_Republic_of_China||http://en.wikipedia.org/wiki/Medical_Research_Council_%28United_Kingdom%29||https://en.wikipedia.org/wiki/National_Institute_of_General_Medical_Sciences||https://en.wikipedia.org/wiki/National_Institute_of_Diabetes_and_Digestive_and_Kidney_Diseases</t>
  </si>
  <si>
    <t>China Scholarship Council;CSC||National Natural Science Foundation of China;NSFC||Youth Innovation Promotion Association;YIPA||Chinese Academy of Sciences;CAS</t>
  </si>
  <si>
    <t>http://en.wikipedia.org/wiki/Chinese_Academy_of_Sciences||https://en.wikipedia.org/wiki/China_Scholarship_Council||https://en.wikipedia.org/wiki/National_Natural_Science_Foundation_of_China||</t>
  </si>
  <si>
    <t>Ministry of Science and Technology of the People's Republic of China;State Science and Technology Commission;MOST||National Natural Science Foundation of China;NSFC</t>
  </si>
  <si>
    <t>United States Department of Homeland Security;DHS||Fogarty International Center;John E. Fogarty International Center;FIC</t>
  </si>
  <si>
    <t>https://en.wikipedia.org/wiki/United_States_Department_of_Homeland_Security||https://en.wikipedia.org/wiki/John_E._Fogarty_International_Center</t>
  </si>
  <si>
    <t>Ministry of Health</t>
  </si>
  <si>
    <t>https://en.wikipedia.org/wiki/Ministry_of_Health_(British_Columbia)</t>
  </si>
  <si>
    <t>National Cancer Institute;NCI||National Institute of Neurological Disorders and Stroke;NINDS||National Institute of Mental Health;NIMH</t>
  </si>
  <si>
    <t>https://en.wikipedia.org/wiki/National_Institute_of_Mental_Health||https://en.wikipedia.org/wiki/National_Institute_of_Neurological_Disorders_and_Stroke||https://en.wikipedia.org/wiki/National_Cancer_Institute</t>
  </si>
  <si>
    <t>National Center for Complementary and Integrative Health;National Center for Complementary and Alternative Medicine;Office of Alternative Medicine;NCCIH;NCCAM;OAM||National Cancer Institute;NCI</t>
  </si>
  <si>
    <t>https://en.wikipedia.org/wiki/National_Cancer_Institute||https://en.wikipedia.org/wiki/National_Center_for_Complementary_and_Integrative_Health</t>
  </si>
  <si>
    <t>National Science and Technology Council;National Science Council;Ministry of Science and Technology;MOST;NSC||Council of Agriculture;Nóngyè Wěiyuánhuì;Ministry of Basic Industries;COA</t>
  </si>
  <si>
    <t>https://en.wikipedia.org/wiki/Ministry_of_Science_and_Technology_(Taiwan)||https://en.wikipedia.org/wiki/Council_of_Agriculture_(Republic_of_China)</t>
  </si>
  <si>
    <t>Japan Society for the Promotion of Science;Nihon Gakujutsu Shinkō Kai;JSPS||Ministry of Health Labour and Welfare;Kōsei-rōdō-shō</t>
  </si>
  <si>
    <t>http://en.wikipedia.org/wiki/Japan_Society_for_the_Promotion_of_Science||https://en.wikipedia.org/wiki/Ministry_of_Health,_Labour,_and_Welfare</t>
  </si>
  <si>
    <t>American Chemical Society;ACS||Ministry of Education and Science of the Republic of Kazakhstan;MES</t>
  </si>
  <si>
    <t>https://en.wikipedia.org/wiki/American_Chemical_Society||</t>
  </si>
  <si>
    <t>National Institute of Food and Agriculture;NIFA||American Diabetes Association;ADA||National Center for Complementary and Integrative Health;National Center for Complementary and Alternative Medicine;Office of Alternative Medicine;NCCIH;NCCAM;OAM||National Institute of Diabetes and Digestive and Kidney Diseases;NIDDK||National Opinion Research Center;NORC||National Institute of General Medical Sciences;NIGMS</t>
  </si>
  <si>
    <t>https://en.wikipedia.org/wiki/National_Institute_of_General_Medical_Sciences||https://en.wikipedia.org/wiki/American_Diabetes_Association||https://en.wikipedia.org/wiki/National_Institute_of_Diabetes_and_Digestive_and_Kidney_Diseases||https://en.wikipedia.org/wiki/NORC_at_the_University_of_Chicago||https://en.wikipedia.org/wiki/National_Institute_of_Food_and_Agriculture||https://en.wikipedia.org/wiki/National_Center_for_Complementary_and_Integrative_Health</t>
  </si>
  <si>
    <t>Nationalstiftung für Forschung Technologie und Entwicklung||Deutsche Forschungsgemeinschaft;DFG||Federal Ministry of Science, Research and Economics;BMWFW</t>
  </si>
  <si>
    <t>||http://en.wikipedia.org/wiki/Deutsche_Forschungsgemeinschaft</t>
  </si>
  <si>
    <t>Ministry of Higher Education;Kementerian Pengajian Tinggi;MOHE</t>
  </si>
  <si>
    <t>https://en.wikipedia.org/wiki/Ministry_of_Higher_Education_(Malaysia)</t>
  </si>
  <si>
    <t>Ministry of Economy, Industry and Competitiveness;MINECO||Ministerio de Educación Cultura y Deporte||Federación Española de Enfermedades Raras;FEDER</t>
  </si>
  <si>
    <t>https://en.wikipedia.org/wiki/Ministry_of_Economy_and_Enterprise||||https://en.wikipedia.org/wiki/Ministry_of_Education,_Culture_and_Sport_(Spain)</t>
  </si>
  <si>
    <t>Danish Agency for Science and Higher Education||Australian Research Council;ARC</t>
  </si>
  <si>
    <t>||http://en.wikipedia.org/wiki/Australian_Research_Council</t>
  </si>
  <si>
    <t>National Heart Lung and Blood Institute;NHLBI</t>
  </si>
  <si>
    <t>https://en.wikipedia.org/wiki/National_Heart,_Lung,_and_Blood_Institute</t>
  </si>
  <si>
    <t>National Institute of Neurological Disorders and Stroke;NINDS||National Center for Advancing Translational Sciences;National Center for Research Resources;NCATS;NCRR||Knight Cancer Institute;OHSU Knight Cancer Institute</t>
  </si>
  <si>
    <t>https://en.wikipedia.org/wiki/National_Institute_of_Neurological_Disorders_and_Stroke||https://en.wikipedia.org/wiki/National_Center_for_Advancing_Translational_Sciences||https://en.wikipedia.org/wiki/Knight_Cancer_Institute</t>
  </si>
  <si>
    <t>Natural Sciences and Engineering Research Council;NSERC;CRSNG</t>
  </si>
  <si>
    <t>https://en.wikipedia.org/wiki/Natural_Sciences_and_Engineering_Research_Council</t>
  </si>
  <si>
    <t>Ministry of Science and Technology Thailand;Ministry of Science, Technology and Environment;Ministry of Science, Technology and Energy;Krasuang Witthayasat Lae Theknoloyi;MOST</t>
  </si>
  <si>
    <t>https://en.wikipedia.org/wiki/Ministry_of_Science_and_Technology_(Thailand)</t>
  </si>
  <si>
    <t>Office of Biological and Environmental Research;BER||United States Department of Energy||Met Office;Meteorological Office</t>
  </si>
  <si>
    <t>||http://en.wikipedia.org/wiki/Met_Office||http://en.wikipedia.org/wiki/United_States_Department_of_Energy</t>
  </si>
  <si>
    <t>Directorate for Computer &amp; Information Science &amp; Engineering;NSF CISE</t>
  </si>
  <si>
    <t>Science and Technology Facilities Council;STFC||Directorate for Mathematical &amp; Physical Sciences;NSF MPS</t>
  </si>
  <si>
    <t>||http://en.wikipedia.org/wiki/Science_and_Technology_Facilities_Council</t>
  </si>
  <si>
    <t>National Council for Scientific and Technological Development;Conselho Nacional de Pesquisa;CNPq||São Paulo Research Foundation;FAPESP</t>
  </si>
  <si>
    <t>https://en.wikipedia.org/wiki/National_Council_for_Scientific_and_Technological_Development||https://en.wikipedia.org/wiki/S%C3%A3o_Paulo_Research_Foundation</t>
  </si>
  <si>
    <t>Chinese Academy of Sciences;CAS||National Natural Science Foundation of China;NSFC</t>
  </si>
  <si>
    <t>Idaho Space Grant Consortium;ISGC||United States Nuclear Regulatory Commission;NRC;USNRC</t>
  </si>
  <si>
    <t>||https://en.wikipedia.org/wiki/Nuclear_Regulatory_Commission</t>
  </si>
  <si>
    <t>Science and Technology Commission of Shanghai Municipality;STCSM||National Natural Science Foundation of China;NSFC</t>
  </si>
  <si>
    <t>Ministry of Economy, Industry and Competitiveness;MINECO||European Research Council;ERC||Social Sciences and Humanities Research Council;SSHRC;CRSH</t>
  </si>
  <si>
    <t>http://en.wikipedia.org/wiki/Social_Sciences_and_Humanities_Research_Council||https://en.wikipedia.org/wiki/European_Research_Council||https://en.wikipedia.org/wiki/Ministry_of_Economy_and_Enterprise</t>
  </si>
  <si>
    <t>National Center for Advancing Translational Sciences;National Center for Research Resources;NCATS;NCRR</t>
  </si>
  <si>
    <t>https://en.wikipedia.org/wiki/National_Center_for_Advancing_Translational_Sciences</t>
  </si>
  <si>
    <t>Coordenação de Aperfeicoamento de Pessoal de Nível Superior;CAPES</t>
  </si>
  <si>
    <t>https://en.wikipedia.org/wiki/Coordena%C3%A7%C3%A3o_de_Aperfeicoamento_de_Pessoal_de_N%C3%ADvel_Superior</t>
  </si>
  <si>
    <t>Prinses Beatrix Spierfonds;Prinses Beatrix Fonds</t>
  </si>
  <si>
    <t>Russian Science Foundation</t>
  </si>
  <si>
    <t>Korea Forest Service;KFS</t>
  </si>
  <si>
    <t>https://en.wikipedia.org/wiki/Korea_Forest_Service</t>
  </si>
  <si>
    <t>National Institute of Food and Agriculture;NIFA||United States Department of Agriculture;Agriculture Department;USDA||Louisiana Sea Grant</t>
  </si>
  <si>
    <t>||https://en.wikipedia.org/wiki/United_States_Department_of_Agriculture||https://en.wikipedia.org/wiki/National_Institute_of_Food_and_Agriculture</t>
  </si>
  <si>
    <t>National Natural Science Foundation of China;NSFC||China Postdoctoral Science Foundation</t>
  </si>
  <si>
    <t>National Council for Scientific and Technological Development;Conselho Nacional de Pesquisa;CNPq</t>
  </si>
  <si>
    <t>https://en.wikipedia.org/wiki/National_Council_for_Scientific_and_Technological_Development</t>
  </si>
  <si>
    <t>Battelle;Battelle Memorial Institute||United States Department of Energy||Office of Basic Energy Sciences;BES</t>
  </si>
  <si>
    <t>||http://en.wikipedia.org/wiki/United_States_Department_of_Energy||https://en.wikipedia.org/wiki/Battelle_Memorial_Institute</t>
  </si>
  <si>
    <t>National Natural Science Foundation of China;NSFC||University Grants Committee;UGC</t>
  </si>
  <si>
    <t>https://en.wikipedia.org/wiki/University_Grants_Committee_(Hong_Kong)||https://en.wikipedia.org/wiki/National_Natural_Science_Foundation_of_China</t>
  </si>
  <si>
    <t>Directorate for Engineering;NSF ENG||Division of Chemical, Bioengineering, Environmental, and Transport Systems;NSF CBET</t>
  </si>
  <si>
    <t>United States Army Research Office;US ARO;ARO||European Research Council;ERC||Office of Naval Research;ONR||United States Department of the Air Force;United States Air Force;DAF;USAF||Swiss National Science Foundation;SNSF;SNF;FNS||United States Department of the Navy;DON||United States Air Force Office of Scientific Research;AFOSR;USAFOSR</t>
  </si>
  <si>
    <t>https://en.wikipedia.org/wiki/Office_of_Naval_Research||https://en.wikipedia.org/wiki/United_States_Department_of_the_Air_Force||https://en.wikipedia.org/wiki/European_Research_Council||https://en.wikipedia.org/wiki/United_States_Department_of_the_Navy||||https://en.wikipedia.org/wiki/Swiss_National_Science_Foundation</t>
  </si>
  <si>
    <t>Changhua Christian Hospital;CCH</t>
  </si>
  <si>
    <t>Australian Research Council;ARC||French National Centre for Scientific Research;CNRS||Ministry of Finance</t>
  </si>
  <si>
    <t>http://en.wikipedia.org/wiki/Centre_national_de_la_recherche_scientifique||http://en.wikipedia.org/wiki/Australian_Research_Council||https://en.wikipedia.org/wiki/Ministry_of_Finance_(Indonesia)</t>
  </si>
  <si>
    <t>National Institute of Biomedical Imaging and Bioengineering;NIBIB||National Institute of Mental Health;NIMH</t>
  </si>
  <si>
    <t>https://en.wikipedia.org/wiki/National_Institute_of_Mental_Health||https://en.wikipedia.org/wiki/National_Institute_of_Biomedical_Imaging_and_Bioengineering</t>
  </si>
  <si>
    <t>World Health Organization;WHO</t>
  </si>
  <si>
    <t>https://en.wikipedia.org/wiki/World_Health_Organization</t>
  </si>
  <si>
    <t>National Scientific and Technical Research Council;CONICET||Agencia Nacional de Promoción de la Investigación, el Desarrollo Tecnológico y la Innovación;Agencia Nacional de Promoción Científica y Tecnológica;ANPCyT||Ministry of Economy, Industry and Competitiveness;MINECO</t>
  </si>
  <si>
    <t>||https://en.wikipedia.org/wiki/Ministry_of_Economy_and_Enterprise||https://en.wikipedia.org/wiki/National_Scientific_and_Technical_Research_Council</t>
  </si>
  <si>
    <t>National Natural Science Foundation of China;NSFC||Natural Sciences and Engineering Research Council;NSERC;CRSNG</t>
  </si>
  <si>
    <t>https://en.wikipedia.org/wiki/Natural_Sciences_and_Engineering_Research_Council||https://en.wikipedia.org/wiki/National_Natural_Science_Foundation_of_China</t>
  </si>
  <si>
    <t>National Research Centre;NRC</t>
  </si>
  <si>
    <t>https://en.wikipedia.org/wiki/National_Research_Centre</t>
  </si>
  <si>
    <t>China Scholarship Council;CSC</t>
  </si>
  <si>
    <t>https://en.wikipedia.org/wiki/China_Scholarship_Council</t>
  </si>
  <si>
    <t>KU Leuven;Catholic University of Leuven;University of Leuven;KUL||Research Foundation - Flanders;FWO</t>
  </si>
  <si>
    <t>https://en.wikipedia.org/wiki/Research_Foundation_-_Flanders_(FWO)||http://en.wikipedia.org/wiki/Katholieke_Universiteit_Leuven</t>
  </si>
  <si>
    <t>Directorate for Mathematical &amp; Physical Sciences;NSF MPS||National Institute of General Medical Sciences;NIGMS||Amgen (United States);Applied Molecular Genetics||Boehringer Ingelheim (United States)||Bruker (United States)||Center for Selective C–H Functionalization;NSF CCHF||Abbott (United States)</t>
  </si>
  <si>
    <t>||https://en.wikipedia.org/wiki/Bruker||https://en.wikipedia.org/wiki/Amgen||https://en.wikipedia.org/wiki/Boehringer_Ingelheim||https://en.wikipedia.org/wiki/Abbott_Laboratories||https://en.wikipedia.org/wiki/National_Institute_of_General_Medical_Sciences</t>
  </si>
  <si>
    <t>National Natural Science Foundation of China;NSFC||Beijing Institute of Technology;BIT</t>
  </si>
  <si>
    <t>https://en.wikipedia.org/wiki/Beijing_Institute_of_Technology||https://en.wikipedia.org/wiki/National_Natural_Science_Foundation_of_China</t>
  </si>
  <si>
    <t>National Heart Lung and Blood Institute;NHLBI||National Institute on Alcohol Abuse and Alcoholism;NIAAA||VA Office of Research and Development;ORD||United States Department of Veterans Affairs;U.S. Department of Veterans Affairs;VA ;DVA</t>
  </si>
  <si>
    <t>https://en.wikipedia.org/wiki/National_Institute_on_Alcohol_Abuse_and_Alcoholism||https://en.wikipedia.org/wiki/Veterans_Health_Administration_Office_of_Research_and_Development||https://en.wikipedia.org/wiki/United_States_Department_of_Veterans_Affairs||https://en.wikipedia.org/wiki/National_Heart,_Lung,_and_Blood_Institute</t>
  </si>
  <si>
    <t>Coordenação de Aperfeicoamento de Pessoal de Nível Superior;CAPES||National Council for Scientific and Technological Development;Conselho Nacional de Pesquisa;CNPq</t>
  </si>
  <si>
    <t>https://en.wikipedia.org/wiki/Coordena%C3%A7%C3%A3o_de_Aperfeicoamento_de_Pessoal_de_N%C3%ADvel_Superior||https://en.wikipedia.org/wiki/National_Council_for_Scientific_and_Technological_Development</t>
  </si>
  <si>
    <t>Department of Health and Social Care;DHSC||National Institute for Health and Care Research;National Institute for Health Research;NIHR</t>
  </si>
  <si>
    <t>http://en.wikipedia.org/wiki/Department_of_Health_(United_Kingdom)||https://en.wikipedia.org/wiki/National_Institute_for_Health_and_Care_Research</t>
  </si>
  <si>
    <t>Ministry of Economy, Industry and Competitiveness;MINECO||Comunidad de Madrid</t>
  </si>
  <si>
    <t>https://en.wikipedia.org/wiki/Ministry_of_Economy_and_Enterprise||https://en.wikipedia.org/wiki/Community_of_Madrid</t>
  </si>
  <si>
    <t>Lawrence Livermore National Laboratory;LLNL;LLL||National Institute of Environmental Health Sciences;NIEHS||Lawrence Berkeley National Laboratory;Berkeley Lab;LBNL;LBL||Environmental Protection Agency;United States Environmental Protection Agency;EPA;USEPA||Woods Hole Oceanographic Institution;WHOI||National Oceanic and Atmospheric Administration;NOAA||Los Alamos National Laboratory;LANL||Office of Science;Office of Energy Research</t>
  </si>
  <si>
    <t>http://en.wikipedia.org/wiki/National_Institute_of_Environmental_Health_Sciences||http://en.wikipedia.org/wiki/National_Oceanic_and_Atmospheric_Administration||https://en.wikipedia.org/wiki/Woods_Hole_Oceanographic_Institution||http://en.wikipedia.org/wiki/Lawrence_Livermore_National_Laboratory||https://en.wikipedia.org/wiki/United_States_Environmental_Protection_Agency||https://en.wikipedia.org/wiki/Office_of_Science||https://en.wikipedia.org/wiki/Lawrence_Berkeley_National_Laboratory||http://en.wikipedia.org/wiki/Los_Alamos_National_Laboratory</t>
  </si>
  <si>
    <t>Ministry of Trade, Industry and Energy;MOTIE||Innovate UK;Technology Strategy Board||European Commission;EC||Engineering and Physical Sciences Research Council;EPSRC||Ministry of Science and ICT;Ministry of Science and Technology;MSIT</t>
  </si>
  <si>
    <t>https://en.wikipedia.org/wiki/Engineering_and_Physical_Sciences_Research_Council||https://en.wikipedia.org/wiki/Ministry_of_Science_and_ICT||https://en.wikipedia.org/wiki/European_Commission||https://en.wikipedia.org/wiki/Ministry_of_Trade,_Industry_and_Energy_(South_Korea)||https://en.wikipedia.org/wiki/Innovate_UK</t>
  </si>
  <si>
    <t>United States Department of Veterans Affairs;U.S. Department of Veterans Affairs;VA ;DVA</t>
  </si>
  <si>
    <t>https://en.wikipedia.org/wiki/United_States_Department_of_Veterans_Affairs</t>
  </si>
  <si>
    <t>Ministry of Education of the People's Republic of China;Ministry of Education Central People's Government;State Education Commission;MOE||China Postdoctoral Science Foundation||National Natural Science Foundation of China;NSFC</t>
  </si>
  <si>
    <t>https://en.wikipedia.org/wiki/National_Natural_Science_Foundation_of_China||http://en.wikipedia.org/wiki/Ministry_of_Education_of_the_People's_Republic_of_China||</t>
  </si>
  <si>
    <t>United States Department of the Air Force;United States Air Force;DAF;USAF||Defense Advanced Research Projects Agency;Advanced Research Projects Agency;DARPA;ARPA||Directorate for Computer &amp; Information Science &amp; Engineering;NSF CISE</t>
  </si>
  <si>
    <t>https://en.wikipedia.org/wiki/United_States_Department_of_the_Air_Force||https://en.wikipedia.org/wiki/DARPA||</t>
  </si>
  <si>
    <t>Australian Research Council;ARC||National Research Foundation;NRF</t>
  </si>
  <si>
    <t>http://en.wikipedia.org/wiki/Australian_Research_Council||</t>
  </si>
  <si>
    <t>Chinese Academy of Agricultural Sciences;CAAS||National Natural Science Foundation of China;NSFC</t>
  </si>
  <si>
    <t>https://en.wikipedia.org/wiki/National_Natural_Science_Foundation_of_China||https://en.wikipedia.org/wiki/Chinese_Academy_of_Agricultural_Sciences</t>
  </si>
  <si>
    <t>Biotechnology and Biological Sciences Research Council;BBSRC||National Natural Science Foundation of China;NSFC||China Scholarship Council;CSC||Royal Society;The President, Council, and Fellows of the Royal Society of London for Improving Natural Knowledge||Ministry of Science and Technology of the People's Republic of China;State Science and Technology Commission;MOST||Academy of Finland||Wellcome Trust;WT</t>
  </si>
  <si>
    <t>https://en.wikipedia.org/wiki/Ministry_of_Science_and_Technology_of_the_People%27s_Republic_of_China||http://en.wikipedia.org/wiki/Biotechnology_and_Biological_Sciences_Research_Council||https://en.wikipedia.org/wiki/China_Scholarship_Council||http://en.wikipedia.org/wiki/Wellcome_Trust||https://en.wikipedia.org/wiki/National_Natural_Science_Foundation_of_China||https://en.wikipedia.org/wiki/Academy_of_Finland||https://en.wikipedia.org/wiki/Royal_Society</t>
  </si>
  <si>
    <t>The Research Council of Norway;Norges Forskningsråd;Forskningsrådet</t>
  </si>
  <si>
    <t>https://en.wikipedia.org/wiki/Research_Council_of_Norway</t>
  </si>
  <si>
    <t>National Cancer Institute;NCI||United States Public Health Service;USPHS;PHS</t>
  </si>
  <si>
    <t>https://en.wikipedia.org/wiki/United_States_Public_Health_Service||https://en.wikipedia.org/wiki/National_Cancer_Institute</t>
  </si>
  <si>
    <t>Swiss National Science Foundation;SNSF;SNF;FNS</t>
  </si>
  <si>
    <t>https://en.wikipedia.org/wiki/Swiss_National_Science_Foundation</t>
  </si>
  <si>
    <t>National Institute of Food and Agriculture;NIFA||Agricultural Research Service;USDA Agricultural Research Service;ARS</t>
  </si>
  <si>
    <t>https://en.wikipedia.org/wiki/National_Institute_of_Food_and_Agriculture||https://en.wikipedia.org/wiki/Agricultural_Research_Service</t>
  </si>
  <si>
    <t>European Research Council;ERC||Directorate for Mathematical &amp; Physical Sciences;NSF MPS||Office of Basic Energy Sciences;BES||Oak Ridge National Laboratory;ORNL</t>
  </si>
  <si>
    <t>||https://en.wikipedia.org/wiki/European_Research_Council||http://en.wikipedia.org/wiki/Oak_Ridge_National_Laboratory</t>
  </si>
  <si>
    <t>Chongqing Municipality Education Commission||Chongqing Science and Technology Commission||National Natural Science Foundation of China;NSFC</t>
  </si>
  <si>
    <t>American Cancer Society;American Society for the Control of Cancer;ACS;ASCC</t>
  </si>
  <si>
    <t>https://en.wikipedia.org/wiki/American_Cancer_Society</t>
  </si>
  <si>
    <t>Office of the Director;OD||National Institute of Diabetes and Digestive and Kidney Diseases;NIDDK</t>
  </si>
  <si>
    <t>https://en.wikipedia.org/wiki/National_Institute_of_Diabetes_and_Digestive_and_Kidney_Diseases||</t>
  </si>
  <si>
    <t>Ministry of Education and Culture;Kemdikbud;The Ministry of Teaching;Kementerian Pengajaran||Ministry of Research, Technology and Higher Education;DIKTI</t>
  </si>
  <si>
    <t>https://en.wikipedia.org/wiki/Ministry_of_Education_and_Culture_(Indonesia)||https://en.wikipedia.org/wiki/Ministry_of_Research,_Technology_and_Higher_Education_(Indonesia)</t>
  </si>
  <si>
    <t>China Postdoctoral Science Foundation||National Natural Science Foundation of China;NSFC||Ministry of Education of the People's Republic of China;Ministry of Education Central People's Government;State Education Commission;MOE</t>
  </si>
  <si>
    <t>||https://en.wikipedia.org/wiki/National_Natural_Science_Foundation_of_China||http://en.wikipedia.org/wiki/Ministry_of_Education_of_the_People's_Republic_of_China</t>
  </si>
  <si>
    <t>National Institute of General Medical Sciences;NIGMS||Arthritis Foundation</t>
  </si>
  <si>
    <t>https://en.wikipedia.org/wiki/National_Institute_of_General_Medical_Sciences||https://en.wikipedia.org/wiki/Arthritis_Foundation</t>
  </si>
  <si>
    <t>China Postdoctoral Science Foundation||Jiangsu Provincial Department of Education||National Natural Science Foundation of China;NSFC</t>
  </si>
  <si>
    <t>FWF Austrian Science Fund;FWF;FFWF</t>
  </si>
  <si>
    <t>https://en.wikipedia.org/wiki/Austrian_Science_Fund</t>
  </si>
  <si>
    <t>Ministry of Internal Affairs and Communications;Sōmu-shō</t>
  </si>
  <si>
    <t>https://en.wikipedia.org/wiki/Ministry_of_Internal_Affairs_and_Communications</t>
  </si>
  <si>
    <t>Natural Environment Research Council;NERC||European Commission;EC</t>
  </si>
  <si>
    <t>http://en.wikipedia.org/wiki/Natural_Environment_Research_Council||https://en.wikipedia.org/wiki/European_Commission</t>
  </si>
  <si>
    <t>National Research Foundation;NRF||Medical Research Council;MRC</t>
  </si>
  <si>
    <t>http://en.wikipedia.org/wiki/Medical_Research_Council_%28United_Kingdom%29||https://en.wikipedia.org/wiki/National_Research_Foundation_(South_Africa)</t>
  </si>
  <si>
    <t>Consejo Nacional de Humanidades, Ciencias y Tecnologías;Consejo Nacional de Ciencia y Tecnología;CONACYT;CONAHCYT</t>
  </si>
  <si>
    <t>https://en.wikipedia.org/wiki/Consejo_Nacional_de_Ciencia_y_Tecnolog%C3%ADa_(Mexico)</t>
  </si>
  <si>
    <t>China Scholarship Council;CSC||Chinese Academy of Sciences;CAS</t>
  </si>
  <si>
    <t>https://en.wikipedia.org/wiki/China_Scholarship_Council||http://en.wikipedia.org/wiki/Chinese_Academy_of_Sciences</t>
  </si>
  <si>
    <t>Fondazione Cariplo</t>
  </si>
  <si>
    <t>https://en.wikipedia.org/wiki/Fondazione_Cariplo</t>
  </si>
  <si>
    <t>National Natural Science Foundation of China;NSFC||Chinese Academy of Sciences;CAS||Ministry of Science and Technology of the People's Republic of China;State Science and Technology Commission;MOST</t>
  </si>
  <si>
    <t>https://en.wikipedia.org/wiki/Ministry_of_Science_and_Technology_of_the_People%27s_Republic_of_China||https://en.wikipedia.org/wiki/National_Natural_Science_Foundation_of_China||http://en.wikipedia.org/wiki/Chinese_Academy_of_Sciences</t>
  </si>
  <si>
    <t>National Science and Technology Council;National Science Council;Ministry of Science and Technology;MOST;NSC||Ministry of Education;Zhōnghuá Mínguó Jiàoyùbù;MOE</t>
  </si>
  <si>
    <t>https://en.wikipedia.org/wiki/Ministry_of_Education_(Taiwan)||https://en.wikipedia.org/wiki/Ministry_of_Science_and_Technology_(Taiwan)</t>
  </si>
  <si>
    <t>China National Petroleum Corporation (China);CNPC||Ministry of Science and Technology of the People's Republic of China;State Science and Technology Commission;MOST</t>
  </si>
  <si>
    <t>https://en.wikipedia.org/wiki/Ministry_of_Science_and_Technology_of_the_People%27s_Republic_of_China||https://en.wikipedia.org/wiki/China_National_Petroleum_Corporation</t>
  </si>
  <si>
    <t>National Institute of Mental Health;NIMH||National Institute on Drug Abuse;NIDA</t>
  </si>
  <si>
    <t>https://en.wikipedia.org/wiki/National_Institute_on_Drug_Abuse||https://en.wikipedia.org/wiki/National_Institute_of_Mental_Health</t>
  </si>
  <si>
    <t>Kansas Bioscience Authority;KBA||National Cancer Institute;NCI</t>
  </si>
  <si>
    <t>||https://en.wikipedia.org/wiki/National_Cancer_Institute</t>
  </si>
  <si>
    <t>Ministry of Education of the People's Republic of China;Ministry of Education Central People's Government;State Education Commission;MOE||National Natural Science Foundation of China;NSFC</t>
  </si>
  <si>
    <t>Shanghai Municipal Education Commission;SHMEC||National Natural Science Foundation of China;NSFC</t>
  </si>
  <si>
    <t>Federal Ministry of Education and Research;BMBF</t>
  </si>
  <si>
    <t>https://en.wikipedia.org/wiki/Federal_Ministry_of_Education_and_Research_(Germany)</t>
  </si>
  <si>
    <t>Fisheries Research and Development Corporation;FRDC</t>
  </si>
  <si>
    <t>https://en.wikipedia.org/wiki/Fisheries_Research_and_Development_Corporation</t>
  </si>
  <si>
    <t>National Institutes of Health;NIH||National Eye Institute;NEI||National Natural Science Foundation of China;NSFC</t>
  </si>
  <si>
    <t>http://en.wikipedia.org/wiki/National_Institutes_of_Health||https://en.wikipedia.org/wiki/National_Eye_Institute||https://en.wikipedia.org/wiki/National_Natural_Science_Foundation_of_China</t>
  </si>
  <si>
    <t>National Institute of Neurological Disorders and Stroke;NINDS||Hereditary Disease Foundation;HDF||National Institute of Diabetes and Digestive and Kidney Diseases;NIDDK</t>
  </si>
  <si>
    <t>https://en.wikipedia.org/wiki/National_Institute_of_Diabetes_and_Digestive_and_Kidney_Diseases||https://en.wikipedia.org/wiki/Hereditary_Disease_Foundation||https://en.wikipedia.org/wiki/National_Institute_of_Neurological_Disorders_and_Stroke</t>
  </si>
  <si>
    <t>Ministry of Research, Technology and Higher Education;DIKTI</t>
  </si>
  <si>
    <t>https://en.wikipedia.org/wiki/Ministry_of_Research,_Technology_and_Higher_Education_(Indonesia)</t>
  </si>
  <si>
    <t>Office of Basic Energy Sciences;BES</t>
  </si>
  <si>
    <t>National Institute of General Medical Sciences;NIGMS</t>
  </si>
  <si>
    <t>https://en.wikipedia.org/wiki/National_Institute_of_General_Medical_Sciences</t>
  </si>
  <si>
    <t>Eunice Kennedy Shriver National Institute of Child Health and Human Development;NICHD||National Institute of General Medical Sciences;NIGMS</t>
  </si>
  <si>
    <t>https://en.wikipedia.org/wiki/National_Institute_of_General_Medical_Sciences||https://en.wikipedia.org/wiki/Eunice_Kennedy_Shriver_National_Institute_of_Child_Health_and_Human_Development</t>
  </si>
  <si>
    <t>National Cancer Institute;NCI||Cancer Institute of New South Wales;Cancer Institute NSW</t>
  </si>
  <si>
    <t>https://en.wikipedia.org/wiki/National_Cancer_Institute||https://en.wikipedia.org/wiki/Cancer_Institute_of_New_South_Wales</t>
  </si>
  <si>
    <t>Office of Naval Research;ONR||United States Air Force Office of Scientific Research;AFOSR;USAFOSR||United States Department of the Navy;DON||National Natural Science Foundation of China;NSFC</t>
  </si>
  <si>
    <t>https://en.wikipedia.org/wiki/Office_of_Naval_Research||||https://en.wikipedia.org/wiki/National_Natural_Science_Foundation_of_China||https://en.wikipedia.org/wiki/United_States_Department_of_the_Navy</t>
  </si>
  <si>
    <t>National Institute of Mental Health;NIMH||Interface (United States)||Lurie Children's Hospital;Ann &amp; Robert H. Lurie Children's Hospital of Chicago;Children's Memorial Hospital</t>
  </si>
  <si>
    <t>https://en.wikipedia.org/wiki/Interface,_Inc.||https://en.wikipedia.org/wiki/National_Institute_of_Mental_Health||http://en.wikipedia.org/wiki/Lurie_Children's_Hospital</t>
  </si>
  <si>
    <t>Ministry of Science and ICT;Ministry of Science and Technology;MSIT||Korea Evaluation Institute of Industrial Technology;KEIT</t>
  </si>
  <si>
    <t>||https://en.wikipedia.org/wiki/Ministry_of_Science_and_ICT</t>
  </si>
  <si>
    <t>National Institute of General Medical Sciences;NIGMS||Innovate UK;Technology Strategy Board||Medical Research Council;MRC</t>
  </si>
  <si>
    <t>https://en.wikipedia.org/wiki/Innovate_UK||https://en.wikipedia.org/wiki/National_Institute_of_General_Medical_Sciences||http://en.wikipedia.org/wiki/Medical_Research_Council_%28United_Kingdom%29</t>
  </si>
  <si>
    <t>Australian Research Council;ARC||Autism CRC;Cooperative Research Centre for Living with Autism||Department of Industry, Science and Resources;Department of Industry and Science</t>
  </si>
  <si>
    <t>http://en.wikipedia.org/wiki/Australian_Research_Council||https://en.wikipedia.org/wiki/Department_of_Industry,_Science_and_Resources||</t>
  </si>
  <si>
    <t>Directorate for Geosciences;NSF GEO</t>
  </si>
  <si>
    <t>Children's Hospital of Michigan;CHM||National Institutes of Health;NIH||Office of the Director;OD||National Institute of Diabetes and Digestive and Kidney Diseases;NIDDK||National Institute of Environmental Health Sciences;NIEHS||National Cancer Institute;NCI||Division of Program Coordination Planning and Strategic Initiatives;DPCPSI</t>
  </si>
  <si>
    <t>https://en.wikipedia.org/wiki/National_Institute_of_Diabetes_and_Digestive_and_Kidney_Diseases||https://en.wikipedia.org/wiki/National_Cancer_Institute||https://en.wikipedia.org/wiki/Children%27s_Hospital_of_Michigan||http://en.wikipedia.org/wiki/National_Institutes_of_Health||||http://en.wikipedia.org/wiki/National_Institute_of_Environmental_Health_Sciences</t>
  </si>
  <si>
    <t>Fundação para a Ciência e Tecnologia;FCT</t>
  </si>
  <si>
    <t>https://en.wikipedia.org/wiki/Funda%C3%A7%C3%A3o_para_a_Ci%C3%AAncia_e_Tecnologia</t>
  </si>
  <si>
    <t>Office of the Director;OD||John Templeton Foundation;Templeton Foundation</t>
  </si>
  <si>
    <t>||https://en.wikipedia.org/wiki/John_Templeton_Foundation</t>
  </si>
  <si>
    <t>French National Centre for Scientific Research;CNRS||Ministry of Economy, Industry and Competitiveness;MINECO||United States Department of the Air Force;United States Air Force;DAF;USAF||European Commission;EC||United States Air Force Office of Scientific Research;AFOSR;USAFOSR||Agencia Nacional de Investigación y Desarrollo;ANID</t>
  </si>
  <si>
    <t>||https://en.wikipedia.org/wiki/European_Commission||http://en.wikipedia.org/wiki/Centre_national_de_la_recherche_scientifique||https://en.wikipedia.org/wiki/Ministry_of_Economy_and_Enterprise||https://en.wikipedia.org/wiki/United_States_Department_of_the_Air_Force</t>
  </si>
  <si>
    <t>Chinese Academy of Fishery Sciences;Zhōngguó shuǐchǎn Kēxuéyánjiūyuàn;CAFS||Ministry of Science and Technology of the People's Republic of China;State Science and Technology Commission;MOST</t>
  </si>
  <si>
    <t>https://en.wikipedia.org/wiki/Ministry_of_Science_and_Technology_of_the_People%27s_Republic_of_China||https://en.wikipedia.org/wiki/Chinese_Academy_of_Fishery_Sciences</t>
  </si>
  <si>
    <t>Research Foundation - Flanders;FWO||Belgian Federal Science Policy Office;BELSPO</t>
  </si>
  <si>
    <t>https://en.wikipedia.org/wiki/Belgian_Federal_Science_Policy_Office||https://en.wikipedia.org/wiki/Research_Foundation_-_Flanders_(FWO)</t>
  </si>
  <si>
    <t>National Cancer Institute;NCI||National Institute on Aging;NIA||Arizona Department of Health Services;ADHS||St. Jude Children's Research Hospital||National Institute of Neurological Disorders and Stroke;NINDS||Michael J. Fox Foundation;Michael J. Fox Foundation for Parkinson's Research;MJFF</t>
  </si>
  <si>
    <t>https://en.wikipedia.org/wiki/National_Institute_on_Aging||https://en.wikipedia.org/wiki/Arizona_Department_of_Health_Services||https://en.wikipedia.org/wiki/St._Jude_Children%27s_Research_Hospital||https://en.wikipedia.org/wiki/The_Michael_J._Fox_Foundation||https://en.wikipedia.org/wiki/National_Cancer_Institute||https://en.wikipedia.org/wiki/National_Institute_of_Neurological_Disorders_and_Stroke</t>
  </si>
  <si>
    <t>Migraine Trust||Guy's and St Thomas' Charity</t>
  </si>
  <si>
    <t>||https://en.wikipedia.org/wiki/Migraine_Trust</t>
  </si>
  <si>
    <t>Youth Innovation Promotion Association;YIPA||National Natural Science Foundation of China;NSFC||Chinese Academy of Sciences;CAS||Directorate for Geosciences;NSF GEO</t>
  </si>
  <si>
    <t>United States Geological Survey;US Geological Survey;USGS||Office of Basic Energy Sciences;BES||Directorate for Geosciences;NSF GEO</t>
  </si>
  <si>
    <t>||https://en.wikipedia.org/wiki/United_States_Geological_Survey</t>
  </si>
  <si>
    <t>National Natural Science Foundation of China;NSFC||Science and Technology Department of Zhejiang Province</t>
  </si>
  <si>
    <t>National Institute of Food and Agriculture;NIFA</t>
  </si>
  <si>
    <t>https://en.wikipedia.org/wiki/National_Institute_of_Food_and_Agriculture</t>
  </si>
  <si>
    <t>Dutch Research Council;Netherlands Organisation for Scientific Research;NWO</t>
  </si>
  <si>
    <t>https://en.wikipedia.org/wiki/Dutch_Research_Council</t>
  </si>
  <si>
    <t>National Council for Scientific and Technological Development;Conselho Nacional de Pesquisa;CNPq||Fundação de Apoio a Pesquisa do Estado de Goiás;FAPEG</t>
  </si>
  <si>
    <t>https://en.wikipedia.org/wiki/National_Council_for_Scientific_and_Technological_Development||</t>
  </si>
  <si>
    <t>National Council for Scientific and Technological Development;Conselho Nacional de Pesquisa;CNPq||Coordenação de Aperfeicoamento de Pessoal de Nível Superior;CAPES||Fundação de Apoio ao Desenvolvimento do Ensino, Ciência e Tecnologia do Estado de Mato Grosso do Sul;FUNDECT</t>
  </si>
  <si>
    <t>Natural Sciences and Engineering Research Council;NSERC;CRSNG||Canadian Institutes of Health Research;CIHR</t>
  </si>
  <si>
    <t>https://en.wikipedia.org/wiki/Natural_Sciences_and_Engineering_Research_Council||http://en.wikipedia.org/wiki/Canadian_Institutes_of_Health_Research</t>
  </si>
  <si>
    <t>Division of Computer and Network Systems;NSF CNS||National Natural Science Foundation of China;NSFC||Directorate for Computer &amp; Information Science &amp; Engineering;NSF CISE</t>
  </si>
  <si>
    <t>National Natural Science Foundation of China;NSFC||Ministry of Education of the People's Republic of China;Ministry of Education Central People's Government;State Education Commission;MOE||Ministry of Science and Technology of the People's Republic of China;State Science and Technology Commission;MOST||Alexander von Humboldt Foundation</t>
  </si>
  <si>
    <t>http://en.wikipedia.org/wiki/Ministry_of_Education_of_the_People's_Republic_of_China||https://en.wikipedia.org/wiki/Alexander_von_Humboldt_Foundation||https://en.wikipedia.org/wiki/National_Natural_Science_Foundation_of_China||https://en.wikipedia.org/wiki/Ministry_of_Science_and_Technology_of_the_People%27s_Republic_of_China</t>
  </si>
  <si>
    <t>Federal Ministry of Education and Research;BMBF||European Commission;EC||Swedish Foundation for Strategic Research;Stiftelsen för Strategisk Forskning;SSF||Helmholtz Association of German Research Centres||Swedish Research Council||Fraunhofer Society;FHG||Knut and Alice Wallenberg Foundation;Knut och Alice Wallenbergs Stiftelse||General Electric (United States);GE||European Synchrotron Radiation Facility;ESRF</t>
  </si>
  <si>
    <t>https://en.wikipedia.org/wiki/European_Commission||http://en.wikipedia.org/wiki/Helmholtz_Association_of_German_Research_Centres||https://en.wikipedia.org/wiki/Swedish_Research_Council||https://en.wikipedia.org/wiki/Federal_Ministry_of_Education_and_Research_(Germany)||https://en.wikipedia.org/wiki/General_Electric||https://en.wikipedia.org/wiki/European_Synchrotron_Radiation_Facility||https://en.wikipedia.org/wiki/Swedish_Foundation_for_Strategic_Research||http://en.wikipedia.org/wiki/Fraunhofer_Society||https://en.wikipedia.org/wiki/Knut_and_Alice_Wallenberg_Foundation</t>
  </si>
  <si>
    <t>Department of Health and Social Care;DHSC||Basque Government</t>
  </si>
  <si>
    <t>http://en.wikipedia.org/wiki/Department_of_Health_(United_Kingdom)||https://en.wikipedia.org/wiki/Basque_Government</t>
  </si>
  <si>
    <t>Directorate for Computer &amp; Information Science &amp; Engineering;NSF CISE||United States Department of Homeland Security;DHS</t>
  </si>
  <si>
    <t>||https://en.wikipedia.org/wiki/United_States_Department_of_Homeland_Security</t>
  </si>
  <si>
    <t>Ministry of Education, Science and Technological Development</t>
  </si>
  <si>
    <t>https://en.wikipedia.org/wiki/Ministry_of_Education,_Science_and_Technological_Development_(Serbia)</t>
  </si>
  <si>
    <t>State Administration of Traditional Chinese Medicine of the People's Republic of China;SATCM</t>
  </si>
  <si>
    <t>https://en.wikipedia.org/wiki/State_Administration_of_Traditional_Chinese_Medicine</t>
  </si>
  <si>
    <t>Deutsche Forschungsgemeinschaft;DFG||Engineering and Physical Sciences Research Council;EPSRC||Natural Environment Research Council;NERC||Royal Society;The President, Council, and Fellows of the Royal Society of London for Improving Natural Knowledge</t>
  </si>
  <si>
    <t>https://en.wikipedia.org/wiki/Royal_Society||http://en.wikipedia.org/wiki/Deutsche_Forschungsgemeinschaft||http://en.wikipedia.org/wiki/Natural_Environment_Research_Council||https://en.wikipedia.org/wiki/Engineering_and_Physical_Sciences_Research_Council</t>
  </si>
  <si>
    <t>Economic and Social Research Council;Social Science Research Council;ESRC||Medical Research Council;MRC||NIHR Evaluation Trials and Studies Coordinating Centre;NIHR, Evaluation, Trials and Studies;NETS;NETSCC||Department of Health and Social Care;DHSC||Chief Scientist Office;CSO</t>
  </si>
  <si>
    <t>||https://en.wikipedia.org/wiki/Chief_Scientist_Office||https://en.wikipedia.org/wiki/Economic_and_Social_Research_Council||http://en.wikipedia.org/wiki/Department_of_Health_(United_Kingdom)||http://en.wikipedia.org/wiki/Medical_Research_Council_%28United_Kingdom%29</t>
  </si>
  <si>
    <t>National Institute of General Medical Sciences;NIGMS||National Cancer Institute;NCI||Office of the Director;OD||Memorial Sloan Kettering Cancer Center;New York Cancer Hospital;MSK;MSKCC</t>
  </si>
  <si>
    <t>||https://en.wikipedia.org/wiki/National_Cancer_Institute||https://en.wikipedia.org/wiki/National_Institute_of_General_Medical_Sciences||https://en.wikipedia.org/wiki/Memorial_Sloan_Kettering_Cancer_Center</t>
  </si>
  <si>
    <t>National Cancer Institute;NCI||United States National Library of Medicine;NLM||National Institute of General Medical Sciences;NIGMS</t>
  </si>
  <si>
    <t>https://en.wikipedia.org/wiki/United_States_National_Library_of_Medicine||https://en.wikipedia.org/wiki/National_Institute_of_General_Medical_Sciences||https://en.wikipedia.org/wiki/National_Cancer_Institute</t>
  </si>
  <si>
    <t>Ministry of Science and Technology of the People's Republic of China;State Science and Technology Commission;MOST||National Natural Science Foundation of China;NSFC||Chinese Academy of Sciences;CAS</t>
  </si>
  <si>
    <t>http://en.wikipedia.org/wiki/Chinese_Academy_of_Sciences||https://en.wikipedia.org/wiki/National_Natural_Science_Foundation_of_China||https://en.wikipedia.org/wiki/Ministry_of_Science_and_Technology_of_the_People%27s_Republic_of_China</t>
  </si>
  <si>
    <t>Australian Research Council;ARC||National Natural Science Foundation of China;NSFC</t>
  </si>
  <si>
    <t>http://en.wikipedia.org/wiki/Australian_Research_Council||https://en.wikipedia.org/wiki/National_Natural_Science_Foundation_of_China</t>
  </si>
  <si>
    <t>Fundação Carlos Chagas Filho de Amparo à Pesquisa do Estado do Rio de Janeiro;FAPERJ||Coordenação de Aperfeicoamento de Pessoal de Nível Superior;CAPES||National Council for Scientific and Technological Development;Conselho Nacional de Pesquisa;CNPq||Fundação do Câncer;Fundação Ary Frauzino para Pesquisa e Controle do Câncer</t>
  </si>
  <si>
    <t>https://en.wikipedia.org/wiki/Coordena%C3%A7%C3%A3o_de_Aperfeicoamento_de_Pessoal_de_N%C3%ADvel_Superior||https://en.wikipedia.org/wiki/National_Council_for_Scientific_and_Technological_Development||</t>
  </si>
  <si>
    <t>National Institute on Drug Abuse;NIDA</t>
  </si>
  <si>
    <t>https://en.wikipedia.org/wiki/National_Institute_on_Drug_Abuse</t>
  </si>
  <si>
    <t>Ministry of Education Youth and Sports;MSMT||European Commission;EC</t>
  </si>
  <si>
    <t>https://en.wikipedia.org/wiki/European_Commission||https://en.wikipedia.org/wiki/Ministry_of_Education,_Youth_and_Sports_(Czech_Republic)</t>
  </si>
  <si>
    <t>CHDI Foundation;Cure Huntington's Disease Initiative;High Q Foundation||National Institute of Neurological Disorders and Stroke;NINDS</t>
  </si>
  <si>
    <t>https://en.wikipedia.org/wiki/CHDI_Foundation||https://en.wikipedia.org/wiki/National_Institute_of_Neurological_Disorders_and_Stroke</t>
  </si>
  <si>
    <t>Ministry of Education of the People's Republic of China;Ministry of Education Central People's Government;State Education Commission;MOE||Ministry of Science and Technology of the People's Republic of China;State Science and Technology Commission;MOST||National Natural Science Foundation of China;NSFC||Jiangsu Provincial Department of Education||Institute of Soil Science;ISSAS</t>
  </si>
  <si>
    <t>http://en.wikipedia.org/wiki/Ministry_of_Education_of_the_People's_Republic_of_China||https://en.wikipedia.org/wiki/Ministry_of_Science_and_Technology_of_the_People%27s_Republic_of_China||||https://en.wikipedia.org/wiki/National_Natural_Science_Foundation_of_China</t>
  </si>
  <si>
    <t>Ministry of Science and ICT;Ministry of Science and Technology;MSIT||National Research Foundation of Korea;NRF</t>
  </si>
  <si>
    <t>https://en.wikipedia.org/wiki/National_Research_Foundation_of_Korea||https://en.wikipedia.org/wiki/Ministry_of_Science_and_ICT</t>
  </si>
  <si>
    <t>Council of Scientific and Industrial Research;CSIR||University Grants Commission;UGC</t>
  </si>
  <si>
    <t>https://en.wikipedia.org/wiki/University_Grants_Commission_(India)||http://en.wikipedia.org/wiki/Council_of_Scientific_and_Industrial_Research</t>
  </si>
  <si>
    <t>Defence Science and Technology Agency;DSTA</t>
  </si>
  <si>
    <t>https://en.wikipedia.org/wiki/Defence_Science_and_Technology_Agency</t>
  </si>
  <si>
    <t>European Commission;EC||European Cooperation in Science and Technology;COST||Deutsche Forschungsgemeinschaft;DFG||Business Finland;Finnish Funding Agency for Technology and Innovation</t>
  </si>
  <si>
    <t>http://en.wikipedia.org/wiki/Deutsche_Forschungsgemeinschaft||https://en.wikipedia.org/wiki/Business_Finland||https://en.wikipedia.org/wiki/European_Commission||https://en.wikipedia.org/wiki/European_Cooperation_in_Science_and_Technology</t>
  </si>
  <si>
    <t>National Research Foundation of Korea;NRF||Ministry of Trade, Industry and Energy;MOTIE||Ministry of Science and ICT;Ministry of Science and Technology;MSIT||Korea Institute of Energy Technology Evaluation and Planning;KETEP</t>
  </si>
  <si>
    <t>https://en.wikipedia.org/wiki/Ministry_of_Science_and_ICT||||https://en.wikipedia.org/wiki/National_Research_Foundation_of_Korea||https://en.wikipedia.org/wiki/Ministry_of_Trade,_Industry_and_Energy_(South_Korea)</t>
  </si>
  <si>
    <t>United States Air Force Office of Scientific Research;AFOSR;USAFOSR||Coordenação de Aperfeicoamento de Pessoal de Nível Superior;CAPES||National Council for Scientific and Technological Development;Conselho Nacional de Pesquisa;CNPq||São Paulo Research Foundation;FAPESP</t>
  </si>
  <si>
    <t>https://en.wikipedia.org/wiki/National_Council_for_Scientific_and_Technological_Development||||https://en.wikipedia.org/wiki/S%C3%A3o_Paulo_Research_Foundation||https://en.wikipedia.org/wiki/Coordena%C3%A7%C3%A3o_de_Aperfeicoamento_de_Pessoal_de_N%C3%ADvel_Superior</t>
  </si>
  <si>
    <t>Japan Society for the Promotion of Science;Nihon Gakujutsu Shinkō Kai;JSPS||American Mathematical Society;AMS</t>
  </si>
  <si>
    <t>http://en.wikipedia.org/wiki/Japan_Society_for_the_Promotion_of_Science||https://en.wikipedia.org/wiki/American_Mathematical_Society</t>
  </si>
  <si>
    <t>United States Department of Homeland Security;DHS||Directorate for Social, Behavioral &amp; Economic Sciences;NSF SBE</t>
  </si>
  <si>
    <t>https://en.wikipedia.org/wiki/United_States_Department_of_Homeland_Security||</t>
  </si>
  <si>
    <t>Deutsche Forschungsgemeinschaft;DFG||Alfried Krupp von Bohlen und Halbach Foundation</t>
  </si>
  <si>
    <t>http://en.wikipedia.org/wiki/Deutsche_Forschungsgemeinschaft||https://en.wikipedia.org/wiki/Alfried_Krupp_von_Bohlen_und_Halbach_Foundation</t>
  </si>
  <si>
    <t>Science Foundation Ireland;SFI||National Institute on Aging;NIA||Howard Hughes Medical Institute;HHMI||National Institute of General Medical Sciences;NIGMS</t>
  </si>
  <si>
    <t>https://en.wikipedia.org/wiki/Howard_Hughes_Medical_Institute||https://en.wikipedia.org/wiki/National_Institute_of_General_Medical_Sciences||https://en.wikipedia.org/wiki/National_Institute_on_Aging||https://en.wikipedia.org/wiki/Science_Foundation_Ireland</t>
  </si>
  <si>
    <t>Eunice Kennedy Shriver National Institute of Child Health and Human Development;NICHD||Japan Society for the Promotion of Science;Nihon Gakujutsu Shinkō Kai;JSPS||National Institute of General Medical Sciences;NIGMS</t>
  </si>
  <si>
    <t>https://en.wikipedia.org/wiki/National_Institute_of_General_Medical_Sciences||https://en.wikipedia.org/wiki/Eunice_Kennedy_Shriver_National_Institute_of_Child_Health_and_Human_Development||http://en.wikipedia.org/wiki/Japan_Society_for_the_Promotion_of_Science</t>
  </si>
  <si>
    <t>Hunan Provincial Science and Technology Department;HSTD</t>
  </si>
  <si>
    <t>National Institute of Allergy and Infectious Diseases;NIAID||National Heart Lung and Blood Institute;NHLBI||National Natural Science Foundation of China;NSFC</t>
  </si>
  <si>
    <t>https://en.wikipedia.org/wiki/National_Heart,_Lung,_and_Blood_Institute||https://en.wikipedia.org/wiki/National_Institute_of_Allergy_and_Infectious_Diseases||https://en.wikipedia.org/wiki/National_Natural_Science_Foundation_of_China</t>
  </si>
  <si>
    <t>Directorate for Computer &amp; Information Science &amp; Engineering;NSF CISE||Directorate for STEM Education;Directorate for Education &amp; Human Resources;EDU</t>
  </si>
  <si>
    <t>Office of the Director;NSF OD||National Science Foundation;NSF</t>
  </si>
  <si>
    <t>https://en.wikipedia.org/wiki/National_Science_Foundation||</t>
  </si>
  <si>
    <t>National Cancer Institute;NCI||Alexander von Humboldt Foundation</t>
  </si>
  <si>
    <t>https://en.wikipedia.org/wiki/National_Cancer_Institute||https://en.wikipedia.org/wiki/Alexander_von_Humboldt_Foundation</t>
  </si>
  <si>
    <t>China Scholarship Council;CSC||National Nuclear Security Administration;NNSA</t>
  </si>
  <si>
    <t>https://en.wikipedia.org/wiki/China_Scholarship_Council||https://en.wikipedia.org/wiki/National_Nuclear_Security_Administration</t>
  </si>
  <si>
    <t>Chinese Academy of Sciences;CAS</t>
  </si>
  <si>
    <t>http://en.wikipedia.org/wiki/Chinese_Academy_of_Sciences</t>
  </si>
  <si>
    <t>European Commission;EC||Ministry of Economy, Industry and Competitiveness;MINECO</t>
  </si>
  <si>
    <t>https://en.wikipedia.org/wiki/Ministry_of_Economy_and_Enterprise||https://en.wikipedia.org/wiki/European_Commission</t>
  </si>
  <si>
    <t>Canadian Cancer Society||Natural Sciences and Engineering Research Council;NSERC;CRSNG||Canada Foundation for Innovation;CFI||Canada Research Chairs;CRCs||Government of Canada;Her Majesty's Government;Gouvernement de Sa Majesté</t>
  </si>
  <si>
    <t>https://en.wikipedia.org/wiki/Government_of_Canada||http://en.wikipedia.org/wiki/Canada_Foundation_for_Innovation||https://en.wikipedia.org/wiki/Natural_Sciences_and_Engineering_Research_Council||https://en.wikipedia.org/wiki/Canada_Research_Chair||http://en.wikipedia.org/wiki/Canadian_Cancer_Society</t>
  </si>
  <si>
    <t>Deutsche Forschungsgemeinschaft;DFG||Directorate for Engineering;NSF ENG</t>
  </si>
  <si>
    <t>http://en.wikipedia.org/wiki/Deutsche_Forschungsgemeinschaft||</t>
  </si>
  <si>
    <t>Nanjing Institute of Technology;NJIT||National Natural Science Foundation of China;NSFC</t>
  </si>
  <si>
    <t>https://en.wikipedia.org/wiki/National_Natural_Science_Foundation_of_China||https://en.wikipedia.org/wiki/Nanjing_Institute_of_Technology</t>
  </si>
  <si>
    <t>French Muscular Dystrophy Association;AFM-Téléthon;AFM||Canadian Institutes of Health Research;CIHR</t>
  </si>
  <si>
    <t>http://en.wikipedia.org/wiki/Canadian_Institutes_of_Health_Research||</t>
  </si>
  <si>
    <t>National Oceanic and Atmospheric Administration;NOAA||Office of Biological and Environmental Research;BER||National Aeronautics and Space Administration;NASA||Directorate for Geosciences;NSF GEO||Lawrence Livermore National Laboratory;LLNL;LLL</t>
  </si>
  <si>
    <t>http://en.wikipedia.org/wiki/Lawrence_Livermore_National_Laboratory||||http://en.wikipedia.org/wiki/National_Oceanic_and_Atmospheric_Administration||http://en.wikipedia.org/wiki/NASA</t>
  </si>
  <si>
    <t>Toyota Motor Corporation (Japan);Toyota Jidōsha</t>
  </si>
  <si>
    <t>https://en.wikipedia.org/wiki/Toyota</t>
  </si>
  <si>
    <t>Wellcome Trust;WT||Biotechnology and Biological Sciences Research Council;BBSRC</t>
  </si>
  <si>
    <t>http://en.wikipedia.org/wiki/Biotechnology_and_Biological_Sciences_Research_Council||http://en.wikipedia.org/wiki/Wellcome_Trust</t>
  </si>
  <si>
    <t>Japan Society for the Promotion of Science;Nihon Gakujutsu Shinkō Kai;JSPS||Japan Science and Technology Agency;JST</t>
  </si>
  <si>
    <t>Ajinomoto (Japan);Ajinomoto Kabushiki-gaisha</t>
  </si>
  <si>
    <t>https://en.wikipedia.org/wiki/Ajinomoto</t>
  </si>
  <si>
    <t>Science and Engineering Research Board;SERB||Office of Science;Office of Energy Research</t>
  </si>
  <si>
    <t>https://en.wikipedia.org/wiki/Office_of_Science||https://en.wikipedia.org/wiki/Science_and_Engineering_Research_Board</t>
  </si>
  <si>
    <t>Federal Ministry of Science, Research and Economics;BMWFW||Nationalstiftung für Forschung Technologie und Entwicklung</t>
  </si>
  <si>
    <t>https://en.wikipedia.org/wiki/Agricultural_Research_Service||https://en.wikipedia.org/wiki/National_Institute_of_Food_and_Agriculture</t>
  </si>
  <si>
    <t>http://en.wikipedia.org/wiki/Chinese_Academy_of_Sciences||https://en.wikipedia.org/wiki/National_Natural_Science_Foundation_of_China</t>
  </si>
  <si>
    <t>Rufford Foundation;Rufford Maurice Laing Foundation</t>
  </si>
  <si>
    <t>https://en.wikipedia.org/wiki/Rufford_Foundation</t>
  </si>
  <si>
    <t>French National Centre for Scientific Research;CNRS||National Aeronautics and Space Administration;NASA||Mars (United States)</t>
  </si>
  <si>
    <t>http://en.wikipedia.org/wiki/Centre_national_de_la_recherche_scientifique||https://en.wikipedia.org/wiki/Mars,_Incorporated||http://en.wikipedia.org/wiki/NASA</t>
  </si>
  <si>
    <t>German Primate Center;Deutsches Primatenzentrum - Leibniz-Institut für Primatenforschung;German Primate Center – Leibniz Institute for Primate Research;DPZ</t>
  </si>
  <si>
    <t>http://en.wikipedia.org/wiki/German_Primate_Center</t>
  </si>
  <si>
    <t>National Aeronautics and Space Administration;NASA||National Energy Technology Laboratory;NETL</t>
  </si>
  <si>
    <t>https://en.wikipedia.org/wiki/National_Energy_Technology_Laboratory||http://en.wikipedia.org/wiki/NASA</t>
  </si>
  <si>
    <t>National Research Council;CNR||Natural Resources Canada;NRCan||Basque Government</t>
  </si>
  <si>
    <t>https://en.wikipedia.org/wiki/Natural_Resources_Canada||http://en.wikipedia.org/wiki/National_Research_Council_%28Italy%29||https://en.wikipedia.org/wiki/Basque_Government</t>
  </si>
  <si>
    <t>Defense Advanced Research Projects Agency;Advanced Research Projects Agency;DARPA;ARPA||United States Army Research Office;US ARO;ARO</t>
  </si>
  <si>
    <t>||https://en.wikipedia.org/wiki/DARPA</t>
  </si>
  <si>
    <t>Division of Chemistry;NSF CHE||Directorate for Mathematical &amp; Physical Sciences;NSF MPS</t>
  </si>
  <si>
    <t>National Human Genome Research Institute;National Center for Human Genome Research;NHGRI;NCHGR||National Institute on Alcohol Abuse and Alcoholism;NIAAA||National Institute on Drug Abuse;NIDA||National Heart Lung and Blood Institute;NHLBI||National Institutes of Health Clinical Center;NIH Clinical Cente;CLC</t>
  </si>
  <si>
    <t>https://en.wikipedia.org/wiki/National_Human_Genome_Research_Institute||https://en.wikipedia.org/wiki/National_Institute_on_Drug_Abuse||https://en.wikipedia.org/wiki/National_Institutes_of_Health_Clinical_Center||https://en.wikipedia.org/wiki/National_Heart,_Lung,_and_Blood_Institute||https://en.wikipedia.org/wiki/National_Institute_on_Alcohol_Abuse_and_Alcoholism</t>
  </si>
  <si>
    <t>Directorate for Mathematical &amp; Physical Sciences;NSF MPS||Division of Materials Research;NSF DMR</t>
  </si>
  <si>
    <t>National Center for Chronic Disease Prevention and Health Promotion;Chronic Disease Prevention and Health Promotion;NCCDPHP||United States Department of Health and Human Services;US Department of Health and Human Services;DHHS;HHS</t>
  </si>
  <si>
    <t>||https://en.wikipedia.org/wiki/United_States_Department_of_Health_and_Human_Services</t>
  </si>
  <si>
    <t>National Academy of Sciences of Ukraine;Natsional’na Akademiya Nauk Ukrayiny;NAN Ukraine||European Commission;EC</t>
  </si>
  <si>
    <t>https://en.wikipedia.org/wiki/European_Commission||http://en.wikipedia.org/wiki/National_Academy_of_Sciences_of_Ukraine</t>
  </si>
  <si>
    <t>Guangdong Science and Technology Department||National Natural Science Foundation of China;NSFC||Ministry of Science and Technology of the People's Republic of China;State Science and Technology Commission;MOST</t>
  </si>
  <si>
    <t>||https://en.wikipedia.org/wiki/Ministry_of_Science_and_Technology_of_the_People%27s_Republic_of_China||https://en.wikipedia.org/wiki/National_Natural_Science_Foundation_of_China</t>
  </si>
  <si>
    <t>Fondazione per la Ricerca sulla Fibrosi Cistica;FFC||Biotechnology and Biological Sciences Research Council;BBSRC||Italian Association for Cancer Research;AIRC ||Cystic Fibrosis Foundation;CFF||Fondazione Cassa di Risparmio di Padova e Rovigo||Wellcome Trust;WT</t>
  </si>
  <si>
    <t>http://en.wikipedia.org/wiki/Biotechnology_and_Biological_Sciences_Research_Council||||http://en.wikipedia.org/wiki/Wellcome_Trust||https://en.wikipedia.org/wiki/Cystic_Fibrosis_Foundation</t>
  </si>
  <si>
    <t>Scottish Environment Protection Agency;SEPA||Natural England||Scottish Government||Natural Environment Research Council;NERC||Natural Resources Wales||Biotechnology and Biological Sciences Research Council;BBSRC</t>
  </si>
  <si>
    <t>https://en.wikipedia.org/wiki/Natural_England||http://en.wikipedia.org/wiki/Natural_Environment_Research_Council||https://en.wikipedia.org/wiki/Natural_Resources_Wales||https://en.wikipedia.org/wiki/Scottish_Environment_Protection_Agency||http://en.wikipedia.org/wiki/Biotechnology_and_Biological_Sciences_Research_Council||https://en.wikipedia.org/wiki/Scottish_Government</t>
  </si>
  <si>
    <t>National Institutes of Health;NIH||Danish Ministry of Higher Education and Science||Danish Cancer Society;Kræftens Bekæmpelse</t>
  </si>
  <si>
    <t>||http://en.wikipedia.org/wiki/National_Institutes_of_Health||https://en.wikipedia.org/wiki/Ministry_of_Science,_Innovation_and_Higher_Education_(Denmark)</t>
  </si>
  <si>
    <t>Coordenação de Aperfeicoamento de Pessoal de Nível Superior;CAPES||Ministry of Health||National Council for Scientific and Technological Development;Conselho Nacional de Pesquisa;CNPq</t>
  </si>
  <si>
    <t>https://en.wikipedia.org/wiki/National_Council_for_Scientific_and_Technological_Development||https://en.wikipedia.org/wiki/Coordena%C3%A7%C3%A3o_de_Aperfeicoamento_de_Pessoal_de_N%C3%ADvel_Superior||https://en.wikipedia.org/wiki/Ministry_of_Health_(Brazil)</t>
  </si>
  <si>
    <t>Deutsche Forschungsgemeinschaft;DFG||Federal Ministry of Education and Research;BMBF</t>
  </si>
  <si>
    <t>http://en.wikipedia.org/wiki/Deutsche_Forschungsgemeinschaft||https://en.wikipedia.org/wiki/Federal_Ministry_of_Education_and_Research_(Germany)</t>
  </si>
  <si>
    <t>National Scientific and Technical Research Council;CONICET||Comisión Nacional de Energía Atómica;CNEA</t>
  </si>
  <si>
    <t>https://en.wikipedia.org/wiki/National_Atomic_Energy_Commission||https://en.wikipedia.org/wiki/National_Scientific_and_Technical_Research_Council</t>
  </si>
  <si>
    <t>Ministry of Science and Technology of the People's Republic of China;State Science and Technology Commission;MOST||Beijing Municipal Science &amp; Technology Commision||National Natural Science Foundation of China;NSFC||Chinese Academy of Sciences;CAS||Howard Hughes Medical Institute;HHMI</t>
  </si>
  <si>
    <t>https://en.wikipedia.org/wiki/National_Natural_Science_Foundation_of_China||||https://en.wikipedia.org/wiki/Ministry_of_Science_and_Technology_of_the_People%27s_Republic_of_China||http://en.wikipedia.org/wiki/Chinese_Academy_of_Sciences||https://en.wikipedia.org/wiki/Howard_Hughes_Medical_Institute</t>
  </si>
  <si>
    <t>National Institute on Aging;NIA||VA Office of Research and Development;ORD||United States Department of Veterans Affairs;U.S. Department of Veterans Affairs;VA ;DVA</t>
  </si>
  <si>
    <t>https://en.wikipedia.org/wiki/United_States_Department_of_Veterans_Affairs||https://en.wikipedia.org/wiki/Veterans_Health_Administration_Office_of_Research_and_Development||https://en.wikipedia.org/wiki/National_Institute_on_Aging</t>
  </si>
  <si>
    <t>Ministry of Business, Innovation and Employment;MBIE</t>
  </si>
  <si>
    <t>https://en.wikipedia.org/wiki/Ministry_of_Business,_Innovation_and_Employment</t>
  </si>
  <si>
    <t>European Commission;EC||National Institute of General Medical Sciences;NIGMS||National Science and Technology Development Agency;NSTDA||Institut Pasteur</t>
  </si>
  <si>
    <t>https://en.wikipedia.org/wiki/European_Commission||https://en.wikipedia.org/wiki/Pasteur_Institute||https://en.wikipedia.org/wiki/National_Institute_of_General_Medical_Sciences||https://en.wikipedia.org/wiki/National_Science_and_Technology_Development_Agency</t>
  </si>
  <si>
    <t>National Institute of Allergy and Infectious Diseases;NIAID||Office of the Director;OD||National Institute of General Medical Sciences;NIGMS||National Eye Institute;NEI</t>
  </si>
  <si>
    <t>||https://en.wikipedia.org/wiki/National_Institute_of_Allergy_and_Infectious_Diseases||https://en.wikipedia.org/wiki/National_Institute_of_General_Medical_Sciences||https://en.wikipedia.org/wiki/National_Eye_Institute</t>
  </si>
  <si>
    <t>https://en.wikipedia.org/wiki/Lee_Foundation</t>
  </si>
  <si>
    <t>Science and Engineering Research Board;SERB</t>
  </si>
  <si>
    <t>https://en.wikipedia.org/wiki/Science_and_Engineering_Research_Board</t>
  </si>
  <si>
    <t>Directorate for Mathematical &amp; Physical Sciences;NSF MPS||Office of Basic Energy Sciences;BES</t>
  </si>
  <si>
    <t>United States Department of Veterans Affairs;U.S. Department of Veterans Affairs;VA ;DVA||VA Office of Research and Development;ORD||National Institute of Diabetes and Digestive and Kidney Diseases;NIDDK</t>
  </si>
  <si>
    <t>https://en.wikipedia.org/wiki/National_Institute_of_Diabetes_and_Digestive_and_Kidney_Diseases||https://en.wikipedia.org/wiki/United_States_Department_of_Veterans_Affairs||https://en.wikipedia.org/wiki/Veterans_Health_Administration_Office_of_Research_and_Development</t>
  </si>
  <si>
    <t>National Research Foundation;NRF||Ministry of Science and ICT;Ministry of Science and Technology;MSIT||National Research Foundation of Korea;NRF||Ministry of Education;MOE</t>
  </si>
  <si>
    <t>||https://en.wikipedia.org/wiki/National_Research_Foundation_of_Korea||https://en.wikipedia.org/wiki/Ministry_of_Science_and_ICT||https://en.wikipedia.org/wiki/Ministry_of_Education_(South_Korea)</t>
  </si>
  <si>
    <t>National Institute of Environmental Health Sciences;NIEHS||Directorate for Geosciences;NSF GEO</t>
  </si>
  <si>
    <t>http://en.wikipedia.org/wiki/National_Institute_of_Environmental_Health_Sciences||</t>
  </si>
  <si>
    <t>United States Department of Energy</t>
  </si>
  <si>
    <t>http://en.wikipedia.org/wiki/United_States_Department_of_Energy</t>
  </si>
  <si>
    <t>Medical Research Council;MRC</t>
  </si>
  <si>
    <t>http://en.wikipedia.org/wiki/Medical_Research_Council_%28United_Kingdom%29</t>
  </si>
  <si>
    <t>National Council for Scientific and Technological Development;Conselho Nacional de Pesquisa;CNPq||Coordenação de Aperfeicoamento de Pessoal de Nível Superior;CAPES</t>
  </si>
  <si>
    <t>National Natural Science Foundation of China;NSFC||Education Department of Hunan Province</t>
  </si>
  <si>
    <t>Agency for Healthcare Research and Quality;AHRQ</t>
  </si>
  <si>
    <t>https://en.wikipedia.org/wiki/Agency_for_Healthcare_Research_and_Quality</t>
  </si>
  <si>
    <t>Agencia Nacional de Investigación e Innovación;ANII</t>
  </si>
  <si>
    <t>China Scholarship Council;CSC||Division of Materials Research;NSF DMR||Directorate for Mathematical &amp; Physical Sciences;NSF MPS||Directorate for Engineering;NSF ENG||Office of Naval Research;ONR||Division of Electrical, Communications &amp; Cyber Systems;NSF ECCS||United States Department of the Navy;DON||National Natural Science Foundation of China;NSFC</t>
  </si>
  <si>
    <t>||https://en.wikipedia.org/wiki/China_Scholarship_Council||https://en.wikipedia.org/wiki/Office_of_Naval_Research||https://en.wikipedia.org/wiki/National_Natural_Science_Foundation_of_China||https://en.wikipedia.org/wiki/United_States_Department_of_the_Navy</t>
  </si>
  <si>
    <t>Science and Technology Commission of Shanghai Municipality;STCSM||National Natural Science Foundation of China;NSFC||Ministry of Education of the People's Republic of China;Ministry of Education Central People's Government;State Education Commission;MOE</t>
  </si>
  <si>
    <t>Mead Johnson (United States);Mead Johnson Nutrition Company||Medical Research Council;MRC||Bristol-Myers Squibb (United States);BMS||Wellcome Trust;WT||Canadian Institutes of Health Research;CIHR</t>
  </si>
  <si>
    <t>http://en.wikipedia.org/wiki/Wellcome_Trust||http://en.wikipedia.org/wiki/Medical_Research_Council_%28United_Kingdom%29||https://en.wikipedia.org/wiki/Bristol-Myers_Squibb||https://en.wikipedia.org/wiki/Mead_Johnson||http://en.wikipedia.org/wiki/Canadian_Institutes_of_Health_Research</t>
  </si>
  <si>
    <t>Chinese Academy of Sciences;CAS||National Natural Science Foundation of China;NSFC||China Meteorological Administration;Central Military Commission Meteorological Bureau;CMA</t>
  </si>
  <si>
    <t>https://en.wikipedia.org/wiki/National_Natural_Science_Foundation_of_China||https://en.wikipedia.org/wiki/China_Meteorological_Administration||http://en.wikipedia.org/wiki/Chinese_Academy_of_Sciences</t>
  </si>
  <si>
    <t>European Commission;EC||Environmental Protection Agency;EPA||Danish Agency for Science and Higher Education</t>
  </si>
  <si>
    <t>https://en.wikipedia.org/wiki/European_Commission||</t>
  </si>
  <si>
    <t>International Human Frontier Science Program Organization;The Human Frontier Science Program;HFSP;HFSPO||European Molecular Biology Organization;EMBO||National Institute on Drug Abuse;NIDA||Agence Nationale de la Recherche;ANR</t>
  </si>
  <si>
    <t>https://en.wikipedia.org/wiki/Human_Frontier_Science_Program||https://en.wikipedia.org/wiki/National_Institute_on_Drug_Abuse||https://en.wikipedia.org/wiki/Agence_nationale_de_la_recherche||https://en.wikipedia.org/wiki/European_Molecular_Biology_Organization</t>
  </si>
  <si>
    <t>Ministry of Food Agriculture and Livestock</t>
  </si>
  <si>
    <t>Japan Society for the Promotion of Science;Nihon Gakujutsu Shinkō Kai;JSPS||National Institute of Diabetes and Digestive and Kidney Diseases;NIDDK||Deutsche Forschungsgemeinschaft;DFG</t>
  </si>
  <si>
    <t>http://en.wikipedia.org/wiki/Deutsche_Forschungsgemeinschaft||http://en.wikipedia.org/wiki/Japan_Society_for_the_Promotion_of_Science||https://en.wikipedia.org/wiki/National_Institute_of_Diabetes_and_Digestive_and_Kidney_Diseases</t>
  </si>
  <si>
    <t>Science and Technology Commission of Shanghai Municipality;STCSM</t>
  </si>
  <si>
    <t>National Science and Technology Council;National Science Council;Ministry of Science and Technology;MOST;NSC||National Cheng Kung University Hospital;NCKU Hospital</t>
  </si>
  <si>
    <t>||https://en.wikipedia.org/wiki/Ministry_of_Science_and_Technology_(Taiwan)</t>
  </si>
  <si>
    <t>Directorate for Biological Sciences;NSF BIO</t>
  </si>
  <si>
    <t>Thermo Fisher Scientific (United States)||Bill &amp; Melinda Gates Foundation;Gates Foundation;BMGF</t>
  </si>
  <si>
    <t>https://en.wikipedia.org/wiki/Thermo_Fisher_Scientific||https://en.wikipedia.org/wiki/Bill_%26_Melinda_Gates_Foundation</t>
  </si>
  <si>
    <t>National Science Center;Narodowe Centrum Nauki;NCN||Ministry of Science and Higher Education||National Institutes of Health;NIH||Foundation for Polish Science;Fundacja na rzecz Nauki Polskiej;FNP</t>
  </si>
  <si>
    <t>https://en.wikipedia.org/wiki/Ministry_of_Science_and_Higher_Education_(Poland)||https://en.wikipedia.org/wiki/The_National_Science_Centre_(Poland)||http://en.wikipedia.org/wiki/National_Institutes_of_Health||https://en.wikipedia.org/wiki/Foundation_for_Polish_Science</t>
  </si>
  <si>
    <t>Chinese Academy of Sciences;CAS||National Natural Science Foundation of China;NSFC||Ministry of Science and Technology of the People's Republic of China;State Science and Technology Commission;MOST</t>
  </si>
  <si>
    <t>https://en.wikipedia.org/wiki/National_Natural_Science_Foundation_of_China||https://en.wikipedia.org/wiki/Ministry_of_Science_and_Technology_of_the_People%27s_Republic_of_China||http://en.wikipedia.org/wiki/Chinese_Academy_of_Sciences</t>
  </si>
  <si>
    <t>Academy of Medical Sciences||Wellcome Trust;WT</t>
  </si>
  <si>
    <t>http://en.wikipedia.org/wiki/Wellcome_Trust||http://en.wikipedia.org/wiki/Academy_of_Medical_Sciences,_United_Kingdom</t>
  </si>
  <si>
    <t>National Natural Science Foundation of China;NSFC||China Scholarship Council;CSC||Ministry of Education of the People's Republic of China;Ministry of Education Central People's Government;State Education Commission;MOE||Ministry of Science and Technology of the People's Republic of China;State Science and Technology Commission;MOST</t>
  </si>
  <si>
    <t>https://en.wikipedia.org/wiki/Ministry_of_Science_and_Technology_of_the_People%27s_Republic_of_China||https://en.wikipedia.org/wiki/China_Scholarship_Council||https://en.wikipedia.org/wiki/National_Natural_Science_Foundation_of_China||http://en.wikipedia.org/wiki/Ministry_of_Education_of_the_People's_Republic_of_China</t>
  </si>
  <si>
    <t>Ministry of Science and Technology of the People's Republic of China;State Science and Technology Commission;MOST||Chinese Academy of Sciences;CAS||National Natural Science Foundation of China;NSFC</t>
  </si>
  <si>
    <t>Russian Science Foundation||National Institute on Aging;NIA||Russian Foundation for Basic Research;RFBR||The Ministry of Education and Science of the Russian Federation;Minobrnauki of Russia||Russian Academy of Sciences;Rossíiskaya Akadémiya Naúk;RAS</t>
  </si>
  <si>
    <t>https://en.wikipedia.org/wiki/National_Institute_on_Aging||https://en.wikipedia.org/wiki/Ministry_of_Education_and_Science_(Russia)||https://en.wikipedia.org/wiki/Russian_Foundation_for_Basic_Research||||http://en.wikipedia.org/wiki/Russian_Academy_of_Sciences</t>
  </si>
  <si>
    <t>La Ligue Contre le Cancer;Ligue Nationale Contre le Cancer</t>
  </si>
  <si>
    <t>Ministry of Health and Welfare;Wèishēng Shǔ;Department of Health;Zhōnghuá Mínguó Wèishēng Fúlì Bù;DOH;MOHW||National Science and Technology Council;National Science Council;Ministry of Science and Technology;MOST;NSC</t>
  </si>
  <si>
    <t>https://en.wikipedia.org/wiki/Ministry_of_Science_and_Technology_(Taiwan)||https://en.wikipedia.org/wiki/Ministry_of_Health_and_Welfare_(Taiwan)</t>
  </si>
  <si>
    <t>National Natural Science Foundation of China;NSFC||Swedish Research Council</t>
  </si>
  <si>
    <t>https://en.wikipedia.org/wiki/Swedish_Research_Council||https://en.wikipedia.org/wiki/National_Natural_Science_Foundation_of_China</t>
  </si>
  <si>
    <t>BG Group (United Kingdom)</t>
  </si>
  <si>
    <t>https://en.wikipedia.org/wiki/BG_Group</t>
  </si>
  <si>
    <t>National Institute of Mental Health;NIMH||National Institute on Aging;NIA||United States Department of Veterans Affairs;U.S. Department of Veterans Affairs;VA ;DVA||National Institutes of Health;NIH||VA Office of Research and Development;ORD</t>
  </si>
  <si>
    <t>http://en.wikipedia.org/wiki/National_Institutes_of_Health||https://en.wikipedia.org/wiki/United_States_Department_of_Veterans_Affairs||https://en.wikipedia.org/wiki/Veterans_Health_Administration_Office_of_Research_and_Development||https://en.wikipedia.org/wiki/National_Institute_on_Aging||https://en.wikipedia.org/wiki/National_Institute_of_Mental_Health</t>
  </si>
  <si>
    <t>Department of Biotechnology;DBT||University Grants Commission;UGC||Council of Scientific and Industrial Research;CSIR</t>
  </si>
  <si>
    <t>https://en.wikipedia.org/wiki/Department_of_Biotechnology||https://en.wikipedia.org/wiki/University_Grants_Commission_(India)||http://en.wikipedia.org/wiki/Council_of_Scientific_and_Industrial_Research</t>
  </si>
  <si>
    <t>Japan International Cooperation Agency;Dokuritsu Gyōseihōjin Kokusai Kyōryoku Kikō;JICA</t>
  </si>
  <si>
    <t>https://en.wikipedia.org/wiki/Japan_International_Cooperation_Agency</t>
  </si>
  <si>
    <t>Regione Campania</t>
  </si>
  <si>
    <t>https://en.wikipedia.org/wiki/Campania</t>
  </si>
  <si>
    <t>Indian Space Research Organisation;Bhāratīya Antariksh Anusandhān Sangathan;ISRO</t>
  </si>
  <si>
    <t>https://en.wikipedia.org/wiki/Indian_Space_Research_Organisation</t>
  </si>
  <si>
    <t>Research Foundation - Flanders;FWO||European Commission;EC||National Institute of Mental Health;NIMH||Directorate for Social, Behavioral &amp; Economic Sciences;NSF SBE</t>
  </si>
  <si>
    <t>https://en.wikipedia.org/wiki/European_Commission||https://en.wikipedia.org/wiki/National_Institute_of_Mental_Health||||https://en.wikipedia.org/wiki/Research_Foundation_-_Flanders_(FWO)</t>
  </si>
  <si>
    <t>Guangdong Science and Technology Department</t>
  </si>
  <si>
    <t>Czech Science Foundation;Grantová agentura České republiky;GAČR||Ministry of Education Youth and Sports;MSMT</t>
  </si>
  <si>
    <t>https://en.wikipedia.org/wiki/Ministry_of_Education,_Youth_and_Sports_(Czech_Republic)||https://en.wikipedia.org/wiki/Czech_Science_Foundation</t>
  </si>
  <si>
    <t>European Commission;EC||Technology Foundation STW</t>
  </si>
  <si>
    <t>National Natural Science Foundation of China;NSFC||China Geological Survey;Wuhan Institute of Geology and Mineral Resources;CGS</t>
  </si>
  <si>
    <t>https://en.wikipedia.org/wiki/National_Natural_Science_Foundation_of_China||https://en.wikipedia.org/wiki/China_Geological_Survey</t>
  </si>
  <si>
    <t>National Institute of General Medical Sciences;NIGMS||European Molecular Biology Organization;EMBO</t>
  </si>
  <si>
    <t>https://en.wikipedia.org/wiki/European_Molecular_Biology_Organization||https://en.wikipedia.org/wiki/National_Institute_of_General_Medical_Sciences</t>
  </si>
  <si>
    <t>Ministry of Higher Education and Scientific Research;MHESR</t>
  </si>
  <si>
    <t>https://en.wikipedia.org/wiki/Ministry_of_Higher_Education_and_Scientific_Research_(Tunisia)</t>
  </si>
  <si>
    <t>Directorate for STEM Education;Directorate for Education &amp; Human Resources;EDU</t>
  </si>
  <si>
    <t>Cancer Research UK;CRUK||Medical Research Council;MRC||Department of Health and Social Care;DHSC</t>
  </si>
  <si>
    <t>http://en.wikipedia.org/wiki/Medical_Research_Council_%28United_Kingdom%29||http://en.wikipedia.org/wiki/Cancer_Research_UK||http://en.wikipedia.org/wiki/Department_of_Health_(United_Kingdom)</t>
  </si>
  <si>
    <t>Ministry of Economy, Industry and Competitiveness;MINECO||Basque Government</t>
  </si>
  <si>
    <t>https://en.wikipedia.org/wiki/Basque_Government||https://en.wikipedia.org/wiki/Ministry_of_Economy_and_Enterprise</t>
  </si>
  <si>
    <t>Welch Foundation||National Institute of Allergy and Infectious Diseases;NIAID</t>
  </si>
  <si>
    <t>https://en.wikipedia.org/wiki/National_Institute_of_Allergy_and_Infectious_Diseases||https://en.wikipedia.org/wiki/Robert_A._Welch_Foundation</t>
  </si>
  <si>
    <t>Ministry of Education Youth and Sports;MSMT||Czech Academy of Sciences;AVČR;CAS</t>
  </si>
  <si>
    <t>https://en.wikipedia.org/wiki/Ministry_of_Education,_Youth_and_Sports_(Czech_Republic)||http://en.wikipedia.org/wiki/Academy_of_Sciences_of_the_Czech_Republic</t>
  </si>
  <si>
    <t>National Heart Lung and Blood Institute;NHLBI||Japan Society for the Promotion of Science;Nihon Gakujutsu Shinkō Kai;JSPS</t>
  </si>
  <si>
    <t>https://en.wikipedia.org/wiki/National_Heart,_Lung,_and_Blood_Institute||http://en.wikipedia.org/wiki/Japan_Society_for_the_Promotion_of_Science</t>
  </si>
  <si>
    <t>National Heart Lung and Blood Institute;NHLBI||National Institute of Allergy and Infectious Diseases;NIAID||National Center for Advancing Translational Sciences;National Center for Research Resources;NCATS;NCRR||National Institute of Biomedical Imaging and Bioengineering;NIBIB</t>
  </si>
  <si>
    <t>https://en.wikipedia.org/wiki/National_Heart,_Lung,_and_Blood_Institute||https://en.wikipedia.org/wiki/National_Institute_of_Allergy_and_Infectious_Diseases||https://en.wikipedia.org/wiki/National_Center_for_Advancing_Translational_Sciences||https://en.wikipedia.org/wiki/National_Institute_of_Biomedical_Imaging_and_Bioengineering</t>
  </si>
  <si>
    <t>Rehabilitation Research and Development Service;JRRD</t>
  </si>
  <si>
    <t>https://en.wikipedia.org/wiki/Rehabilitation_Research_and_Development_Service</t>
  </si>
  <si>
    <t>Ministry of Education;Kementerian Pelajaran;MOE</t>
  </si>
  <si>
    <t>https://en.wikipedia.org/wiki/Ministry_of_Education_(Singapore)</t>
  </si>
  <si>
    <t>Agency for Science, Technology and Research;A*STAR||Engineering and Physical Sciences Research Council;EPSRC</t>
  </si>
  <si>
    <t>http://en.wikipedia.org/wiki/Agency_for_Science,_Technology_and_Research||https://en.wikipedia.org/wiki/Engineering_and_Physical_Sciences_Research_Council</t>
  </si>
  <si>
    <t>Knut and Alice Wallenberg Foundation;Knut och Alice Wallenbergs Stiftelse||European Commission;EC||Swedish Research Council||European Research Council;ERC</t>
  </si>
  <si>
    <t>https://en.wikipedia.org/wiki/European_Commission||https://en.wikipedia.org/wiki/Knut_and_Alice_Wallenberg_Foundation||https://en.wikipedia.org/wiki/European_Research_Council||https://en.wikipedia.org/wiki/Swedish_Research_Council</t>
  </si>
  <si>
    <t>Health Research Foundation;HRF</t>
  </si>
  <si>
    <t>Novo Nordisk (Denmark)</t>
  </si>
  <si>
    <t>https://en.wikipedia.org/wiki/Novo_Nordisk</t>
  </si>
  <si>
    <t>Natural Sciences and Engineering Research Council;NSERC;CRSNG||Fonds de Recherche du Québec – Nature et Technologies;FRQNT||Engie (France);GDF Suez</t>
  </si>
  <si>
    <t>https://en.wikipedia.org/wiki/Natural_Sciences_and_Engineering_Research_Council||https://en.wikipedia.org/wiki/Engie||</t>
  </si>
  <si>
    <t>National Natural Science Foundation of China;NSFC||China Postdoctoral Science Foundation||Education Department of Shaanxi Province</t>
  </si>
  <si>
    <t>Department of Biotechnology;DBT||Council of Scientific and Industrial Research;CSIR||Department of Science and Technology;DST</t>
  </si>
  <si>
    <t>https://en.wikipedia.org/wiki/Department_of_Science_and_Technology_(India)||http://en.wikipedia.org/wiki/Council_of_Scientific_and_Industrial_Research||https://en.wikipedia.org/wiki/Department_of_Biotechnology</t>
  </si>
  <si>
    <t>Deutsche Forschungsgemeinschaft;DFG||Biotechnology and Biological Sciences Research Council;BBSRC||Wellcome Trust;WT</t>
  </si>
  <si>
    <t>http://en.wikipedia.org/wiki/Biotechnology_and_Biological_Sciences_Research_Council||http://en.wikipedia.org/wiki/Deutsche_Forschungsgemeinschaft||http://en.wikipedia.org/wiki/Wellcome_Trust</t>
  </si>
  <si>
    <t>National Natural Science Foundation of China;NSFC||Directorate for Computer &amp; Information Science &amp; Engineering;NSF CISE</t>
  </si>
  <si>
    <t>São Paulo Research Foundation;FAPESP||Ministry of Health||National Council for Scientific and Technological Development;Conselho Nacional de Pesquisa;CNPq</t>
  </si>
  <si>
    <t>https://en.wikipedia.org/wiki/Ministry_of_Health_(Brazil)||https://en.wikipedia.org/wiki/National_Council_for_Scientific_and_Technological_Development||https://en.wikipedia.org/wiki/S%C3%A3o_Paulo_Research_Foundation</t>
  </si>
  <si>
    <t>Japan Society for the Promotion of Science;Nihon Gakujutsu Shinkō Kai;JSPS||Heiwa Nakajima Foundation;HNF</t>
  </si>
  <si>
    <t>||http://en.wikipedia.org/wiki/Japan_Society_for_the_Promotion_of_Science</t>
  </si>
  <si>
    <t>Japan Society for the Promotion of Science;Nihon Gakujutsu Shinkō Kai;JSPS||Huawei Technologies (China)</t>
  </si>
  <si>
    <t>http://en.wikipedia.org/wiki/Japan_Society_for_the_Promotion_of_Science||https://en.wikipedia.org/wiki/Huawei</t>
  </si>
  <si>
    <t>National Institute of Food and Agriculture;NIFA||United States Department of Agriculture;Agriculture Department;USDA</t>
  </si>
  <si>
    <t>https://en.wikipedia.org/wiki/United_States_Department_of_Agriculture||https://en.wikipedia.org/wiki/National_Institute_of_Food_and_Agriculture</t>
  </si>
  <si>
    <t>Ministry of Science and Technology of the People's Republic of China;State Science and Technology Commission;MOST||Ministry of Education of the People's Republic of China;Ministry of Education Central People's Government;State Education Commission;MOE</t>
  </si>
  <si>
    <t>https://en.wikipedia.org/wiki/Ministry_of_Science_and_Technology_of_the_People%27s_Republic_of_China||http://en.wikipedia.org/wiki/Ministry_of_Education_of_the_People's_Republic_of_China</t>
  </si>
  <si>
    <t>National Center for Advancing Translational Sciences;National Center for Research Resources;NCATS;NCRR||National Institute of Biomedical Imaging and Bioengineering;NIBIB||Eunice Kennedy Shriver National Institute of Child Health and Human Development;NICHD||Office of the Director;OD||National Institute of Neurological Disorders and Stroke;NINDS||National Institute on Alcohol Abuse and Alcoholism;NIAAA</t>
  </si>
  <si>
    <t>https://en.wikipedia.org/wiki/National_Institute_of_Biomedical_Imaging_and_Bioengineering||https://en.wikipedia.org/wiki/National_Institute_on_Alcohol_Abuse_and_Alcoholism||https://en.wikipedia.org/wiki/National_Center_for_Advancing_Translational_Sciences||||https://en.wikipedia.org/wiki/Eunice_Kennedy_Shriver_National_Institute_of_Child_Health_and_Human_Development||https://en.wikipedia.org/wiki/National_Institute_of_Neurological_Disorders_and_Stroke</t>
  </si>
  <si>
    <t>National Cancer Institute;NCI||AARP;American Association of Retired Persons||National Institutes of Health;NIH</t>
  </si>
  <si>
    <t>https://en.wikipedia.org/wiki/AARP||http://en.wikipedia.org/wiki/National_Institutes_of_Health||https://en.wikipedia.org/wiki/National_Cancer_Institute</t>
  </si>
  <si>
    <t>German Academic Exchange Service;DAAD</t>
  </si>
  <si>
    <t>https://en.wikipedia.org/wiki/German_Academic_Exchange_Service</t>
  </si>
  <si>
    <t>https://en.wikipedia.org/wiki/National_Research_Foundation_of_Korea||https://en.wikipedia.org/wiki/Ministry_of_Education_(South_Korea)</t>
  </si>
  <si>
    <t>Fresenius (Germany);Fresenius SE &amp; Co. KGaA</t>
  </si>
  <si>
    <t>https://en.wikipedia.org/wiki/Fresenius_(company)</t>
  </si>
  <si>
    <t>Division of Chemical, Bioengineering, Environmental, and Transport Systems;NSF CBET||United States Air Force Office of Scientific Research;AFOSR;USAFOSR||Directorate for Engineering;NSF ENG</t>
  </si>
  <si>
    <t>National Cancer Institute;NCI||Camille and Henry Dreyfus Foundation||Howard Hughes Medical Institute;HHMI</t>
  </si>
  <si>
    <t>https://en.wikipedia.org/wiki/Howard_Hughes_Medical_Institute||https://en.wikipedia.org/wiki/The_Camille_and_Henry_Dreyfus_Foundation||https://en.wikipedia.org/wiki/National_Cancer_Institute</t>
  </si>
  <si>
    <t>World Anti-Doping Agency;WADA</t>
  </si>
  <si>
    <t>https://en.wikipedia.org/wiki/World_Anti-Doping_Agency</t>
  </si>
  <si>
    <t>O’Neal Comprehensive Cancer Center</t>
  </si>
  <si>
    <t>Institute of Mountain Hazards and Environment;IMHE||National Natural Science Foundation of China;NSFC</t>
  </si>
  <si>
    <t>Chinese Academy of Sciences;CAS||Youth Innovation Promotion Association;YIPA||Beijing Municipal Science &amp; Technology Commision||National Natural Science Foundation of China;NSFC||Ministry of Science and Technology of the People's Republic of China;State Science and Technology Commission;MOST</t>
  </si>
  <si>
    <t>||https://en.wikipedia.org/wiki/Ministry_of_Science_and_Technology_of_the_People%27s_Republic_of_China||https://en.wikipedia.org/wiki/National_Natural_Science_Foundation_of_China||http://en.wikipedia.org/wiki/Chinese_Academy_of_Sciences</t>
  </si>
  <si>
    <t>National Research Foundation of Korea;NRF||Ministry of Education;MOE</t>
  </si>
  <si>
    <t>Natural Environment Research Council;NERC</t>
  </si>
  <si>
    <t>http://en.wikipedia.org/wiki/Natural_Environment_Research_Council</t>
  </si>
  <si>
    <t>https://en.wikipedia.org/wiki/National_Council_for_Scientific_and_Technological_Development||https://en.wikipedia.org/wiki/Coordena%C3%A7%C3%A3o_de_Aperfeicoamento_de_Pessoal_de_N%C3%ADvel_Superior</t>
  </si>
  <si>
    <t>Ministry of Education, Universities and Research;MIUR||European Commission;EC</t>
  </si>
  <si>
    <t>http://en.wikipedia.org/wiki/Ministry_of_Education,_Universities_and_Research_(Italy)||https://en.wikipedia.org/wiki/European_Commission</t>
  </si>
  <si>
    <t>Korea Institute of Science and Technology;KIST</t>
  </si>
  <si>
    <t>https://en.wikipedia.org/wiki/Korea_Institute_of_Science_and_Technology</t>
  </si>
  <si>
    <t>Department of Science and Technology;DST</t>
  </si>
  <si>
    <t>https://en.wikipedia.org/wiki/Department_of_Science_and_Technology_(India)</t>
  </si>
  <si>
    <t>Ministry of Health;Ministry of Health, Social Services and Equality</t>
  </si>
  <si>
    <t>https://en.wikipedia.org/wiki/Ministry_of_Health_(Spain)</t>
  </si>
  <si>
    <t>National Foundation for Science and Technology Development;NAFOSTED</t>
  </si>
  <si>
    <t>Danish Cancer Society;Kræftens Bekæmpelse||Bristol-Myers Squibb (United States);BMS||The Velux Foundations;Villum Fonden;Villum Foundation;Villum Kann Rasmussen Foundation||Harboefonden</t>
  </si>
  <si>
    <t>https://en.wikipedia.org/wiki/Bristol-Myers_Squibb||</t>
  </si>
  <si>
    <t>European Research Council;ERC||Natural Environment Research Council;NERC||Medical Research Council;MRC</t>
  </si>
  <si>
    <t>https://en.wikipedia.org/wiki/European_Research_Council||http://en.wikipedia.org/wiki/Medical_Research_Council_%28United_Kingdom%29||http://en.wikipedia.org/wiki/Natural_Environment_Research_Council</t>
  </si>
  <si>
    <t>Coordenação de Aperfeicoamento de Pessoal de Nível Superior;CAPES||Fundação de Amparo à Pesquisa do Estado do Rio Grande do Sul;FAPERGS||National Council for Scientific and Technological Development;Conselho Nacional de Pesquisa;CNPq</t>
  </si>
  <si>
    <t>https://en.wikipedia.org/wiki/National_Council_for_Scientific_and_Technological_Development||https://en.wikipedia.org/wiki/Coordena%C3%A7%C3%A3o_de_Aperfeicoamento_de_Pessoal_de_N%C3%ADvel_Superior||</t>
  </si>
  <si>
    <t>European Commission;EC||Ministry of Health Welfare and Sport;VWS||National Health and Medical Research Council;NHMRC</t>
  </si>
  <si>
    <t>https://en.wikipedia.org/wiki/European_Commission||https://en.wikipedia.org/wiki/Ministry_of_Health,_Welfare_and_Sport_(Netherlands)||https://en.wikipedia.org/wiki/National_Health_and_Medical_Research_Council</t>
  </si>
  <si>
    <t>Hertz Foundation;Fannie and John Hertz Foundation||Directorate for STEM Education;Directorate for Education &amp; Human Resources;EDU</t>
  </si>
  <si>
    <t>||https://en.wikipedia.org/wiki/Hertz_Foundation</t>
  </si>
  <si>
    <t>University Grants Commission;UGC||Council of Scientific and Industrial Research;CSIR</t>
  </si>
  <si>
    <t>http://en.wikipedia.org/wiki/Council_of_Scientific_and_Industrial_Research||https://en.wikipedia.org/wiki/University_Grants_Commission_(India)</t>
  </si>
  <si>
    <t>Canada Foundation for Innovation;CFI||Ministry of Colleges and Universities;Ministry of Training, Colleges and Universities||Natural Sciences and Engineering Research Council;NSERC;CRSNG</t>
  </si>
  <si>
    <t>https://en.wikipedia.org/wiki/Natural_Sciences_and_Engineering_Research_Council||http://en.wikipedia.org/wiki/Canada_Foundation_for_Innovation||https://en.wikipedia.org/wiki/Ministry_of_Colleges_and_Universities</t>
  </si>
  <si>
    <t>https://en.wikipedia.org/wiki/Ministry_of_Science_and_Technology_(Taiwan)||https://en.wikipedia.org/wiki/Ministry_of_Education_(Taiwan)</t>
  </si>
  <si>
    <t>Australian Renewable Energy Agency;ARENA||Thailand Research Fund;TRF||Ministry of Education;Krasuang Thammakan;Krasuang Sueksathikan;MOE||Higher Education Commission;HEC</t>
  </si>
  <si>
    <t>https://en.wikipedia.org/wiki/Higher_Education_Commission_of_Pakistan||https://en.wikipedia.org/wiki/Ministry_of_Education_(Thailand)||https://en.wikipedia.org/wiki/Australian_Renewable_Energy_Agency||</t>
  </si>
  <si>
    <t>Ministry of Higher Education and Research;MESR</t>
  </si>
  <si>
    <t>https://en.wikipedia.org/wiki/Ministry_of_Higher_Education_and_Research</t>
  </si>
  <si>
    <t>Directorate for Social, Behavioral &amp; Economic Sciences;NSF SBE</t>
  </si>
  <si>
    <t>National Natural Science Foundation of China;NSFC||Aviation Industry Corporation of China (China);AVIC||China Postdoctoral Science Foundation||Ministry of Human Resources and Social Security;MOHRSS</t>
  </si>
  <si>
    <t>https://en.wikipedia.org/wiki/Aviation_Industry_Corporation_of_China||||https://en.wikipedia.org/wiki/Ministry_of_Human_Resources_and_Social_Security||https://en.wikipedia.org/wiki/National_Natural_Science_Foundation_of_China</t>
  </si>
  <si>
    <t>National Council for Scientific and Technological Development;Conselho Nacional de Pesquisa;CNPq||Brazilian Agricultural Research Corporation;EMBRAPA</t>
  </si>
  <si>
    <t>https://en.wikipedia.org/wiki/Empresa_Brasileira_de_Pesquisa_Agropecu%C3%A1ria||https://en.wikipedia.org/wiki/National_Council_for_Scientific_and_Technological_Development</t>
  </si>
  <si>
    <t>Agricultural Research Service;USDA Agricultural Research Service;ARS||Global Affairs Canada;Department of External Affairs;Foreign Affairs, Trade and Development Canada;GAC;AMC||Agriculture and Agri-Food Canada;Department of Agriculture and Agri-Food;Agriculture and Agriculture-Food Canada;AAFC;AAC</t>
  </si>
  <si>
    <t>https://en.wikipedia.org/wiki/Agricultural_Research_Service||https://en.wikipedia.org/wiki/Global_Affairs_Canada||https://en.wikipedia.org/wiki/Agriculture_and_Agri-Food_Canada</t>
  </si>
  <si>
    <t>Centre National d'Études Spatiales;CNES||National Natural Science Foundation of China;NSFC</t>
  </si>
  <si>
    <t>https://en.wikipedia.org/wiki/National_Natural_Science_Foundation_of_China||https://en.wikipedia.org/wiki/CNES</t>
  </si>
  <si>
    <t>Carinthian Economic Promotion Fund;KWF</t>
  </si>
  <si>
    <t>Unitatea Executiva Pentru Finantarea Invatamantului Superior a Cercetarii Dezvoltarii si Inovarii;UEFISCDI||Ministerul Cercetării și Inovării;Autoritatea Naţională pentru Cercetare Ştiinţifică;MCI</t>
  </si>
  <si>
    <t>British Heart Foundation;BHF||Department of Health and Social Care;DHSC</t>
  </si>
  <si>
    <t>http://en.wikipedia.org/wiki/Department_of_Health_(United_Kingdom)||https://en.wikipedia.org/wiki/British_Heart_Foundation</t>
  </si>
  <si>
    <t>International Union of Pure and Applied Chemistry;IUPAC||Iran Nanotechnology Initiative Council;INIC</t>
  </si>
  <si>
    <t>https://en.wikipedia.org/wiki/International_Union_of_Pure_and_Applied_Chemistry||</t>
  </si>
  <si>
    <t>Directorate for Mathematical &amp; Physical Sciences;NSF MPS||Directorate for Computer &amp; Information Science &amp; Engineering;NSF CISE</t>
  </si>
  <si>
    <t>New South Wales Department of Health||Medical Research Future Fund;MRFF||National Health and Medical Research Council;NHMRC||Hunter Medical Research Institute;HMRI||National Heart Foundation of Australia;Heart Foundation||Queensland Health</t>
  </si>
  <si>
    <t>http://en.wikipedia.org/wiki/Ministry_of_Health_(New_South_Wales)||https://en.wikipedia.org/wiki/Medical_Research_Future_Fund||https://en.wikipedia.org/wiki/Queensland_Health||https://en.wikipedia.org/wiki/National_Health_and_Medical_Research_Council||https://en.wikipedia.org/wiki/National_Heart_Foundation_of_Australia||</t>
  </si>
  <si>
    <t>Baden-Württemberg Stiftung||Directorate for Mathematical &amp; Physical Sciences;NSF MPS||National Research Foundation of Korea;NRF||Ministry of Science and ICT;Ministry of Science and Technology;MSIT||Deutsche Forschungsgemeinschaft;DFG</t>
  </si>
  <si>
    <t>http://en.wikipedia.org/wiki/Deutsche_Forschungsgemeinschaft||https://en.wikipedia.org/wiki/National_Research_Foundation_of_Korea||||https://en.wikipedia.org/wiki/Ministry_of_Science_and_ICT</t>
  </si>
  <si>
    <t>National Science and Technology Council;National Science Council;Ministry of Science and Technology;MOST;NSC||Academia Sinica||Ministry of Health and Welfare;Wèishēng Shǔ;Department of Health;Zhōnghuá Mínguó Wèishēng Fúlì Bù;DOH;MOHW</t>
  </si>
  <si>
    <t>https://en.wikipedia.org/wiki/Ministry_of_Science_and_Technology_(Taiwan)||https://en.wikipedia.org/wiki/Ministry_of_Health_and_Welfare_(Taiwan)||https://en.wikipedia.org/wiki/Academia_Sinica</t>
  </si>
  <si>
    <t>Australian Research Council;ARC||European Commission;EC||French Foundation for Biodiversity Research;FRB</t>
  </si>
  <si>
    <t>https://en.wikipedia.org/wiki/European_Commission||||http://en.wikipedia.org/wiki/Australian_Research_Council</t>
  </si>
  <si>
    <t>National Natural Science Foundation of China;NSFC||Science and Technology Department of Sichuan Province</t>
  </si>
  <si>
    <t>National Institute on Deafness and Other Communication Disorders;NIDCD||Directorate for Social, Behavioral &amp; Economic Sciences;NSF SBE</t>
  </si>
  <si>
    <t>||https://en.wikipedia.org/wiki/National_Institute_on_Deafness_and_Other_Communication_Disorders</t>
  </si>
  <si>
    <t>Swedish Cancer Society;Cancerfonden||Swedish Research Council||Deutsche Forschungsgemeinschaft;DFG</t>
  </si>
  <si>
    <t>||http://en.wikipedia.org/wiki/Deutsche_Forschungsgemeinschaft||https://en.wikipedia.org/wiki/Swedish_Research_Council</t>
  </si>
  <si>
    <t>Korea Institute of Science and Technology;KIST||National Research Foundation of Korea;NRF</t>
  </si>
  <si>
    <t>https://en.wikipedia.org/wiki/Korea_Institute_of_Science_and_Technology||https://en.wikipedia.org/wiki/National_Research_Foundation_of_Korea</t>
  </si>
  <si>
    <t>National Science and Technology Development Agency;NSTDA</t>
  </si>
  <si>
    <t>https://en.wikipedia.org/wiki/National_Science_and_Technology_Development_Agency</t>
  </si>
  <si>
    <t>European Commission;EC||National Health and Family Planning Commission;Ministry of Health of the People's Republic of China;NHFPC||National Institute of Nursing Research;NINR||China Medical Board;CMB</t>
  </si>
  <si>
    <t>https://en.wikipedia.org/wiki/China_Medical_Board||https://en.wikipedia.org/wiki/National_Institute_of_Nursing_Research||https://en.wikipedia.org/wiki/National_Health_and_Family_Planning_Commission||https://en.wikipedia.org/wiki/European_Commission</t>
  </si>
  <si>
    <t>VA Office of Research and Development;ORD||Health Services Research &amp; Development;VA Health Services Research and Development Service;HSR&amp;D||University Grants Committee;UGC</t>
  </si>
  <si>
    <t>https://en.wikipedia.org/wiki/Veterans_Health_Administration_Office_of_Research_and_Development||https://en.wikipedia.org/wiki/University_Grants_Committee_(Hong_Kong)||</t>
  </si>
  <si>
    <t>https://en.wikipedia.org/wiki/European_Commission||https://en.wikipedia.org/wiki/Funda%C3%A7%C3%A3o_para_a_Ci%C3%AAncia_e_Tecnologia</t>
  </si>
  <si>
    <t>National Institute on Aging;NIA||Research to Prevent Blindness;RPB||Emory Eye Center;EEC||National Eye Institute;NEI</t>
  </si>
  <si>
    <t>https://en.wikipedia.org/wiki/National_Institute_on_Aging||||https://en.wikipedia.org/wiki/Research_to_Prevent_Blindness||https://en.wikipedia.org/wiki/National_Eye_Institute</t>
  </si>
  <si>
    <t>Ministry of Science and Higher Education||National Science Center;Narodowe Centrum Nauki;NCN</t>
  </si>
  <si>
    <t>https://en.wikipedia.org/wiki/Ministry_of_Science_and_Higher_Education_(Poland)||https://en.wikipedia.org/wiki/The_National_Science_Centre_(Poland)</t>
  </si>
  <si>
    <t>Science and Technology Development Fund;Science, Technology &amp; Innovation Funding Authority;STDF</t>
  </si>
  <si>
    <t>NHS Greater Glasgow and Clyde;NHSGGC||Petplan Charitable Trust</t>
  </si>
  <si>
    <t>||https://en.wikipedia.org/wiki/NHS_Greater_Glasgow_and_Clyde</t>
  </si>
  <si>
    <t>China Postdoctoral Science Foundation||Ministry of Science and Technology of the People's Republic of China;State Science and Technology Commission;MOST||Education Department of Shaanxi Province||Ministry of Education of the People's Republic of China;Ministry of Education Central People's Government;State Education Commission;MOE</t>
  </si>
  <si>
    <t>http://en.wikipedia.org/wiki/Ministry_of_Education_of_the_People's_Republic_of_China||||https://en.wikipedia.org/wiki/Ministry_of_Science_and_Technology_of_the_People%27s_Republic_of_China</t>
  </si>
  <si>
    <t>Ministry of Science and Technology of the People's Republic of China;State Science and Technology Commission;MOST||Jiangsu Provincial Department of Education||National Natural Science Foundation of China;NSFC</t>
  </si>
  <si>
    <t>https://en.wikipedia.org/wiki/National_Natural_Science_Foundation_of_China||||https://en.wikipedia.org/wiki/Ministry_of_Science_and_Technology_of_the_People%27s_Republic_of_China</t>
  </si>
  <si>
    <t>Medical Research Council;MRC||Colt Foundation</t>
  </si>
  <si>
    <t>||http://en.wikipedia.org/wiki/Medical_Research_Council_%28United_Kingdom%29</t>
  </si>
  <si>
    <t>display_names_YES</t>
  </si>
  <si>
    <t>OA_URLs_YES</t>
  </si>
  <si>
    <t>Number of Funders Indicated by Paper_YES</t>
  </si>
  <si>
    <t>Number of Correct Matches_YES</t>
  </si>
  <si>
    <t>Number of Wrong Matches_YES</t>
  </si>
  <si>
    <t>Coder_YES</t>
  </si>
  <si>
    <t>JD</t>
  </si>
  <si>
    <t>Department of Science and Technology, Ministry of Science and Technology, India; डीएसटी; Department of Science &amp; Technology, Ministry of Science and Technology, India; Department of Science &amp; Technology; DST; विज्ञान और प्रौद्योगिकी विभाग; Department of Science and Technology; विज्ञान और प्रौद्योगिकी विभाग, विज्ञान और प्रौद्योगिकी मंत्रालय, भारत || National Research Foundation; NRF || Rhodes University; RU; ru.ac.za; Rhodes University College || Stellenbosch University; SU; University of Stellenbosch; Universiteit Stellenbosch; Universiteit van Stellenbosch</t>
  </si>
  <si>
    <t>https://openalex.org/funders/f4320320671 || https://openalex.org/funders/f4320320719 || https://openalex.org/funders/f4320320683 || https://openalex.org/institutions/i26092322</t>
  </si>
  <si>
    <t>Erzincan University; EU; Erzincan Üniversitesi</t>
  </si>
  <si>
    <t>https://openalex.org/institutions/i176037994</t>
  </si>
  <si>
    <t>https://openalex.org/funders/f4320337354 || https://openalex.org/funders/f4320337351</t>
  </si>
  <si>
    <t>https://openalex.org/funders/f4320321837 || https://openalex.org/funders/f4320321091</t>
  </si>
  <si>
    <t>National Institutes of Health; US National Institutes of Health; Institutos Nacionales de la Salud; NIH || Department of Veterans Affairs || National Cancer Institute; NCI; Instituto Nacional del Cáncer || National Center for Advancing Translational Sciences; NCATS; NIH-NCATS; NIH's National Center for Advancing Translational; NCATS NIH || U.S. Department of Veterans Affairs; United States Department of Veterans Affairs; Veterans Affairs; Veterans Affairs Department; Department of Veterans Affairs; US Department of Veterans Affairs; VA; U.S. Dept. of Veterans Affairs; USDVA</t>
  </si>
  <si>
    <t>https://openalex.org/funders/f4320306127 || https://openalex.org/funders/f4320337472 || https://openalex.org/funders/f4320337351 || https://openalex.org/funders/f4320332161 || https://openalex.org/institutions/i4210151543</t>
  </si>
  <si>
    <t>Chinese Academy of Sciences; CAS; 中国科学院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University of Chinese Academy of Sciences; 中国科学院大学; University of the Chinese Academy of Sciences; UCAS; Graduate University of Chinese Academy of Sciences</t>
  </si>
  <si>
    <t>https://openalex.org/funders/f4320321133 || https://openalex.org/funders/f4320321001 || https://openalex.org/funders/f4320326972</t>
  </si>
  <si>
    <t>https://openalex.org/funders/f4320334630 || https://openalex.org/funders/f4320334609</t>
  </si>
  <si>
    <t>https://openalex.org/funders/f4320309468 || https://openalex.org/funders/f4320313397 || https://openalex.org/funders/f4320337351 || https://openalex.org/funders/f4320332161</t>
  </si>
  <si>
    <t>https://openalex.org/funders/f4320320997 || https://openalex.org/funders/f4320306084 || https://openalex.org/funders/f4320322025</t>
  </si>
  <si>
    <t>Iran University of Science and Technology; Iran University of Science &amp; Technology; IUST</t>
  </si>
  <si>
    <t>World Food Programme; WFP; Programma Alimentare Mondiale; Programa Mundial de Alimentos; Programme Alimentaire Mondial || Institut de Recherche pour le Développement; IRD; Institute for development research IRD; French Research Institute for Development; Instituto de Investigación por el Desarrollo; Institute for development research; French National Research Institute for Sustainable Development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</si>
  <si>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Natural Science Foundation of Guangdong Province; Guangdong Natural Science Foundation; Guangdong Provincial Natural Science Foundation; Natural Science Foundation of Guangdong || Natural Science Foundation of Hunan Province; Hunan Provincial Natural Science Foundation || China Postdoctoral Science Foundation</t>
  </si>
  <si>
    <t>https://openalex.org/funders/f4320322843 || https://openalex.org/funders/f4320321001 || https://openalex.org/funders/f4320321921 || https://openalex.org/funders/f4320321543</t>
  </si>
  <si>
    <t>Qatar National Library; QNL; مكتبة قطر الوطنية; Qatar National Library, Doha, Qatar</t>
  </si>
  <si>
    <t>Universidad Cardenal Herrera CEU; CEU-UCH; CEU Cardenal Herrera University; Universitat CEU Cardenal Herrera; Universidad CEU Cardenal Herrera; Cardenal Herrera CEU University; CEU Universidad Cardenal Herrera</t>
  </si>
  <si>
    <t>UCLouvain; UCL; Université catholique de Belgique; Catholic University of Louvain; Université catholique de Louvain || Parkes Foundation</t>
  </si>
  <si>
    <t>https://openalex.org/funders/f4320311462 || https://openalex.org/institutions/i95674353</t>
  </si>
  <si>
    <t>Nuclear Waste Management Organization; Société de Gestion des Déchets Nucléaires; NWMO</t>
  </si>
  <si>
    <t>https://openalex.org/funders/f4320313659</t>
  </si>
  <si>
    <t>European Research Council; ERC || Dutch Research Council; NWO; Nederlandse Organisatie voor Wetenschappelijk Onderzoek; Dutch National Scientific Foundation; Dutch National Science Foundation; Netherlands Organisation for Scientific Research</t>
  </si>
  <si>
    <t>https://openalex.org/funders/f4320334678 || https://openalex.org/institutions/i2800991832</t>
  </si>
  <si>
    <t>https://openalex.org/funders/f4320337359 || https://openalex.org/funders/f4320337363 || https://openalex.org/funders/f4320337351 || https://openalex.org/funders/f4320332161</t>
  </si>
  <si>
    <t>Research Triangle Park Foundation; RTP || Council of Australian University Librarians; CAUL</t>
  </si>
  <si>
    <t>https://openalex.org/institutions/i3009606475 || https://openalex.org/institutions/i1309191912</t>
  </si>
  <si>
    <t>Chongqing University of Arts and Sciences; CUAS || Natural Science Foundation of Chongqing; Chonqing Natural Science Foundation; Municipal Natural Science Foundation of Chongqing; Natural Science Foundation of Chongqing Municipality; 重庆市自然科学基金</t>
  </si>
  <si>
    <t>https://openalex.org/funders/f4320321551 || https://openalex.org/funders/f4320323172</t>
  </si>
  <si>
    <t>National Health and Medical Research Council; NHMRC || Australian Government; Federal Government; Commonwealth Government of Australia; Commonwealth Government; Government of Australia</t>
  </si>
  <si>
    <t>https://openalex.org/funders/f4320322120 || https://openalex.org/funders/f4320321408</t>
  </si>
  <si>
    <t>Pontifical Catholic University of Rio de Janeiro; PUC-Rio; Pontifícia Universidade Católica do Rio de Janeiro || Conselho Nacional de Desenvolvimento Científico e Tecnológico; National Council for Scientific and Technological Development; Brazilian National Council for Research and Development; CNPq || Fundação Carlos Chagas Filho de Amparo à Pesquisa do Estado do Rio de Janeiro; FAPERJ; Carlos Chagas Filho Foundation for Research Support in Rio de Janeiro; Research Support Foundation for the State of Rio de Janeiro; Fundação de Amparo à Pesquisa do Estado do Rio de Janeiro || Fundação de Amparo à Pesquisa do Estado de São Paulo; São Paulo Research Foundation; Foundation for Research Support of the State of São Paulo; FAPESP; State of São Paulo Research Foundation</t>
  </si>
  <si>
    <t>https://openalex.org/funders/f4320322749 || https://openalex.org/funders/f4320320997 || https://openalex.org/institutions/i2699952 || https://openalex.org/funders/f4320322025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</si>
  <si>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Natural Science Foundation of Beijing Municipality; Beijing Municipal Natural Science Foundation; Natural Science Foundation of Beijing; Beijing Natural Science Foundation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</si>
  <si>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Guizhou Science and Technology Department; Department of Science and Technology, Guizhou Province; 贵州省科技厅; Science and Technology Foundation of Guizhou Province; Department of Science and Technology of Guizhou Province</t>
  </si>
  <si>
    <t>https://openalex.org/funders/f4320322272 || https://openalex.org/funders/f4320321001</t>
  </si>
  <si>
    <t>Steven and Alexandra Cohen Foundation; The Steven &amp; Alexandra Cohen Foundation, Inc.; Steven &amp; Alexandra Cohen Foundation; Steven &amp; Alexandra Cohen Foundation, Inc. || National Institute of Allergy and Infectious Diseases; NIAID; Instituto Nacional de Alergias y Enfermedades Infecciosas</t>
  </si>
  <si>
    <t>https://openalex.org/funders/f4320337355 || https://openalex.org/funders/f4320316446</t>
  </si>
  <si>
    <t>State Key Laboratory of Automotive Simulation and Control; ASCL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</t>
  </si>
  <si>
    <t>https://openalex.org/funders/f4320326884 || https://openalex.org/funders/f4320321001</t>
  </si>
  <si>
    <t>Natural Science Foundation of Guangdong Province; Guangdong Natural Science Foundation; Guangdong Provincial Natural Science Foundation; Natural Science Foundation of Guangdong</t>
  </si>
  <si>
    <t>https://openalex.org/funders/f4320321921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</si>
  <si>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Key Research Program of Frontier Science, Chinese Academy of Sciences; 中国科学院前沿科学与教育局; Frontier Science Research Project || National Science Foundation; U.S. National Science Foundation; USA NSF; USNSF; NSF; US National Science Foundation; US NSF</t>
  </si>
  <si>
    <t>https://openalex.org/funders/f4320321001 || https://openalex.org/funders/f4320338202 || https://openalex.org/funders/f4320306076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</si>
  <si>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Research Grants Council, University Grants Committee; 研究資助局; 研究資助局</t>
  </si>
  <si>
    <t>https://openalex.org/funders/f4320321001 || https://openalex.org/funders/f4320321592</t>
  </si>
  <si>
    <t>Science Foundation Ireland; SFI</t>
  </si>
  <si>
    <t>Dalian High-Level Talent Innovation Program; Dalian Support Plan for Innovation of High-level Talents</t>
  </si>
  <si>
    <t>https://openalex.org/funders/f4320316071</t>
  </si>
  <si>
    <t>Natural Science Foundation of Guangdong Province; Guangdong Natural Science Foundation; Guangdong Provincial Natural Science Foundation; Natural Science Foundation of Guangdong || Natural Science Foundation of Guangxi Province; Guangxi Natural Science Foundation</t>
  </si>
  <si>
    <t>https://openalex.org/funders/f4320321921 || https://openalex.org/funders/f4320322768</t>
  </si>
  <si>
    <t>Ministry of Science and Technology; MOST; Ministry of Science and Technology of the Socialist Republic of Vietnam; Vietnamese Ministry of Science and Technology || Ministry of Health and Welfare; Ministry of Health, Welfare and Family Affairs; MOHW || National Cheng Kung University Hospital; NCKU Hospital; NCKU</t>
  </si>
  <si>
    <t>https://openalex.org/funders/f4320309618 || https://openalex.org/funders/f4320322933 || https://openalex.org/funders/f4320322034</t>
  </si>
  <si>
    <t>United States Department of Energy; DOE; U.S. Department of Energy; Departamento de Energía de los Estados Unidos; Département de l'Énergie des États-unis</t>
  </si>
  <si>
    <t>https://openalex.org/institutions/i1330989302</t>
  </si>
  <si>
    <t>Biotechnology and Biological Sciences Research Council; BBSRC; The Biotechnology And Biological Sciences Research Council || Biotechnology and Biological Sciences Research Council; BBSRC; The Biotechnology And Biological Sciences Research Council || Medical Research Council; MRC; UK Medical Research Council || Medical Research Council; MRC; UK Medical Research Council</t>
  </si>
  <si>
    <t>https://openalex.org/funders/f4320337611 || https://openalex.org/funders/f4320311480 || https://openalex.org/funders/f4320332161</t>
  </si>
  <si>
    <t>University of Nottingham; The University of Nottingham; University College, Nottingham; Nottingham University || Horowitz Foundation for Social Policy; The Horowitz Foundation for Social Policy; HFSP; Horowitz Foundation || Biotechnology and Biological Sciences Research Council; BBSRC; The Biotechnology And Biological Sciences Research Council</t>
  </si>
  <si>
    <t>https://openalex.org/funders/f4320334629 || https://openalex.org/funders/f4320311097 || https://openalex.org/funders/f4320320324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</si>
  <si>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Fundamental Research Funds for the Central Universities; Fundamental Research Funds for the Central Universities of China; Fundamental Research Fund for the Central Universities || Natural Science Foundation of Chongqing; Chonqing Natural Science Foundation; Municipal Natural Science Foundation of Chongqing; Natural Science Foundation of Chongqing Municipality; 重庆市自然科学基金 || China Postdoctoral Science Foundation || John Templeton Foundation; مؤسسة جون تمبلتون; Fundación John Templeton; Templeton Foundation; Fundação John Templeton; JTF; The John Templeton Foundation</t>
  </si>
  <si>
    <t>California Health and Human Services Agency; CHHS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</si>
  <si>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Science and Technology Planning Project of Guangdong Province; Key Project of Guangdong Province Science &amp; Technology Plan; Science and Technology Program of Guangdong; Guangdong Science and Technology Foundation; Science and Technology Projects of Guangdong Province; Scientific and Technological Plan of Guangdong Province; S&amp;T Project of Guangdong Province; Guangdong Science and Technology Program</t>
  </si>
  <si>
    <t>https://openalex.org/funders/f4320321001 || https://openalex.org/funders/f4320335795</t>
  </si>
  <si>
    <t>Agence Nationale de la Recherche; ANR; French National Research Agency || Fund for Scientific Research; FRS FNRS; Fonds de la Recherche Scientifique || Fonds De La Recherche Scientifique - FNRS; Belgian National Fund for Scientific Research; Fund for Scientific Research - FNRS; F.R.S. - FNRS; FNRS || Université Catholique de Louvain; Catholic University of Louvain; UCL</t>
  </si>
  <si>
    <r>
      <rPr/>
      <t xml:space="preserve">https://openalex.org/funders/f4320320883 || https://openalex.org/funders/f4320321390 || https://openalex.org/funders/f4320334968 || </t>
    </r>
    <r>
      <rPr>
        <color rgb="FF1155CC"/>
        <u/>
      </rPr>
      <t>https://openalex.org/institutions/i17653759</t>
    </r>
  </si>
  <si>
    <t>https://openalex.org/institutions/i4210088693 || https://openalex.org/funders/f4320326258</t>
  </si>
  <si>
    <t>https://openalex.org/funders/f4320320997 || https://openalex.org/funders/f4320322025 || https://openalex.org/funders/f4320321091</t>
  </si>
  <si>
    <t>European Social Fund; ESF; The European Social Fund; Europäische Sozialfonds; Fondo Sociale Europeo; Fonds Social Européen; Fondo Social Europeo</t>
  </si>
  <si>
    <t>Swiss National Science Foundation; SNSF; SNF; FNS; Fondo Nazionale Svizzero per la Ricerca Scientifica; Fonds national suisse de la recherche scientifique; Schweizerische Nationalfonds zur Förderung der wissenschaftlichen Forschung || National Institute of Allergy and Infectious Diseases; NIAID; Instituto Nacional de Alergias y Enfermedades Infecciosas</t>
  </si>
  <si>
    <t>https://openalex.org/funders/f4320337355 || https://openalex.org/institutions/i87101506</t>
  </si>
  <si>
    <t>https://openalex.org/funders/f4320332375 || https://openalex.org/funders/f4320306101</t>
  </si>
  <si>
    <t>https://openalex.org/funders/f4320321001 || https://openalex.org/funders/f4320335787 || https://openalex.org/funders/f4320324174</t>
  </si>
  <si>
    <t>National Institutes of Health; US National Institutes of Health; Institutos Nacionales de la Salud; NIH || National Cancer Institute; NCI; Instituto Nacional del Cáncer || National Institute of General Medical Sciences; NIGMS; U.S. National Institute of General Medical Sciences</t>
  </si>
  <si>
    <t>https://openalex.org/funders/f4320337354 || https://openalex.org/funders/f4320337351 || https://openalex.org/funders/f4320332161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</si>
  <si>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 || Ministry of Science and Technology; MOST; Ministry of Science and Technology of the Socialist Republic of Vietnam; Vietnamese Ministry of Science and Technology || Swedish Energy Agency; Energimyndigheten || Knut and Alice Wallenberg Foundation; Knut och Alice Wallenbergs Stiftelse || State Key Laboratory of Fine Chemicals; 精细化工国家重点实验室; State Key Lab of Fine Chemicals</t>
  </si>
  <si>
    <t>https://openalex.org/institutions/i3154889658 || https://openalex.org/funders/f4320335777 || https://openalex.org/funders/f4320309618 || https://openalex.org/institutions/i4391767660 || https://openalex.org/funders/f4320321001 || https://openalex.org/institutions/i4210123503</t>
  </si>
  <si>
    <t>Government of Western Australia Department of Health; Department of Health; Western Australia Department of Health; WA Health</t>
  </si>
  <si>
    <t>https://openalex.org/institutions/i2800882159</t>
  </si>
  <si>
    <t>National Science Foundation; U.S. National Science Foundation; USA NSF; USNSF; NSF; US National Science Foundation; US NSF || U.S. Department of Energy; US Department of Energy; DOE; United States Department of Energy; Department of Energy; USDOE; Energy Department; ENERGY.GOV; USADOE; US DOE || Wisconsin Alumni Research Foundation; THE WISCONSIN ALUMNI RESEARCH FOUNDATION; WARF || Institució Catalana de Recerca i Estudis Avançats; ICREA; Catalan Institution for Research and Advanced Studies</t>
  </si>
  <si>
    <t>https://openalex.org/funders/f4320322121 || https://openalex.org/funders/f4320306084 || https://openalex.org/funders/f4320306555 || https://openalex.org/funders/f4320306076</t>
  </si>
  <si>
    <t>National Social Science Fund of China; National Social Science Foundation of China; Chinese National Funding of Social Sciences; 国家社会科学基金; National Social Science Foundation; NSSFC</t>
  </si>
  <si>
    <t>Institute of BioMed-IT, Energy-IT and Smart-IT Technology (Best), Yonsei University; BK21+ BEST; BK21PLUS BEST</t>
  </si>
  <si>
    <t>https://openalex.org/funders/f4320312581 || https://openalex.org/funders/f4320321001 || https://openalex.org/funders/f4320306076</t>
  </si>
  <si>
    <t>Consiglio Nazionale delle Ricerche; CNR; National Research Council || Deutsche Forschungsgemeinschaft; German Research Association; DFG; German Research Foundation</t>
  </si>
  <si>
    <t>Swiss National Science Foundation; SNSF; SNF; FNS; Fondo Nazionale Svizzero per la Ricerca Scientifica; Fonds national suisse de la recherche scientifique; Schweizerische Nationalfonds zur Förderung der wissenschaftlichen Forschung || Swiss Cancer Research Foundation; Recherche Suisse Contre le Cancer; Stiftung Krebsforschung Schweiz; Swiss Cancer Research; Ricerca Svizzera Contro il Cancro; Krebsforschung Schweiz || Comprehensive Cancer Center, City of Hope; Comprehensive Cancer Center; City of Hope Comprehensive Cancer Center || Human Frontier Science Program; HFSP</t>
  </si>
  <si>
    <t>https://openalex.org/funders/f4320310408 || https://openalex.org/funders/f4320320338 || https://openalex.org/funders/f4320327941 || https://openalex.org/institutions/i87101506</t>
  </si>
  <si>
    <t>National Suicide Research Foundation; NSRF</t>
  </si>
  <si>
    <t>https://openalex.org/institutions/i4210135595</t>
  </si>
  <si>
    <t>Federación Española de Enfermedades Raras; Spanish Federation for Rare Diseases; FEDER || Fundação para a Ciência e a Tecnologia; FCT; Portuguese Science and Technology Foundation; Foundation for Science and Technology || Seventh Framework Programme; EU Seventh Framework Programme; European Commission Seventh Framework Programme; FP7; EC Seventh Framework Programme; European Union Seventh Framework Programme</t>
  </si>
  <si>
    <t>https://openalex.org/funders/f4320321595 || https://openalex.org/funders/f4320334779 || https://openalex.org/funders/f4320334960</t>
  </si>
  <si>
    <t>Direction Générale des Entreprises; DGE; Direction générale de la compétitivité, de l'industrie et des services</t>
  </si>
  <si>
    <t>https://openalex.org/institutions/i4210103624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</si>
  <si>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International Science and Technology Cooperation Programme; Key Program for International S and T Cooperation Projects of China; Key Program for International S&amp;T Cooperation Projects of China; International S&amp;T Cooperation Programme; Special Program For Key Program for International S&amp;T Cooperation Projects; ISTCP || Program for New Century Excellent Talents in University; New Century Excellent Talents Program; Program for New Century Excellent Talents; NCET</t>
  </si>
  <si>
    <t>https://openalex.org/funders/f4320321001 || https://openalex.org/funders/f4320335830 || https://openalex.org/funders/f4320334924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</si>
  <si>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Specialized Research Fund for the Doctoral Program of Higher Education of China; Research Fund for the Doctoral Program of Higher Education of China; SRFDP; Specialized Research Fund for the Doctoral Program of Higher Education; Specialized Research Fund for the Doctoral Program of Higher Education (SRFDP) of the Ministry of Education of China; Research Fund for the Doctoral Program of Higher Education || 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</t>
  </si>
  <si>
    <t>Deutsche Forschungsgemeinschaft; German Research Association; DFG; German Research Foundation || Max-Planck-Gesellschaft; Max-Planck-Gesellschaft zur Förderung der Wissenschaften; MPG; Max Planck Society for the Advancement of Science; Max Planck Society || Biotechnology and Biological Sciences Research Council; BBSRC; The Biotechnology And Biological Sciences Research Council || Wellcome Trust; The Wellcome Trust; WT; Wellcome || Biotechnology and Biological Sciences Research Council; BBSRC; The Biotechnology And Biological Sciences Research Council</t>
  </si>
  <si>
    <t>https://openalex.org/funders/f4320311904 || https://openalex.org/funders/f4320334629 || https://openalex.org/funders/f4320322434 || https://openalex.org/funders/f4320320879</t>
  </si>
  <si>
    <t>Universidad de Granada; UGR Granada; University of Granada; UGR</t>
  </si>
  <si>
    <t>Estonian Research Council; ETAg; Sihtasutus Eesti Teadusagentuur</t>
  </si>
  <si>
    <t>https://openalex.org/institutions/i4210093673</t>
  </si>
  <si>
    <t>Rufford Foundation; Rufford Small Grants Foundation; The Rufford Foundation || Idea Wild || German Academic Exchange Service; DAAD; Deutscher Akademischer Austauschdienst</t>
  </si>
  <si>
    <t>https://openalex.org/funders/f4320309818 || https://openalex.org/institutions/i1292336021 || https://openalex.org/funders/f4320309547</t>
  </si>
  <si>
    <t>https://openalex.org/funders/f4320322120 || https://openalex.org/funders/f4320337363</t>
  </si>
  <si>
    <t>Fondo Nacional de Desarrollo Científico y Tecnológico; National Fund for Scientific and Technological Development; FONDECYT; El Fondo Nacional de Desarrollo Científico y Tecnológico</t>
  </si>
  <si>
    <t>Danmarks Frie Forskningsfond; Danish Council for Independent Research; Det Frie Forskningsrad; Independent Research Fund Denmark; DFF</t>
  </si>
  <si>
    <t>https://openalex.org/funders/f4320322749 || https://openalex.org/funders/f4320322025 || https://openalex.org/funders/f4320321091</t>
  </si>
  <si>
    <t>Trinity College, University of Cambridge; Trinity College, Cambridge; College of the Holy and Undivided Trinity; University of Cambridge Trinity College || Medical Research Council; MRC; UK Medical Research Council || Wellcome Trust; The Wellcome Trust; WT; Wellcome || Medical Research Council; MRC; UK Medical Research Council || Medical Research Council; MRC; UK Medical Research Council</t>
  </si>
  <si>
    <t>https://openalex.org/funders/f4320334670 || https://openalex.org/funders/f4320334626 || https://openalex.org/funders/f4320311904</t>
  </si>
  <si>
    <t>https://openalex.org/funders/f4320337351 || https://openalex.org/funders/f4320332161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</si>
  <si>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Research and Development; State Science and Technology Commission</t>
  </si>
  <si>
    <t>https://openalex.org/funders/f4320306076 || https://openalex.org/funders/f4320309482 || https://openalex.org/funders/f4320332161</t>
  </si>
  <si>
    <t>Agentschap voor Innovatie door Wetenschap en Technologie; Agency for Innovation by Science and Technology, Flanders; IWT</t>
  </si>
  <si>
    <t>U.S. Department of Defense; Department of Defense; United States Department of Defense; US Department of Defense; USDOD; U.S. Dept of Defense; US Dept of Defense; DOD || GlaxoSmithKline; GlaxoSmithKline plc.; GSK; GSK plc.; GSK plc || Genentech; Genentech Inc; Genentech Inc.; Genentech USA, Inc.; Genentech USA Inc; Genentech USA; Genentech, Inc.; Genentech USA Inc.</t>
  </si>
  <si>
    <t>https://openalex.org/funders/f4320332193 || https://openalex.org/funders/f4320306078 || https://openalex.org/funders/f4320307773</t>
  </si>
  <si>
    <t>European Union; EU || Agencia per a la Competitivit de l'Empresa; ACCIO || Federal Ministry of Education and Research; BMBF; Bundesministerium für Bildung und Forschung</t>
  </si>
  <si>
    <t>https://openalex.org/institutions/i1320481043 || https://openalex.org/institutions/i2800093905 || https://openalex.org/institutions/i4210113919</t>
  </si>
  <si>
    <t>https://openalex.org/funders/f4320338279 || https://openalex.org/funders/f4320306076</t>
  </si>
  <si>
    <t>Gruppo Nazionale per l'Analisi Matematica, la Probabilità e le loro Applicazioni; INdAM\/GNAMPA || European Research Council; ERC || Ernst Ruska Centre; ERC; Ernst Ruska-Centre (ER-C) for Microscopy and Spectroscopy with Electrons; Ernst Ruska-Centrum</t>
  </si>
  <si>
    <t>https://openalex.org/funders/f4320334678 || https://openalex.org/institutions/i2801833913 || https://openalex.org/funders/f4320333369</t>
  </si>
  <si>
    <t>University of Gothenburg; Göteborgin yliopisto; Göteborgs universitet</t>
  </si>
  <si>
    <t>https://openalex.org/institutions/i881427289</t>
  </si>
  <si>
    <t>Conselho Nacional de Desenvolvimento Científico e Tecnológico; National Council for Scientific and Technological Development; Brazilian National Council for Research and Development; CNPq || Brazilian Synchrotron Light Laboratory; LNLS; Laboratório Nacional de Luz Síncrotron</t>
  </si>
  <si>
    <t>https://openalex.org/institutions/i4210106422 || https://openalex.org/funders/f4320322025</t>
  </si>
  <si>
    <t>Royal Commission for the Exhibition of 1851 || Engineering and Physical Sciences Research Council; EPSRC || Engineering and Physical Sciences Research Council; EPSRC</t>
  </si>
  <si>
    <t>Türkiye Bilimsel ve Teknolojik Araştırma Kurumu; Scientific and Technological Research Council of Turkey; TÜRKİYE BİLİMSEL VE TEKNOLOJİK ARAŞTIRMA KURUMU; Türkiye Bilimsel ve Teknolojik Araştirma Kurumu; TUBITAK; TÜBİTAK || Sakarya University; Sakarya Üniversitesi</t>
  </si>
  <si>
    <t>https://openalex.org/institutions/i103703290 || https://openalex.org/funders/f4320322626</t>
  </si>
  <si>
    <t>https://openalex.org/funders/f4320321001 || https://openalex.org/funders/f4320327563</t>
  </si>
  <si>
    <t>Xunta de Galicia; Regional Government of Galicia || European Commission; Europeiska kommissionen; Ευρωπαϊκής Επιτροπής; Comisia Europeană; Europese Commissie; Euroopa Komisjoni; Eiropas Komisiju; Euroopan komission; Europskoj komisiji; EU; Choimisiúin Eorpaigh; EU-Kommissionen; Evropski komisiji; EC; Comisión Europea; Europos Komisijos; Europäische Kommission; La Commissione europea; Evropské komise; Comissão Europeia; Európskej komisii; Европейската комисия; Európai Bizottságról; Komisja Europejska; Commissione europea; European Union; Commission européenne</t>
  </si>
  <si>
    <t>https://openalex.org/funders/f4320320300 || https://openalex.org/funders/f4320326655</t>
  </si>
  <si>
    <t>https://openalex.org/funders/f4320325698 || https://openalex.org/funders/f4320320879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</si>
  <si>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Inner Mongolia University || Education Department of Inner Mongolia Autonomous Region; Education Department of Inner Mongolia; 内蒙古自治区教育厅</t>
  </si>
  <si>
    <t>https://openalex.org/funders/f4320322216 || https://openalex.org/funders/f4320321001 || https://openalex.org/funders/f4320317803</t>
  </si>
  <si>
    <t>Conselho Nacional de Desenvolvimento Científico e Tecnológico; National Council for Scientific and Technological Development; Brazilian National Council for Research and Development; CNPq || Fundação de Amparo à Pesquisa do Estado de Minas Gerais; FAPEMIG; State of Minas Gerais Research Support Foundation; Minas Gerais State Research Foundation; FAPEMIG Foundation; Foundation for Research Support of the State of Minas Gerais || Max Planck Society; MPG; Max-Planck-Gesellschaft zur Förderung der Wissenschaften || Conselho Nacional de Desenvolvimento Científico e Tecnológico; National Council for Scientific and Technological Development; Brazilian National Council for Research and Development; CNPq</t>
  </si>
  <si>
    <t>https://openalex.org/institutions/i149899117 || https://openalex.org/funders/f4320322025 || https://openalex.org/funders/f4320322980</t>
  </si>
  <si>
    <t>Shanghai Municipal Education Commission; Education Commission of Shanghai Municipality; 上海市教育委员会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</t>
  </si>
  <si>
    <t>Electronic Components and Systems for European Leadership; Electronic Components and Systems for European Leadership Joint Undertaking; ECSEL; ECSEL Joint Undertaking</t>
  </si>
  <si>
    <t>https://openalex.org/funders/f4320327207</t>
  </si>
  <si>
    <t>Women's Foundation of Minnesota; WFMN; Women's Foundation of MN; WFM; The Women's Foundation of Minnesota; WomensFoundationMN; Women's Foundation-Minnesota || Carlson Family Foundation</t>
  </si>
  <si>
    <t>https://openalex.org/funders/f4320337355 || https://openalex.org/funders/f4320332161</t>
  </si>
  <si>
    <t>Natural Science Basic Research Program of Shaanxi Province; Natural Science Basic Research Plan in the Shaanxi Province of China; 陕西省自然科学基础研; Natural Science Basic Research Plan in Shaanxi Province</t>
  </si>
  <si>
    <t>https://openalex.org/funders/f4320336567</t>
  </si>
  <si>
    <t>National Science Foundation; U.S. National Science Foundation; USA NSF; USNSF; NSF; US National Science Foundation; US NSF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Government of Jiangsu Province; Jiangsu Province || China Postdoctoral Science Foundation</t>
  </si>
  <si>
    <t>https://openalex.org/funders/f4320321605 || https://openalex.org/funders/f4320321001 || https://openalex.org/funders/f4320321543 || https://openalex.org/funders/f4320306076</t>
  </si>
  <si>
    <t>National Institute on Drug Abuse; NIDA; The National Institute on Drug Abuse; Instituto Nacional sobre el Abuso de Drogas; Instituto Nacional sobre el Abuso de Drogas de Estados Unidos || Michael Smith Health Research BC; Michael Smith Foundation for Health Research; MSFHR</t>
  </si>
  <si>
    <t>https://openalex.org/funders/f4320337347 || https://openalex.org/funders/f4320319965</t>
  </si>
  <si>
    <t>National Science Foundation; U.S. National Science Foundation; USA NSF; USNSF; NSF; US National Science Foundation; US NSF || Carnegie Mellon University; CMU || National Oceanic and Atmospheric Administration; NOAA; National Oceanic &amp; Atmospheric Administration || Directorate for Social, Behavioral and Economic Sciences; NSF's Directorate for Social, Behavioral, and Economic (SBE) Sciences; SBE\/OAD; SBE; U.S. National Science Foundation's Directorate for Social, Behavioral and Economic Sciences; Directorate for Social, Behavioral &amp; Economic Sciences; NSF Social, Behavioral, and Economic Sciences Directorate; Social, Behavioral and Economic Sciences; The Social, Behavioral and Economic Sciences</t>
  </si>
  <si>
    <t>https://openalex.org/funders/f4320310207 || https://openalex.org/funders/f4320332181 || https://openalex.org/funders/f4320332173 || https://openalex.org/funders/f4320306076</t>
  </si>
  <si>
    <t>Fundação de Amparo à Pesquisa do Estado de São Paulo; São Paulo Research Foundation; Foundation for Research Support of the State of São Paulo; FAPESP; State of São Paulo Research Foundation || Coordenação de Aperfeiçoamento de Pessoal de Nível Superior; Coordination for the Improvement of Higher Education Personnel; CAPES; Brazilian Federal Agency for the Support and Evaluation of Graduate Education || Fonds Wetenschappelijk Onderzoek; Flemish Research Foundation; FWO; Research Foundation Flanders || Conselho Nacional de Desenvolvimento Científico e Tecnológico; National Council for Scientific and Technological Development; Brazilian National Council for Research and Development; CNPq</t>
  </si>
  <si>
    <t>https://openalex.org/funders/f4320320997 || https://openalex.org/funders/f4320321730 || https://openalex.org/funders/f4320322025 || https://openalex.org/funders/f4320321091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</si>
  <si>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Department of Education of Liaoning Province; 辽宁省教育厅; Educational Department of Liaoning Province; The Educational Department of Liaoning Province; Liaoning Provincial Education Department</t>
  </si>
  <si>
    <t>OSG Consortium; OSG; Open Science Grid; Open Science Grid Consortium || National Science Foundation; U.S. National Science Foundation; USA NSF; USNSF; NSF; US National Science Foundation; US NSF || Ministry of Education and Science of the Russian Federation; Minobrnauka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Ministry of Science and Technology; MOST; Ministry of Science and Technology of the Socialist Republic of Vietnam; Vietnamese Ministry of Science and Technology || Ministry of Education; 교육부; MOE; Ministry of Education of the Republic of Korea || National Research Foundation of Korea; NRF; 한국연구재단이 창의적 연구와 || Narodowe Centrum Nauki; National Science Centre; NCN || National Research Foundation; NRF || Ministarstvo Obrazovanja, Znanosti i Sporta; MZOS; Ministry of Science, Education and Sports || Federal Ministry of Education and Research; BMBF; Bundesministerium für Bildung und Forschung || Helmholtz Association; 亥姆霍兹联合会致力; Helmholtz-Gemeinschaft; Helmholtz Association of German Research Centres; Объединение имени Гельмгольца || Rainwater Charitable Foundation; The Rainwater Charitable Foundation; RCF || National Energy Research Scientific Computing Center; NERSC; The National Energy Research Scientific Computing Center</t>
  </si>
  <si>
    <t>https://openalex.org/funders/f4320321898 || https://openalex.org/funders/f4320322120 || https://openalex.org/funders/f4320317220 || https://openalex.org/funders/f4320316719 || https://openalex.org/funders/f4320321912 || https://openalex.org/funders/f4320320671 || https://openalex.org/funders/f4320306076 || https://openalex.org/institutions/i2800093905 || https://openalex.org/funders/f4320309618 || https://openalex.org/funders/f4320322511 || https://openalex.org/funders/f4320325698 || https://openalex.org/institutions/i4210093990 || https://openalex.org/funders/f4320321001 || https://openalex.org/funders/f4320321408</t>
  </si>
  <si>
    <t>Natural Science Foundation of Hubei Province; Hubei Provincial Natural Science Foundation</t>
  </si>
  <si>
    <t>https://openalex.org/funders/f4320322186</t>
  </si>
  <si>
    <t>Council of Scientific and Industrial Research, India; CSIR, India; CSIR; Council of Scientific and Industrial Research; Council of Scientific &amp; Industrial Research; वैज्ञानिक तथा औद्योगिक अनुसंधान परिषद; CSIR INDIA; सीएसआईआर || Indian Institute of Technology Indore; IIT Indore; IITI || Department of Science and Technology, Ministry of Science and Technology, India; डीएसटी; Department of Science &amp; Technology, Ministry of Science and Technology, India; Department of Science &amp; Technology; DST; विज्ञान और प्रौद्योगिकी विभाग; Department of Science and Technology; विज्ञान और प्रौद्योगिकी विभाग, विज्ञान और प्रौद्योगिकी मंत्रालय, भारत || Council of Scientific and Industrial Research, India; CSIR, India; CSIR; Council of Scientific and Industrial Research; Council of Scientific &amp; Industrial Research; वैज्ञानिक तथा औद्योगिक अनुसंधान परिषद; CSIR INDIA; सीएसआईआर</t>
  </si>
  <si>
    <t>https://openalex.org/funders/f4320320721 || https://openalex.org/funders/f4320327132 || https://openalex.org/funders/f4320320719</t>
  </si>
  <si>
    <t>Fonds Québécois de la Recherche sur la Nature et les Technologies; FQRNT; Quebec Research Fund - Nature and Technology || Natural Sciences and Engineering Research Council of Canada; CRSNG; NSERC; Conseil de Recherches en Sciences Naturelles et en Génie du Canada || Università di Bologna; UNIBO; University of Bologna || National Science Foundation; U.S. National Science Foundation; USA NSF; USNSF; NSF; US National Science Foundation; US NSF || Consejo Nacional de Ciencia y Tecnología; National Council of Science and Technology, Mexico; CONACYT || CMC Microsystems; CMC Microsystèmes; Canadian Microelectronics Corp; CMC Microsystems Inc; CMC; Canadian Microelectronics Corporation || Ministero dell’Istruzione, dell’Università e della Ricerca; Ministry of Education, Universities and Research; MIUR; Ministry of Education, University and Research || Directorate for Mathematical and Physical Sciences; NSF Directorate for Mathematical &amp; Physical Sciences; MPS\/OAD; MPS; Mathematical and Physical Sciences; Directorate for Mathematical &amp; Physical Sciences; NSF Directorate for Mathematical and Physical Sciences</t>
  </si>
  <si>
    <t>https://openalex.org/funders/f4320321739 || https://openalex.org/funders/f4320310709 || https://openalex.org/funders/f4320334593 || https://openalex.org/funders/f4320306076 || https://openalex.org/funders/f4320321747 || https://openalex.org/funders/f4320321873 || https://openalex.org/funders/f4320323553 || https://openalex.org/funders/f4320332172</t>
  </si>
  <si>
    <t>National Research Foundation of Korea; NRF; 한국연구재단이 창의적 연구와 || Korea Research Institute of Chemical Technology; KRICT</t>
  </si>
  <si>
    <t>https://openalex.org/funders/f4320322101 || https://openalex.org/funders/f4320322120</t>
  </si>
  <si>
    <t>https://openalex.org/funders/f4320337338 || https://openalex.org/funders/f4320337351</t>
  </si>
  <si>
    <t>https://openalex.org/funders/f4320306305 || https://openalex.org/funders/f4320337359 || https://openalex.org/funders/f4320332161 || https://openalex.org/funders/f4320334678 || https://openalex.org/funders/f4320337346</t>
  </si>
  <si>
    <t>Defense Advanced Research Projects Agency; US Defense Advanced Research Projects Agency; DARPA; U.S. Defense Advanced Research Projects Agency; United States Defense Advanced Research Projects Agency; The Defense Advanced Research Projects Agency || Pennsylvania State University; The Pennsylvania State University; PSU; Penn State; Penn State University || National Science Foundation; U.S. National Science Foundation; USA NSF; USNSF; NSF; US National Science Foundation; US NSF || National Science Foundation; U.S. National Science Foundation; USA NSF; USNSF; NSF; US National Science Foundation; US NSF</t>
  </si>
  <si>
    <t>https://openalex.org/funders/f4320306076 || https://openalex.org/funders/f4320310419 || https://openalex.org/funders/f4320332180</t>
  </si>
  <si>
    <t>Lublin University of Technology; Politechnika Lubelska</t>
  </si>
  <si>
    <t>https://openalex.org/institutions/i8264552</t>
  </si>
  <si>
    <t>https://openalex.org/funders/f4320335777 || https://openalex.org/funders/f4320321001 || https://openalex.org/funders/f4320338204 || https://openalex.org/funders/f4320326704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</si>
  <si>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Natural Science Foundation of Fujian Province; Fujian Provincial Natural Science Foundation</t>
  </si>
  <si>
    <t>Science and Technology Planning Project of Guangdong Province; Key Project of Guangdong Province Science &amp; Technology Plan; Science and Technology Program of Guangdong; Guangdong Science and Technology Foundation; Science and Technology Projects of Guangdong Province; Scientific and Technological Plan of Guangdong Province; S&amp;T Project of Guangdong Province; Guangdong Science and Technology Program || U.S. National Library of Medicine; National Library of Medicine; United States National Library of Medicine; US National Library of Medicine; NLM</t>
  </si>
  <si>
    <t>https://openalex.org/funders/f4320335795 || https://openalex.org/funders/f4320337372</t>
  </si>
  <si>
    <t>https://openalex.org/funders/f4320322919 || https://openalex.org/funders/f4320335787</t>
  </si>
  <si>
    <t>https://openalex.org/funders/f4320306196 || https://openalex.org/funders/f4320337363 || https://openalex.org/funders/f4320306076</t>
  </si>
  <si>
    <t>https://openalex.org/funders/f4320312060 || https://openalex.org/funders/f4320334626 || https://openalex.org/funders/f4320319985 || https://openalex.org/funders/f4320311904</t>
  </si>
  <si>
    <t>Fundamental Research Funds for the Central Universities; Fundamental Research Funds for the Central Universities of China; Fundamental Research Fund for the Central Universities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Guangxi Key Laboratory of Trusted Software, Guilin University of Electronic Technology</t>
  </si>
  <si>
    <t>https://openalex.org/funders/f4320321001 || https://openalex.org/funders/f4320335787 || https://openalex.org/funders/f4320336367</t>
  </si>
  <si>
    <t>Tomas Bata University in Zlin; TBU; Univerzita Tomáše Bati ve Zlíně; Universitas Thomae Bata Zlinensis</t>
  </si>
  <si>
    <t>Ministry of Science and Technology; MOST; Ministry of Science and Technology of the Socialist Republic of Vietnam; Vietnamese Ministry of Science and Technology</t>
  </si>
  <si>
    <t>https://openalex.org/funders/f4320309618</t>
  </si>
  <si>
    <t>Ministerio de Economía y Competitividad; MINECO; MEC; Ministry of Economy and Competitiveness || Eusko Jaurlaritza; Basque Government; Gobierno Vasco || Academy of Finland; Suomen Akatemia; AKA; The Academy of Finland; Finlands Akademi || European Research Council; ERC || Consejo Superior de Investigaciones Científicas; Spanish National Research Council; CSIC</t>
  </si>
  <si>
    <t>https://openalex.org/funders/f4320321837 || https://openalex.org/funders/f4320334678 || https://openalex.org/funders/f4320334857 || https://openalex.org/funders/f4320321108 || https://openalex.org/funders/f4320321705</t>
  </si>
  <si>
    <t>https://openalex.org/funders/f4320321001 || https://openalex.org/funders/f4320335787 || https://openalex.org/funders/f4320322186</t>
  </si>
  <si>
    <t>https://openalex.org/funders/f4320336035 || https://openalex.org/funders/f4320321001</t>
  </si>
  <si>
    <t>https://openalex.org/funders/f4320321001 || https://openalex.org/funders/f4320327518</t>
  </si>
  <si>
    <t>FNS</t>
  </si>
  <si>
    <t>https://openalex.org/funders/f4320321373 || https://openalex.org/funders/f4320322120 || https://openalex.org/funders/f4320321408 || https://openalex.org/funders/f4320321227</t>
  </si>
  <si>
    <t>https://openalex.org/funders/f4320322598 || https://openalex.org/funders/f4320321592</t>
  </si>
  <si>
    <t>Anhui University of Science and Technology; Anhui University of Science &amp; Technology; AUST; 安徽理工大学; Anhui Science and Technology University || Foundation of Equipment Pre-research Area; Equipment Pre-Research Foundation of China</t>
  </si>
  <si>
    <t>https://openalex.org/funders/f4320323708 || https://openalex.org/funders/f4320337861</t>
  </si>
  <si>
    <t>https://openalex.org/funders/f4320321001 || https://openalex.org/funders/f4320335787 || https://openalex.org/institutions/i4210163492</t>
  </si>
  <si>
    <t>National Institutes of Health; US National Institutes of Health; Institutos Nacionales de la Salud; NIH || Fundação de Amparo à Pesquisa do Estado de São Paulo; São Paulo Research Foundation; Foundation for Research Support of the State of São Paulo; FAPESP; State of São Paulo Research Foundation || Associação Fundo de Incentivo à Pesquisa; AFIP; Association Research Incentive Fund || Conselho Nacional de Desenvolvimento Científico e Tecnológico; National Council for Scientific and Technological Development; Brazilian National Council for Research and Development; CNPq</t>
  </si>
  <si>
    <t>https://openalex.org/funders/f4320320997 || https://openalex.org/funders/f4320323756 || https://openalex.org/funders/f4320322025 || https://openalex.org/funders/f4320332161</t>
  </si>
  <si>
    <t>Österreichische Nationalstiftung für Forschung, Technologie und Entwicklung; National Foundation for Research, Technology and Development, Austria; National Foundation for Research, Technology and Development; FTE-Stiftung || OMV Konzern; OMV Aktiengesellschaft; OMV Group; OMV AG</t>
  </si>
  <si>
    <t>https://openalex.org/funders/f4320321001 || https://openalex.org/funders/f4320327720 || https://openalex.org/funders/f4320336350</t>
  </si>
  <si>
    <t>Umeå University; Umeå Universitet; Uumajan Yliopisto</t>
  </si>
  <si>
    <t>https://openalex.org/institutions/i90267481</t>
  </si>
  <si>
    <t>National Science Foundation; U.S. National Science Foundation; USA NSF; USNSF; NSF; US National Science Foundation; US NSF || Technical University of Denmark; DTU; Dänemarks Technische Universität; Danmarks Tekniske Universitet || Institute for Soldier Nanotechnologies; ISN</t>
  </si>
  <si>
    <t>https://openalex.org/institutions/i4210109539 || https://openalex.org/institutions/i96673099 || https://openalex.org/funders/f4320306076</t>
  </si>
  <si>
    <t>Novocure || GE Healthcare; G. Binswanger and Company; The General Electric Apparatus Company (G. Binswanger)</t>
  </si>
  <si>
    <r>
      <rPr/>
      <t xml:space="preserve">https://openalex.org/funders/f4320337354 || https://openalex.org/funders/f4320337357 || https://openalex.org/funders/f4320332161 || https://openalex.org/funders/f4320335777 || </t>
    </r>
    <r>
      <rPr>
        <color rgb="FF1155CC"/>
        <u/>
      </rPr>
      <t>https://openalex.org/funders/f4320327163</t>
    </r>
    <r>
      <rPr/>
      <t xml:space="preserve"> || https://openalex.org/funders/f4320321001</t>
    </r>
  </si>
  <si>
    <t>https://openalex.org/funders/f4320335777 || https://openalex.org/funders/f4320322847 || https://openalex.org/funders/f4320338202 || https://openalex.org/funders/f4320321001 || https://openalex.org/funders/f4320322725</t>
  </si>
  <si>
    <t>Erciyes University; Ərciyəs Universiteti; Erciyes Üniversitesi</t>
  </si>
  <si>
    <t>https://openalex.org/institutions/i87673952</t>
  </si>
  <si>
    <t>University of South Florida; USF || Department of Veterans' Affairs, Australian Government; Australian Government Department of Veterans'​ Affairs; Department of Veterans' Affairs; Department of Veterans Affairs, Australian Government; DVA || Department of Internal Medicine, University of Utah; University of Utah Hospital Internal Medicine; Department of Internal Medicine; The University of Utah Department of Internal Medicine</t>
  </si>
  <si>
    <t>https://openalex.org/funders/f4320334071 || https://openalex.org/funders/f4320320381 || https://openalex.org/funders/f4320310847</t>
  </si>
  <si>
    <t>Royal Society; The Royal Society || Royal Society of Chemistry; RSC; Royal Society of Chemistry (RSC) || Newcastle University; University of Newcastle upon Tyne || Faculty of Science, Agriculture and Engineering, Newcastle University; Faculty of Science, Agriculture &amp; Engineering; Faculty of Science, Agriculture and Engineering at Newcastle University; University of Newcastle upon Tyne Faculty of Science, Agriculture and Engineering; SAgE; Newcastle University Faculty of Science, Agriculture and Engineering; Faculty of Science, Agriculture and Engineering</t>
  </si>
  <si>
    <t>https://openalex.org/funders/f4320336101 || https://openalex.org/funders/f4320320006 || https://openalex.org/funders/f4320320295 || https://openalex.org/funders/f4320320251</t>
  </si>
  <si>
    <t>Gruppo Nazionale per le Strutture Algebriche, Geometriche e le loro Applicazioni; National Group for Algebraic and Geometric Structures and their Applications; National Group for Algebraic, Geometric Structures and their Applications; GNSAGA || Japan Society for the Promotion of Science; Grants-in-Aid for Scientific Research; Grants-in-Aid for Scientific Research Program; KAKENHI; 日本学術振興会; KAKEN; JSPS</t>
  </si>
  <si>
    <t>https://openalex.org/funders/f4320334045 || https://openalex.org/funders/f4320334764</t>
  </si>
  <si>
    <t>Conselho Nacional de Desenvolvimento Científico e Tecnológico; National Council for Scientific and Technological Development; Brazilian National Council for Research and Development; CNPq || Fundação de Amparo à Pesquisa do Estado de Minas Gerais; FAPEMIG; State of Minas Gerais Research Support Foundation; Minas Gerais State Research Foundation; FAPEMIG Foundation; Foundation for Research Support of the State of Minas Gerais || Departamento de Ciência e Tecnologia; DCT</t>
  </si>
  <si>
    <t>https://openalex.org/institutions/i4210155391 || https://openalex.org/funders/f4320322025 || https://openalex.org/funders/f4320322980</t>
  </si>
  <si>
    <t xml:space="preserve">Croatian Science Foundation; HRZZ; Hrvatska zaklada za znanost </t>
  </si>
  <si>
    <t>https://openalex.org/institutions/i4210144085</t>
  </si>
  <si>
    <t>Shaanxi Academy of Sciences; 陕西省科学院 || Agriculture Department of Shaanxi Province; Department of Agriculture of Shaanxi Province; Department of Agriculture, Shaanxi Province; Shaanxi Provincial Department of Agriculture; Shaanxi Provincial Agriculture Department</t>
  </si>
  <si>
    <t>https://openalex.org/funders/f4320325624 || https://openalex.org/funders/f4320330653</t>
  </si>
  <si>
    <t>Ministère des Forêts, de la Faune et des Parcs; Ministère des Forêts, de la Faune et des Parcs du Québec; Ministry of Forests, Fauna and Parks</t>
  </si>
  <si>
    <t>https://openalex.org/funders/f4320321001 || https://openalex.org/funders/f4320335787</t>
  </si>
  <si>
    <t>https://openalex.org/funders/f4320337346 || https://openalex.org/funders/f4320332161</t>
  </si>
  <si>
    <t>https://openalex.org/funders/f4320321837 || https://openalex.org/funders/f4320334704</t>
  </si>
  <si>
    <t>https://openalex.org/funders/f4320307500 || https://openalex.org/funders/f4320335777 || https://openalex.org/funders/f4320321001</t>
  </si>
  <si>
    <t>Natural Science Foundation of Shaanxi Province; Shaanxi Province Natural Science Foundation || Chinese Universities Scientific Fund || Guangzhou Municipal Science and Technology Project; Sci-Tech Project Foundation of Guangzhou City; Science and Technology Program of Guangzhou City; Guangzhou Science and Technology Foundation; Guangzhou Science and Technology Plan</t>
  </si>
  <si>
    <t>National Science Council; National Science Council, Taiwan; National Science Council of Taiwan; NSC || Council of Agriculture; Council of Agriculture of Executive Yuan; COA; Council of Agriculture, Taiwan; Council of Agriculture, Executive Yuan, R.O.C. || China Medical University; 中国医科大学; CMU</t>
  </si>
  <si>
    <t>https://openalex.org/funders/f4320310116 || https://openalex.org/funders/f4320321040 || https://openalex.org/funders/f4320324301</t>
  </si>
  <si>
    <r>
      <rPr/>
      <t xml:space="preserve">https://openalex.org/funders/f4320337350 || https://openalex.org/funders/f4320306076 || https://openalex.org/funders/f4320332161 || https://openalex.org/funders/f4320307384 || https://openalex.org/funders/f4320309445 || https://openalex.org/funders/f4320306148 || </t>
    </r>
    <r>
      <rPr>
        <color rgb="FF1155CC"/>
        <u/>
      </rPr>
      <t>https://openalex.org/funders/f4320337346</t>
    </r>
  </si>
  <si>
    <t>https://openalex.org/funders/f4320334764 || https://openalex.org/funders/f4320321945</t>
  </si>
  <si>
    <t>Ministry of Education and Science of the Republic of Kazakhstan; Ministry of Education and Science, Republic of Kazakhstan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</si>
  <si>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Anhui Provincial Department of Education; 安徽省教育厅; Department of Education of Anhui Province; Department of Education, Anhui Province; Anhui Department of Education; Educational Commission of Anhui Province</t>
  </si>
  <si>
    <t>https://openalex.org/funders/f4320321001 || https://openalex.org/funders/f4320326664</t>
  </si>
  <si>
    <t>American Diabetes Association; American Diabetes Association, Inc.; ADA; AmDiabetesAssn; American Diabetes Association Inc; Asociación Americana de la Diabetes; American Diabetes Assn; American Diabetes Association Inc. || National Institutes of Health; US National Institutes of Health; Institutos Nacionales de la Salud; NIH || National Institutes of Health; US National Institutes of Health; Institutos Nacionales de la Salud; NIH || National Institutes of Health; US National Institutes of Health; Institutos Nacionales de la Salud; NIH || National Center for Complementary and Integrative Health; The National Center for Complementary and Integrative Health; NCCIH || National Institute of Diabetes and Digestive and Kidney Diseases; NIH\/National Institute of Diabetes, Digestive &amp; Kidney Diseases; NIH National Institute of Diabetes and Digestive and Kidney Diseases; NIDDK; National Institute of Diabetes &amp; Digestive &amp; Kidney Diseases || National Institute of General Medical Sciences; NIGMS; U.S. National Institute of General Medical Sciences</t>
  </si>
  <si>
    <t>https://openalex.org/funders/f4320337354 || https://openalex.org/funders/f4320337593 || https://openalex.org/funders/f4320337357 || https://openalex.org/funders/f4320332161 || https://openalex.org/funders/f4320306089</t>
  </si>
  <si>
    <t>https://openalex.org/funders/f4320315059 || https://openalex.org/funders/f4320311813 || https://openalex.org/funders/f4320320879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</si>
  <si>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Program for Changjiang Scholars and Innovative Research Team in University; 长江学者和创新团队发展计划资助资助; Program for Yangtze River Scholars and Innovative Research Team in University || 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</t>
  </si>
  <si>
    <t>https://openalex.org/funders/f4320335777 || https://openalex.org/funders/f4320338204 || https://openalex.org/funders/f4320321001</t>
  </si>
  <si>
    <t>https://openalex.org/funders/f4320321001 || https://openalex.org/funders/f4320322163</t>
  </si>
  <si>
    <t>Trafikverket; Swedish Transport Administration</t>
  </si>
  <si>
    <t>Ministry of Higher Education, Malaysia; MOHE || Ministry of Higher Education; Ministry of Higher Education, Egypt; MOHE; Egyptian Ministry of Higher Education || Universiti Malaysia Sarawak; University of Malaysia, Sarawak</t>
  </si>
  <si>
    <t>https://openalex.org/funders/f4320324896 || https://openalex.org/funders/f4320321709 || https://openalex.org/funders/f4320321147</t>
  </si>
  <si>
    <t>Czech Science Foundation; GAČR; Grantová agentura České republiky || European Union; EU</t>
  </si>
  <si>
    <t>https://openalex.org/institutions/i2800866597 || https://openalex.org/institutions/i1320481043</t>
  </si>
  <si>
    <t>Shanghai Municipal Education Commission; Education Commission of Shanghai Municipality; 上海市教育委员会</t>
  </si>
  <si>
    <t>Ministerio de Educación, Cultura y Deporte; Ministry of Education, Culture and Sports; MECD</t>
  </si>
  <si>
    <t>https://openalex.org/funders/f4320310485 || https://openalex.org/funders/f4320334704</t>
  </si>
  <si>
    <t>Oregon Clinical and Translational Research Institute; OCTRI; Oregon Clinical &amp; Translational Research Institute || Knight Cancer Institute, Oregon Health and Science University; Knight Cancer Institute; OHSU Knight Cancer Institute || National Center for Advancing Translational Sciences; NCATS; NIH-NCATS; NIH's National Center for Advancing Translational; NCATS NIH || National Center for Advancing Translational Sciences; NCATS; NIH-NCATS; NIH's National Center for Advancing Translational; NCATS NIH || National Institute of Neurological Disorders and Stroke; National Institute of Neurological Disorders &amp; Stroke; NIH\/National Institute of Neurological Disorders and Stroke; The National Institute of Neurological Disorders and Stroke; Instituto Nacional de Trastornos Neurológicos y Accidentes Cerebrovasculares; NIH National Institute of Neurological Disorders and Stroke; NINDS</t>
  </si>
  <si>
    <t>https://openalex.org/funders/f4320337472 || https://openalex.org/funders/f4320337359 || https://openalex.org/funders/f4320332578 || https://openalex.org/funders/f4320334223</t>
  </si>
  <si>
    <t>Natural Sciences and Engineering Research Council; NSERC; CRSNG; Conseil de Recherches en Sciences Naturelles et en Génie du Canada</t>
  </si>
  <si>
    <t>https://openalex.org/institutions/i122879082</t>
  </si>
  <si>
    <t>Ministry of Science and Technology Thailand; MOST; กระทรวงวิทยาศาสตร์และเทคโนโลยี;; Krasuang Witthayasat Lae Theknoloyi; Ministry of Science, Technology and Environment; Ministry of Science, Technology and Energy</t>
  </si>
  <si>
    <t>https://openalex.org/institutions/i4210129478</t>
  </si>
  <si>
    <t>U.S. Department of Energy; US Department of Energy; DOE; United States Department of Energy; Department of Energy; USDOE; Energy Department; ENERGY.GOV; USADOE; US DOE || Office of Biological and Environmental Research; BER; United States Department of Energy Office of Science Office of Biological and Environmental Research; U.S. Department of Energy Office of Science Office of Biological and Environmental Research; U.S. Department of Energy Office of Biological and Environmental Research; United States Department of Energy Office of Biological and Environmental Research</t>
  </si>
  <si>
    <t>https://openalex.org/institutions/i4210101953 || https://openalex.org/funders/f4320306084</t>
  </si>
  <si>
    <t>Swiss National Science Foundation; SNSF; SNF; FNS; Fondo Nazionale Svizzero per la Ricerca Scientifica; Fonds national suisse de la recherche scientifique; Schweizerische Nationalfonds zur Förderung der wissenschaftlichen Forschung || National Center for Research Resources; NCRR</t>
  </si>
  <si>
    <t>https://openalex.org/institutions/i87101506 || https://openalex.org/funders/f4320337375</t>
  </si>
  <si>
    <t>Eesti Teadusfondi; Estonian Science Foundation; ETF</t>
  </si>
  <si>
    <t>https://openalex.org/funders/f4320330889 || https://openalex.org/funders/f4320332172 || https://openalex.org/funders/f4320334632</t>
  </si>
  <si>
    <t>https://openalex.org/funders/f4320320997 || https://openalex.org/funders/f4320322025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</si>
  <si>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Hunan Provincial Innovation Foundation for Postgraduate</t>
  </si>
  <si>
    <t>Idaho Space Grant Consortium; NASA Idaho Space Grant Consortium; NASA ID Space Grant Consortium; ISGC; NASA Idaho Space Grant; NASA ISGC || U.S. Nuclear Regulatory Commission; US Nuclear Regulatory Commission; NRCgov; U.S.NRC; USNRC; NRC; United States Nuclear Regulatory Commission; The US Nuclear Regulatory Commission; Nuclear Regulatory Commission; The Nuclear Regulatory Commission; U.S. NRC</t>
  </si>
  <si>
    <t>https://openalex.org/funders/f4320308293 || https://openalex.org/funders/f4320308697</t>
  </si>
  <si>
    <t>Japan Society for the Promotion of Science; Grants-in-Aid for Scientific Research; Grants-in-Aid for Scientific Research Program; KAKENHI; 日本学術振興会; KAKEN; JSPS || Department of Science and Technology, Ministry of Science and Technology, India; डीएसटी; Department of Science &amp; Technology, Ministry of Science and Technology, India; Department of Science &amp; Technology; DST; विज्ञान और प्रौद्योगिकी विभाग; Department of Science and Technology; विज्ञान और प्रौद्योगिकी विभाग, विज्ञान और प्रौद्योगिकी मंत्रालय, भारत || Government of India; GOI; Union Government; Central Government</t>
  </si>
  <si>
    <t>https://openalex.org/institutions/i2799351866 || https://openalex.org/funders/f4320320719 || https://openalex.org/funders/f4320334764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</si>
  <si>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Science and Technology Commission of Shanghai Municipality; STCSM; Shanghai Science and Technology Committee; Shanghai Municipal Science and Technology Commission; Shanghai Science and Technology Commission; 上海市科学技术委员会</t>
  </si>
  <si>
    <t>https://openalex.org/funders/f4320321001 || https://openalex.org/funders/f4320321885</t>
  </si>
  <si>
    <t>Social Sciences and Humanities Research Council of Canada; Conseil de recherches en sciences humaines du Canada; SSHRC || European Research Council; ERC || Ministerio de Economía y Competitividad; MINECO; MEC; Ministry of Economy and Competitiveness || Institució Catalana de Recerca i Estudis Avançats; ICREA; Catalan Institution for Research and Advanced Studies</t>
  </si>
  <si>
    <t>https://openalex.org/funders/f4320334678 || https://openalex.org/funders/f4320334617 || https://openalex.org/funders/f4320322121 || https://openalex.org/funders/f4320321837</t>
  </si>
  <si>
    <t>National Science Foundation; U.S. National Science Foundation; USA NSF; USNSF; NSF; US National Science Foundation; US NSF || Education Department of Jiangxi Province; Department of Education, Jiangxi Province; Jiangxi Provincial Education Department; 江西省教育厅; Department of Education of Jiangxi Province; Jiangxi Provincial Department of Education</t>
  </si>
  <si>
    <t>https://openalex.org/funders/f4320325626 || https://openalex.org/funders/f4320306076</t>
  </si>
  <si>
    <t>https://openalex.org/funders/f4320332285 || https://openalex.org/funders/f4320332299 || https://openalex.org/funders/f4320310395</t>
  </si>
  <si>
    <t>https://openalex.org/funders/f4320321001 || https://openalex.org/funders/f4320326266 || https://openalex.org/funders/f4320316329</t>
  </si>
  <si>
    <t>National Football League Players Association; NFL Players Association; NFLPA</t>
  </si>
  <si>
    <t>https://openalex.org/funders/f4320318724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</si>
  <si>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Fundamental Research Funds for the Central Universities; Fundamental Research Funds for the Central Universities of China; Fundamental Research Fund for the Central Universities || China Postdoctoral Science Foundation</t>
  </si>
  <si>
    <t>https://openalex.org/funders/f4320321001 || https://openalex.org/funders/f4320335787 || https://openalex.org/funders/f4320321543</t>
  </si>
  <si>
    <t>United States Department of Energy; DOE; U.S. Department of Energy; Departamento de Energía de los Estados Unidos; Département de l'Énergie des États-unis || Office of Basic Energy Sciences; BES; DOE BES; United States Department of Energy Office of Basic Energy Sciences; U.S. Department of Energy Office of Science Office of Basic Energy Sciences; United States Department of Energy Office of Science Office of Basic Energy Sciences; U.S. Department of Energy Office of Basic Energy Sciences || U.S. Department of Energy; US Department of Energy; DOE; United States Department of Energy; Department of Energy; USDOE; Energy Department; ENERGY.GOV; USADOE; US DOE</t>
  </si>
  <si>
    <t>https://openalex.org/institutions/i4210158778 || https://openalex.org/funders/f4320306084 || https://openalex.org/institutions/i1330989302</t>
  </si>
  <si>
    <t>Research Grants Council, University Grants Committee; 研究資助局; 研究資助局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</t>
  </si>
  <si>
    <t>Universidad Católica de la Santísima Concepción; Catholic University of the Most Holy Conception; UCSC</t>
  </si>
  <si>
    <t>https://openalex.org/funders/f4320332170 || https://openalex.org/funders/f4320337390 || https://openalex.org/funders/f4320306076</t>
  </si>
  <si>
    <t>https://openalex.org/institutions/i4210153531 || https://openalex.org/funders/f4320338281 || https://openalex.org/funders/f4320338279 || https://openalex.org/funders/f4320337345</t>
  </si>
  <si>
    <t>Deutsche Forschungsgemeinschaft; German Research Association; DFG; German Research Foundation || European Union; EU</t>
  </si>
  <si>
    <t>https://openalex.org/institutions/i1320481043 || https://openalex.org/funders/f4320320879</t>
  </si>
  <si>
    <t>U.S. National Library of Medicine; National Library of Medicine; United States National Library of Medicine; US National Library of Medicine; NLM</t>
  </si>
  <si>
    <t>National Heart, Lung, and Blood Institute; NIH\/National Heart, Lung and Blood Institute; National Heart Lung &amp; Blood Institute; NHLBI || National Institute of General Medical Sciences; NIGMS; U.S. National Institute of General Medical Sciences</t>
  </si>
  <si>
    <t>Centre National de la Recherche Scientifique; Le Centre national de la recherche scientifique; National Centre for Scientific Research; CNRS || Australian Research Council; The Australian Research Council; ARC</t>
  </si>
  <si>
    <t>https://openalex.org/funders/f4320337338 || https://openalex.org/funders/f4320332161</t>
  </si>
  <si>
    <t>University of Benin; UNIBEN; Yunifásítì ìlú Benin; Institute of Technology</t>
  </si>
  <si>
    <t>Consejo Nacional de Investigaciones Científicas y Técnicas; National Scientific and Technical Research Council; CONICET || Universidad Nacional de Córdoba; UNC; National University of Cordoba || Fondo para la Investigación Científica y Tecnológica; FonCyT; Fund for Scientific and Technological Research || Ministerio de Economía y Competitividad; MINECO; MEC; Ministry of Economy and Competitiveness || Consejo Nacional de Investigaciones Científicas y Técnicas; National Scientific and Technical Research Council; CONICET</t>
  </si>
  <si>
    <t>https://openalex.org/funders/f4320321594 || https://openalex.org/funders/f4320321837 || https://openalex.org/funders/f4320312064 || https://openalex.org/funders/f4320337954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</si>
  <si>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Zhejiang Sci-Tech University; ZSTU</t>
  </si>
  <si>
    <t>https://openalex.org/funders/f4320321001 || https://openalex.org/funders/f4320324847</t>
  </si>
  <si>
    <t>Canadian Institutes of Health Research; CIHR; IRSC; Instituts de Recherche en Santé du Canada || Canada Research Chairs; Chaires de recherche du Canada || Alberta Innovates - Health Solutions; AIHS || Alberta Innovates; AI || Alberta Innovates; AI || Coordenação de Aperfeiçoamento de Pessoal de Nível Superior; Coordination for the Improvement of Higher Education Personnel; CAPES; Brazilian Federal Agency for the Support and Evaluation of Graduate Education</t>
  </si>
  <si>
    <t>https://openalex.org/funders/f4320319927 || https://openalex.org/funders/f4320334506 || https://openalex.org/funders/f4320325651 || https://openalex.org/funders/f4320320994 || https://openalex.org/funders/f4320321091</t>
  </si>
  <si>
    <t>National Institute of General Medical Sciences; NIGMS; U.S. National Institute of General Medical Sciences || Amgen; Applied Molecular Genetics Inc.; Amgen Inc; Amgen Inc. || Abbott Laboratories; Abbott; Abbott U.S. || Boehringer Ingelheim; Boehringer Ingelheim Pharmaceuticals, Inc.; BI; Boehringer Ingelheim Pharmaceuticals Inc; BIPI || California Institute of Technology; CIT; Caltech || National Science Foundation; U.S. National Science Foundation; USA NSF; USNSF; NSF; US National Science Foundation; US NSF || Division of Chemistry; NSF Div. of Chemistry; CHE; MPS\/CHE || National Institute of General Medical Sciences; NIGMS; U.S. National Institute of General Medical Sciences</t>
  </si>
  <si>
    <t>https://openalex.org/funders/f4320307105 || https://openalex.org/funders/f4320337354 || https://openalex.org/funders/f4320306257 || https://openalex.org/funders/f4320306076 || https://openalex.org/funders/f4320337393 || https://openalex.org/funders/f4320309398 || https://openalex.org/funders/f4320306493</t>
  </si>
  <si>
    <t>Foundation for Japanese Chemical Research; 公益財団法人日本化学研究会 || Hirosaki University; Hirosaki Daigaku</t>
  </si>
  <si>
    <t>https://openalex.org/funders/f4320323532 || https://openalex.org/institutions/i4210151387</t>
  </si>
  <si>
    <t>https://openalex.org/funders/f4320321001 || https://openalex.org/funders/f4320326980</t>
  </si>
  <si>
    <t>National Institute of Mental Health; Instituto Nacional de la Salud Mental; NIMH; Mental Health NIMH || University of California, San Diego; University of California San Diego; UC San Diego; UCSD || Department of Veterans Affairs || National Institute of Mental Health; Instituto Nacional de la Salud Mental; NIMH; Mental Health NIMH</t>
  </si>
  <si>
    <t>https://openalex.org/funders/f4320332603 || https://openalex.org/institutions/i4210151543 || https://openalex.org/funders/f4320337346</t>
  </si>
  <si>
    <t>https://openalex.org/funders/f4320337292 || https://openalex.org/funders/f4320306641 || https://openalex.org/funders/f4320311280</t>
  </si>
  <si>
    <t>National Institute on Alcohol Abuse and Alcoholism; NIH National Institute on Alcohol Abuse and Alcoholism; The National Institute on Alcohol Abuse and Alcoholism; NIAAA; National Institute on Alcohol Abuse &amp; Alcoholism || National Institutes of Health; US National Institutes of Health; Institutos Nacionales de la Salud; NIH || National Heart, Lung, and Blood Institute; NIH\/National Heart, Lung and Blood Institute; National Heart Lung &amp; Blood Institute; NHLBI || National Institute on Alcohol Abuse and Alcoholism; NIH National Institute on Alcohol Abuse and Alcoholism; The National Institute on Alcohol Abuse and Alcoholism; NIAAA; National Institute on Alcohol Abuse &amp; Alcoholism || U.S. Department of Veterans Affairs; United States Department of Veterans Affairs; Veterans Affairs; Veterans Affairs Department; Department of Veterans Affairs; US Department of Veterans Affairs; VA; U.S. Dept. of Veterans Affairs; USDVA</t>
  </si>
  <si>
    <t>https://openalex.org/funders/f4320306127 || https://openalex.org/funders/f4320332161 || https://openalex.org/funders/f4320337338 || https://openalex.org/funders/f4320337330</t>
  </si>
  <si>
    <t>Conselho Nacional de Desenvolvimento Científico e Tecnológico; National Council for Scientific and Technological Development; Brazilian National Council for Research and Development; CNPq || Coordenação de Aperfeiçoamento de Pessoal de Nível Superior; Coordination for the Improvement of Higher Education Personnel; CAPES; Brazilian Federal Agency for the Support and Evaluation of Graduate Education</t>
  </si>
  <si>
    <t>https://openalex.org/funders/f4320322025 || https://openalex.org/funders/f4320321091</t>
  </si>
  <si>
    <t>Enterprise Ireland</t>
  </si>
  <si>
    <t>National Institute for Health and Care Research; NIHR; National Institute for Health Research || National Institute for Health Research; NIHR</t>
  </si>
  <si>
    <t>https://openalex.org/institutions/i34931013 || https://openalex.org/funders/f4320319990</t>
  </si>
  <si>
    <t>National Oceanic and Atmospheric Administration; NOAA; National Oceanic &amp; Atmospheric Administration || Woods Hole Oceanographic Institution; Woods Hole Oceanographic Inst.; WHOI; The Woods Hole Oceanographic Institution || Coastal Ocean Institute; OI || U.S. Environmental Protection Agency; US Environmental Protection Agency; EPA; United States Environmental Protection Agency; Environmental Protection Agency; USEPA; U.S. EPA; US EPA; Agencia de Protección Ambiental de Estados Unidos || U.S. Environmental Protection Agency; US Environmental Protection Agency; EPA; United States Environmental Protection Agency; Environmental Protection Agency; USEPA; U.S. EPA; US EPA; Agencia de Protección Ambiental de Estados Unidos || Biological and Environmental Research; BER; Biological &amp; Environmental Research; DOE Office of Science's Biological and Environmental Research; Office of Biological and Environmental Research; Department of Energy's Office of Biological and Environmental Research || Lawrence Berkeley National Laboratory; Lawrence Berkeley Lab; Lawrence Berkeley National Laboratory – Berkeley Lab; Lawrence Berkeley National Lab; LBNL; Berkeley Lab || Lawrence Livermore National Laboratory; LLNL; Lawrence Livermore National Lab || Los Alamos National Laboratory; Los Alamos Lab; LANL; Los Alamos National Lab || National Institute of Environmental Health Sciences; The National Institute of Environmental Health Sciences; NIH National Institute of Environmental Health Sciences; NIEHS</t>
  </si>
  <si>
    <t>https://openalex.org/funders/f4320337361 || https://openalex.org/funders/f4320338292 || https://openalex.org/funders/f4320333073 || https://openalex.org/funders/f4320338304 || https://openalex.org/funders/f4320332181 || https://openalex.org/funders/f4320338286 || https://openalex.org/funders/f4320308861 || https://openalex.org/funders/f4320337509 || https://openalex.org/funders/f4320306107</t>
  </si>
  <si>
    <t>Lembaga Pengelola Dana Pendidikan; Education Fund Management Institute; LPDP</t>
  </si>
  <si>
    <t>European Commission; Europeiska kommissionen; Ευρωπαϊκής Επιτροπής; Comisia Europeană; Europese Commissie; Euroopa Komisjoni; Eiropas Komisiju; Euroopan komission; Europskoj komisiji; EU; Choimisiúin Eorpaigh; EU-Kommissionen; Evropski komisiji; EC; Comisión Europea; Europos Komisijos; Europäische Kommission; La Commissione europea; Evropské komise; Comissão Europeia; Európskej komisii; Европейската комисия; Európai Bizottságról; Komisja Europejska; Commissione europea; European Union; Commission européenne || Ministry of Science, ICT and Future Planning; MSIP || Ministry of Trade, Industry and Energy; MOTIE; Ministry of Trade, Industry and Energy, Korea</t>
  </si>
  <si>
    <t>https://openalex.org/funders/f4320320300 || https://openalex.org/funders/f4320321681 || https://openalex.org/funders/f4320322030</t>
  </si>
  <si>
    <t>https://openalex.org/funders/f4320321001 || https://openalex.org/funders/f4320334924</t>
  </si>
  <si>
    <t>Swedish Research Council; VR; Vetenskapsrådet || Hjärt-Lungfonden; Swedish Heart-Lung Foundation || Stockholms Läns Landsting; Stockholm County Council || Novo Nordisk Foundation; NNF; Novo Nordisk Fonden || Diabetes Research and Wellness Foundation; Diabetes Research &amp; Wellness Foundation; DRWF; Diabetes Research and Wellness Foundation UK || Karolinska University Hospital; Karoliininen yliopistosairaala; Karolinska Universitetssjukhuset</t>
  </si>
  <si>
    <t>https://openalex.org/funders/f4320322169 || https://openalex.org/funders/f4320319991 || https://openalex.org/institutions/i2801134892 || https://openalex.org/institutions/i1335113835 || https://openalex.org/institutions/i2802499594 || https://openalex.org/funders/f4320322570</t>
  </si>
  <si>
    <t>Science and Engineering Faculty, Queensland University of Technology; Science and Engineering Faculty, QUT; QUT Science and Engineering Faculty; Science and Engineering, QUT || National Institute of Education; NIE || National Research Foundation; NRF || Science and Engineering Faculty, Queensland University of Technology; Science and Engineering Faculty, QUT; QUT Science and Engineering Faculty; Science and Engineering, QUT || Australian Research Council; The Australian Research Council; ARC || Australian National University; ANU; The Australian National University || National Research Foundation of Ukraine; Національний фонд досліджень України; NRFU</t>
  </si>
  <si>
    <t>https://openalex.org/funders/f4320320431 || https://openalex.org/funders/f4320334704 || https://openalex.org/funders/f4320323652 || https://openalex.org/funders/f4320336686 || https://openalex.org/funders/f4320320671 || https://openalex.org/funders/f4320318013</t>
  </si>
  <si>
    <t>https://openalex.org/funders/f4320321837 || https://openalex.org/funders/f4320327216</t>
  </si>
  <si>
    <t>https://openalex.org/funders/f4320321001 || https://openalex.org/funders/f4320335848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</si>
  <si>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Royal Society; The Royal Society || Wellcome Trust; The Wellcome Trust; WT; Wellcome || Biotechnology and Biological Sciences Research Council; BBSRC; The Biotechnology And Biological Sciences Research Council || Academy of Finland; Suomen Akatemia; AKA; The Academy of Finland; Finlands Akademi || China Scholarship Council; CSC || Biotechnology and Biological Sciences Research Council; BBSRC; The Biotechnology And Biological Sciences Research Council</t>
  </si>
  <si>
    <t>https://openalex.org/funders/f4320320006 || https://openalex.org/funders/f4320334629 || https://openalex.org/funders/f4320311904 || https://openalex.org/funders/f4320321108 || https://openalex.org/funders/f4320321001 || https://openalex.org/funders/f4320322725</t>
  </si>
  <si>
    <t>Norges Forskningsråd; Forskningsrådet; Research Council of Norway; Norwegian Research Council || Norges Forskningsråd; Forskningsrådet; Research Council of Norway; Norwegian Research Council</t>
  </si>
  <si>
    <t>National Institutes of Health; US National Institutes of Health; Institutos Nacionales de la Salud; NIH || American Diabetes Association; American Diabetes Association, Inc.; ADA; AmDiabetesAssn; American Diabetes Association Inc; Asociación Americana de la Diabetes; American Diabetes Assn; American Diabetes Association Inc. || Juvenile Diabetes Research Foundation; JDRF || Oklahoma Center for the Advancement of Science and Technology; Oklahoma Center for the Advancement of Science &amp; Technology; Center for Advancement of Science &amp; Technology; OK Center for the Advancement of Science And Technology; OCAST || University of Oklahoma Health Sciences Center; OU Health Sciences Center; OUHSC || American Heart Association; AMERICAN HEART ASSOCIATION INC; AMERICAN HEART ASSN.; American Heart Association, Inc.; AHA; American Heart Assn; AMERICAN HEART ASSOC.; American Heart Association, Inc || National Heart, Lung, and Blood Institute; NIH\/National Heart, Lung and Blood Institute; National Heart Lung &amp; Blood Institute; NHLBI</t>
  </si>
  <si>
    <t>https://openalex.org/funders/f4320310627 || https://openalex.org/institutions/i4210124564 || https://openalex.org/funders/f4320332161 || https://openalex.org/funders/f4320332607 || https://openalex.org/funders/f4320306230 || https://openalex.org/funders/f4320306089 || https://openalex.org/funders/f4320337338</t>
  </si>
  <si>
    <t>Swiss National Science Foundation; SNSF; SNF; FNS; Fondo Nazionale Svizzero per la Ricerca Scientifica; Fonds national suisse de la recherche scientifique; Schweizerische Nationalfonds zur Förderung der wissenschaftlichen Forschung || Center for Advanced Security Research Darmstadt; CASED</t>
  </si>
  <si>
    <t>https://openalex.org/institutions/i4394709159 || https://openalex.org/institutions/i87101506</t>
  </si>
  <si>
    <t>Almond Board of California || Agricultural Experiment Station; AES NMSU; NMSU AES; New Mexico State University Agricultural Experiment Station; Agricultural Experiment Station, New Mexico State University</t>
  </si>
  <si>
    <t>https://openalex.org/funders/f4320338281 || https://openalex.org/funders/f4320308927 || https://openalex.org/funders/f4320317189 || https://openalex.org/funders/f4320306076</t>
  </si>
  <si>
    <t>Japan Society for the Promotion of Science; Grants-in-Aid for Scientific Research; Grants-in-Aid for Scientific Research Program; KAKENHI; 日本学術振興会; KAKEN; JSPS || The Institute of Statistical Mathematics; ISM; 統計数理研究所</t>
  </si>
  <si>
    <t>https://openalex.org/institutions/i4210134673 || https://openalex.org/funders/f4320334764</t>
  </si>
  <si>
    <t>https://openalex.org/funders/f4320321837 || https://openalex.org/funders/f4320338483 || https://openalex.org/funders/f4320334678 || https://openalex.org/funders/f4320306076 || https://openalex.org/funders/f4320306084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</si>
  <si>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Natural Science Foundation Project of Chongqing, Chongqing Science and Technology Commission; Natural Science Foundation Project of CQ CSTC</t>
  </si>
  <si>
    <t>https://openalex.org/funders/f4320321001 || https://openalex.org/funders/f4320327726</t>
  </si>
  <si>
    <t>Natural Sciences and Engineering Research Council; NSERC; CRSNG; Conseil de Recherches en Sciences Naturelles et en Génie du Canada || Transport Canada; Transports Canada || TELUS || Compute Canada; Calcul Canada</t>
  </si>
  <si>
    <t>https://openalex.org/funders/f4320314000 || https://openalex.org/funders/f4320315159 || https://openalex.org/institutions/i122879082</t>
  </si>
  <si>
    <t>National Institutes of Health; US National Institutes of Health; Institutos Nacionales de la Salud; NIH || Office of Research Infrastructure Programs; ORIP || National Institute of Diabetes and Digestive and Kidney Diseases; NIH\/National Institute of Diabetes, Digestive &amp; Kidney Diseases; NIH National Institute of Diabetes and Digestive and Kidney Diseases; NIDDK; National Institute of Diabetes &amp; Digestive &amp; Kidney Diseases || National Institutes of Health; US National Institutes of Health; Institutos Nacionales de la Salud; NIH</t>
  </si>
  <si>
    <t>https://openalex.org/funders/f4320337357 || https://openalex.org/institutions/i4387152339 || https://openalex.org/funders/f4320332161</t>
  </si>
  <si>
    <t>https://openalex.org/funders/f4320337611 || https://openalex.org/funders/f4320332162 || https://openalex.org/funders/f4320338062 || https://openalex.org/funders/f4320337417 || https://openalex.org/funders/f4320337346</t>
  </si>
  <si>
    <t>Infosys Foundation; Infosys (India) || Simons Foundation; The Simons Foundation; SF; The Simons Foundation Inc.; The Simons Foundation, Inc.; The Simons Foundation, Inc; The Simons Foundation Inc; Simons Foundation Inc</t>
  </si>
  <si>
    <t>Space Telescope Science Institute; Space Telescope Science Inst.; STScI || National Aeronautics and Space Administration; US National Aeronautics &amp; Space Administration; United States National Aeronautics and Space Administration; NASA; National Aeronautics &amp; Space Administration || National Science Foundation; U.S. National Science Foundation; USA NSF; USNSF; NSF; US National Science Foundation; US NSF</t>
  </si>
  <si>
    <t>https://openalex.org/funders/f4320314503 || https://openalex.org/funders/f4320306101 || https://openalex.org/funders/f4320306076</t>
  </si>
  <si>
    <t>Ministry of Education; 교육부; MOE; Ministry of Education of the Republic of Korea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</si>
  <si>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China Postdoctoral Science Foundation || Project 211; Double First Class University Plan; Program of Introducing Talents of Discipline to Universities; 111 Plan</t>
  </si>
  <si>
    <t>National Institutes of Health; US National Institutes of Health; Institutos Nacionales de la Salud; NIH || Arthritis Foundation; The Arthritis Foundation, Inc.; The Arthritis Foundation Inc; The Arthritis Foundation; Arthritis Foundation Inc.; The Arthritis Foundation, Inc; Arthritis Foundation Inc; Arthritis Foundation, Inc.; AF || National Institute of General Medical Sciences; NIGMS; U.S. National Institute of General Medical Sciences</t>
  </si>
  <si>
    <t>https://openalex.org/funders/f4320306237 || https://openalex.org/funders/f4320337354 || https://openalex.org/funders/f4320332161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</si>
  <si>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Fundamental Research Funds for the Central Universities; Fundamental Research Funds for the Central Universities of China; Fundamental Research Fund for the Central Universities || Natural Science Foundation of Jiangsu Province; Jiangsu Provincial Natural Science Foundation; Jiangsu Natural Science Foundation; Jiangsu Province Natural Science Foundation || China Postdoctoral Science Foundation || Priority Academic Program Development of Jiangsu Higher Education Institutions; PAPD</t>
  </si>
  <si>
    <t>https://openalex.org/funders/f4320322769 || https://openalex.org/funders/f4320321543 || https://openalex.org/funders/f4320321001 || https://openalex.org/funders/f4320335787 || https://openalex.org/funders/f4320327518</t>
  </si>
  <si>
    <t>https://openalex.org/funders/f4320315885 || https://openalex.org/funders/f4320326768 || https://openalex.org/institutions/i2801909468</t>
  </si>
  <si>
    <t>European Union; EU</t>
  </si>
  <si>
    <t>https://openalex.org/institutions/i1320481043</t>
  </si>
  <si>
    <t>https://openalex.org/funders/f4320321001 || https://openalex.org/funders/f4320336547</t>
  </si>
  <si>
    <t>Natural Environment Research Council; NERC || Natural Environment Research Council; NERC</t>
  </si>
  <si>
    <t>https://openalex.org/institutions/i4210140131 || https://openalex.org/funders/f4320334626</t>
  </si>
  <si>
    <t>Natural Science Foundation of Anhui Province; 安徽省自然科学基金; Anhui Provincial Natural Science Foundation; NSF of Anhui Province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</si>
  <si>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Fundamental Research Funds for the Central Universities; Fundamental Research Funds for the Central Universities of China; Fundamental Research Fund for the Central Universities || State Key Laboratory of Information Photonics and Optical Communications; SKLIPOC; State Key Laboratory of IPOC || National Science and Technology Planning Project; National Science and Technology Support Project of China; National Science and Technology Specific Project of China</t>
  </si>
  <si>
    <t>https://openalex.org/funders/f4320335961 || https://openalex.org/funders/f4320321001 || https://openalex.org/funders/f4320335787 || https://openalex.org/funders/f4320326982</t>
  </si>
  <si>
    <t>Southern Marine Science and Engineering Guangdong Laboratory (Guangzhou); 南方海洋科学与工程广东省实验室; 南方海洋科学与工程广东省实验室（广州）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</t>
  </si>
  <si>
    <t>https://openalex.org/funders/f4320321001 || https://openalex.org/funders/f4320330495</t>
  </si>
  <si>
    <t>Commonwealth Scholarship Commission; CSC || Natural Environment Research Council; NERC</t>
  </si>
  <si>
    <t>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Chinese Academy of Sciences; CAS; 中国科学院</t>
  </si>
  <si>
    <t>https://openalex.org/funders/f4320335777 || https://openalex.org/funders/f4320321001 || https://openalex.org/funders/f4320321133</t>
  </si>
  <si>
    <t>https://openalex.org/funders/f4320337611 || https://openalex.org/funders/f4320337364</t>
  </si>
  <si>
    <t>Indian Council of Medical Research; ICMR</t>
  </si>
  <si>
    <t>Coordenação de Aperfeiçoamento de Pessoal de Nível Superior; Coordination for the Improvement of Higher Education Personnel; CAPES; Brazilian Federal Agency for the Support and Evaluation of Graduate Education || Conselho Nacional de Desenvolvimento Científico e Tecnológico; National Council for Scientific and Technological Development; Brazilian National Council for Research and Development; CNPq || Conselho Nacional de Desenvolvimento Científico e Tecnológico; National Council for Scientific and Technological Development; Brazilian National Council for Research and Development; CNPq || Medical Research Council; MRC; UK Medical Research Council</t>
  </si>
  <si>
    <t>https://openalex.org/funders/f4320334626 || https://openalex.org/funders/f4320322025 || https://openalex.org/funders/f4320321091</t>
  </si>
  <si>
    <t>Osaka University; 大阪大学; OU</t>
  </si>
  <si>
    <t>National Institute of Mental Health; Instituto Nacional de la Salud Mental; NIMH; Mental Health NIMH</t>
  </si>
  <si>
    <t>Ministry of Science ICT and Future Planning; MSIP</t>
  </si>
  <si>
    <t>https://openalex.org/funders/f4320322347</t>
  </si>
  <si>
    <t>https://openalex.org/funders/f4320310131 || https://openalex.org/funders/f4320310105 || https://openalex.org/funders/f4320337351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</si>
  <si>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Fundamental Research Funds for the Central Universities; Fundamental Research Funds for the Central Universities of China; Fundamental Research Fund for the Central Universities || Guangdong Provincial Pearl River Talents Program; Guangdong Pearl River Talents Program; Pearl River Talent Plan of Guangdong; Pearl River Talent Recruitment Program; 广东珠江人才计划</t>
  </si>
  <si>
    <t>https://openalex.org/funders/f4320334009 || https://openalex.org/funders/f4320321001 || https://openalex.org/funders/f4320335787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</si>
  <si>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Specialized Research Fund for the Doctoral Program of Higher Education of China; Research Fund for the Doctoral Program of Higher Education of China; SRFDP; Specialized Research Fund for the Doctoral Program of Higher Education; Specialized Research Fund for the Doctoral Program of Higher Education (SRFDP) of the Ministry of Education of China; Research Fund for the Doctoral Program of Higher Education || Sun Yat-sen University; SYSU</t>
  </si>
  <si>
    <t>https://openalex.org/funders/f4320336024 || https://openalex.org/funders/f4320321001 || https://openalex.org/funders/f4320321160</t>
  </si>
  <si>
    <t>https://openalex.org/funders/f4320322733 || https://openalex.org/funders/f4320322511</t>
  </si>
  <si>
    <t>https://openalex.org/funders/f4320337359 || https://openalex.org/funders/f4320337354</t>
  </si>
  <si>
    <t>https://openalex.org/funders/f4320321001 || https://openalex.org/funders/f4320322163 || https://openalex.org/funders/f4320321543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</si>
  <si>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Research to Prevent Blindness; Research to Prevent Blindness, Inc; Research To Prevent Blindness, Inc.; RESEARCH TO PREVENT BLINDNESS INC; RPB || Foundation Fighting Blindness; Foundation Fighting Blindness, Inc.; FFB; The Foundation Fighting Blindness; FndFightingBlindness; Foundation Fighting Blindness Inc || National Eye Institute; NIH\/National Eye Institute; The National Eye Institute; NEI; Instituto Nacional del Ojo</t>
  </si>
  <si>
    <t>https://openalex.org/funders/f4320306340 || https://openalex.org/funders/f4320321001 || https://openalex.org/funders/f4320337350 || https://openalex.org/funders/f4320306811</t>
  </si>
  <si>
    <t>https://openalex.org/funders/f4320337357 || https://openalex.org/funders/f4320337359 || https://openalex.org/funders/f4320306725 || https://openalex.org/funders/f4320332161</t>
  </si>
  <si>
    <t>Conselho Nacional de Desenvolvimento Científico e Tecnológico; National Council for Scientific and Technological Development; Brazilian National Council for Research and Development; CNPq || Medical Research Council; MRC; UK Medical Research Council || Deutsche Forschungsgemeinschaft; German Research Association; DFG; German Research Foundation || Engineering and Physical Sciences Research Council; EPSRC</t>
  </si>
  <si>
    <t>https://openalex.org/funders/f4320334627 || https://openalex.org/funders/f4320334626 || https://openalex.org/funders/f4320322025 || https://openalex.org/funders/f4320320879</t>
  </si>
  <si>
    <t>Bandung Institute of Technology; ITB; Institut Tèknologi Bandung; Institut Teknologi Bandung; Technische Hogeschool Bandoeng</t>
  </si>
  <si>
    <t>https://openalex.org/institutions/i134635517</t>
  </si>
  <si>
    <t>Swiss National Science Foundation; SNSF; SNF; FNS; Fondo Nazionale Svizzero per la Ricerca Scientifica; Fonds national suisse de la recherche scientifique; Schweizerische Nationalfonds zur Förderung der wissenschaftlichen Forschung</t>
  </si>
  <si>
    <t>https://openalex.org/institutions/i87101506</t>
  </si>
  <si>
    <t>University of Wisconsin-Madison; Madison; Wisconsin; Universitas Wisconsinensis; University of Wisconsin; UW–Madison; Universitatis Wisconsinensis; UW || Chemical Sciences, Geosciences, and Biosciences Division; Chemical Sciences, Geosciences, and Energy Biosciences; CSGB Division; CSGB; Chemical Sciences, Geosciences, &amp; Biosciences (CSGB) Division</t>
  </si>
  <si>
    <t>https://openalex.org/funders/f4320309434 || https://openalex.org/funders/f4320337744</t>
  </si>
  <si>
    <t>Janssen Scientific Affairs; JSA; Janssen Scientific Affairs, LLC</t>
  </si>
  <si>
    <t>https://openalex.org/funders/f4320317188</t>
  </si>
  <si>
    <t>https://openalex.org/funders/f4320314808 || https://openalex.org/funders/f4320332161</t>
  </si>
  <si>
    <t>National Institutes of Health; US National Institutes of Health; Institutos Nacionales de la Salud; NIH || China Scholarship Council; CSC || Eunice Kennedy Shriver National Institute of Child Health and Human Development; NIH Eunice Kennedy Shriver National Institute of Child Health and Human Development; NIH Eunice Kennedy Shriver National Institute of Child Health &amp; Human Development; Eunice Kennedy Shriver National Institute of Child Health and Human Development at the National Institutes of Health; NICHD; National Institutes of Health\/Eunice Kennedy Shriver National Institute of Child Health &amp; Human Development; Eunice Kennedy Shriver National Institute of Child Health &amp; Human Development; Instituto Nacional de Salud Infantil y Desarrollo Humano Eunice Kennedy Shriver; NIH\/NICHD; Eunice Kennedy Shriver National Institute of Child Health and Human Development of the National Institutes of Health; NIH\/Eunice Kennedy Shriver National Institute of Child Health and Human Development || National Institute of General Medical Sciences; NIGMS; U.S. National Institute of General Medical Sciences</t>
  </si>
  <si>
    <t>https://openalex.org/funders/f4320337611 || https://openalex.org/funders/f4320322725 || https://openalex.org/funders/f4320337354 || https://openalex.org/funders/f4320332161</t>
  </si>
  <si>
    <t>https://openalex.org/funders/f4320320543 || https://openalex.org/funders/f4320337351</t>
  </si>
  <si>
    <t>https://openalex.org/funders/f4320337354 || https://openalex.org/funders/f4320332161</t>
  </si>
  <si>
    <t>Egyptian Atomic Energy Authority; EAEA || Department of Chemical Engineering, Universiti Teknologi Petronas; Department of Chemical Engineering, UTP || Military Technical College; MTC</t>
  </si>
  <si>
    <t>Institute of High Performance Computing; IHPC; Institute of High Performance Computing</t>
  </si>
  <si>
    <t>Office of Naval Research; U.S. Department of the Navy Office of Naval Research; US Department of the Navy Office of Naval Research; US Office of Naval Research; Department of the Navy's Office of Naval Research; United States Office of Naval Research; Naval Research; ONR; The Office of Naval Research; U.S. Office of Naval Research || Air Force Office of Scientific Research; AFOSR; The Air Force Office of Scientific Research; US Air Force Office of Scientific Research; United States Air Force Office of Scientific Research; AF Office of Scientific Research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Natural Science Foundation of Shanghai; Shanghai Municipal Natural Science Fund; Natural Science Foundation of Shanghai Municipality; Shanghai Municipal Natural Science Foundation; Shanghai Natural Science Foundation</t>
  </si>
  <si>
    <t>https://openalex.org/funders/f4320321001 || https://openalex.org/funders/f4320338279 || https://openalex.org/funders/f4320309612 || https://openalex.org/funders/f4320337345</t>
  </si>
  <si>
    <t>Research Grants Council, University Grants Committee; 研究資助局; 研究資助局 || University of Hong Kong; HKU; The University of Hong Kong; 香港大學</t>
  </si>
  <si>
    <t>https://openalex.org/funders/f4320322170 || https://openalex.org/funders/f4320321592</t>
  </si>
  <si>
    <t>Micro Cooling Concepts (United States); MC2</t>
  </si>
  <si>
    <t>Ministry of Science, ICT and Future Planning; MSIP</t>
  </si>
  <si>
    <t>Children's Healthcare of Atlanta; CHOA || Morehouse School of Medicine; MSM || Children's Healthcare of Atlanta; CHOA</t>
  </si>
  <si>
    <t>https://openalex.org/funders/f4320317695 || https://openalex.org/funders/f4320313524</t>
  </si>
  <si>
    <t>Australian Research Council; The Australian Research Council; ARC || Cooperative Research Centre for Living with Autism; Autism CRC</t>
  </si>
  <si>
    <t>https://openalex.org/funders/f4320312057 || https://openalex.org/funders/f4320334704</t>
  </si>
  <si>
    <t>Heinrich Böll Stiftung; Heinrich Boell Foundation; Heinrich Böll Foundation</t>
  </si>
  <si>
    <t>Science Challenge Project; Science Challenge Program; Science Challenging Program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Beijing Computational Science Research Center; CSRC; 北京计算科学研究中心 || Fundamental Research Funds for the Central Universities; Fundamental Research Funds for the Central Universities of China; Fundamental Research Fund for the Central Universities</t>
  </si>
  <si>
    <t>https://openalex.org/funders/f4320321001 || https://openalex.org/funders/f4320336025 || https://openalex.org/funders/f4320335787 || https://openalex.org/institutions/i4210139958</t>
  </si>
  <si>
    <t>https://openalex.org/funders/f4320337363 || https://openalex.org/funders/f4320337351</t>
  </si>
  <si>
    <t>Children’s Hospital of Michigan Foundation; CHMF; CHM Foundation || NIH Office of the Director; The Office of the Director; Office of the Director; Office of the Director, NIH; OD; Office of the NIH Director || NIH Office of the Director; The Office of the Director; Office of the Director; Office of the Director, NIH; OD; Office of the NIH Director || Wayne State University; WSU || National Cancer Institute; NCI; Instituto Nacional del Cáncer || National Institute of Diabetes and Digestive and Kidney Diseases; NIH\/National Institute of Diabetes, Digestive &amp; Kidney Diseases; NIH National Institute of Diabetes and Digestive and Kidney Diseases; NIDDK; National Institute of Diabetes &amp; Digestive &amp; Kidney Diseases || National Institute of Environmental Health Sciences; The National Institute of Environmental Health Sciences; NIH National Institute of Environmental Health Sciences; NIEHS || National Institutes of Health; US National Institutes of Health; Institutos Nacionales de la Salud; NIH</t>
  </si>
  <si>
    <t>https://openalex.org/funders/f4320311329 || https://openalex.org/funders/f4320337361 || https://openalex.org/funders/f4320309272 || https://openalex.org/funders/f4320337357 || https://openalex.org/funders/f4320337351 || https://openalex.org/funders/f4320332161 || https://openalex.org/funders/f4320337349</t>
  </si>
  <si>
    <t>Centre National d’Etudes Spatiales; National Centre for Space Research, France; CNES || National Science Foundation; U.S. National Science Foundation; USA NSF; USNSF; NSF; US National Science Foundation; US NSF</t>
  </si>
  <si>
    <t>https://openalex.org/funders/f4320321519 || https://openalex.org/funders/f4320306076</t>
  </si>
  <si>
    <t>John Templeton Foundation; مؤسسة جون تمبلتون; Fundación John Templeton; Templeton Foundation; Fundação John Templeton; JTF; The John Templeton Foundation</t>
  </si>
  <si>
    <t>Laboratoire de Mathématiques de Bretagne Atlantique; LMBA || Fondo Nacional de Desarrollo Científico y Tecnológico; National Fund for Scientific and Technological Development; FONDECYT; El Fondo Nacional de Desarrollo Científico y Tecnológico || Fondo Nacional de Desarrollo Científico y Tecnológico; National Fund for Scientific and Technological Development; FONDECYT; El Fondo Nacional de Desarrollo Científico y Tecnológico || Ministerio de Ciencia e Innovación; Ministeri de Ciència i Innovació; MICINN; Ministry of Science and Innovation; Spanish Ministry of Science and Innovation || Erzincan University; EU; Erzincan Üniversitesi || Air Force Office of Scientific Research; AFOSR; The Air Force Office of Scientific Research; US Air Force Office of Scientific Research; United States Air Force Office of Scientific Research; AF Office of Scientific Research</t>
  </si>
  <si>
    <t>https://openalex.org/institutions/i4210119023 || https://openalex.org/institutions/i176037994 || https://openalex.org/funders/f4320322930 || https://openalex.org/funders/f4320338279 || https://openalex.org/funders/f4320338073</t>
  </si>
  <si>
    <t>Air Force Research Laboratory; U.S. Air Force Research Lab; AFResearchLab; US Air Force Research Laboratory; US Air Force Research Lab; The Air Force Research Laboratory; U.S. Air Force Research Laboratory; AFRL; Air Force Research Lab || Defense Advanced Research Projects Agency; US Defense Advanced Research Projects Agency; DARPA; U.S. Defense Advanced Research Projects Agency; United States Defense Advanced Research Projects Agency; The Defense Advanced Research Projects Agency || National Institutes of Health; US National Institutes of Health; Institutos Nacionales de la Salud; NIH</t>
  </si>
  <si>
    <t>https://openalex.org/funders/f4320338294 || https://openalex.org/funders/f4320332161 || https://openalex.org/funders/f4320332180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</si>
  <si>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Priority Academic Program Development of Jiangsu Higher Education Institutions; PAPD || Research Grants Council, University Grants Committee; 研究資助局; 研究資助局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Natural Science Foundation of Guangdong Province; Guangdong Natural Science Foundation; Guangdong Provincial Natural Science Foundation; Natural Science Foundation of Guangdong</t>
  </si>
  <si>
    <t>https://openalex.org/funders/f4320321001 || https://openalex.org/funders/f4320321921 || https://openalex.org/funders/f4320321592 || https://openalex.org/funders/f4320327518</t>
  </si>
  <si>
    <t>National Science and Technology Planning Project; National Science and Technology Support Project of China; National Science and Technology Specific Project of China</t>
  </si>
  <si>
    <t>National Institutes of Health; US National Institutes of Health; Institutos Nacionales de la Salud; NIH || Arizona Department of Health Services; ADHS || Arizona Biomedical Research Commission; ABRC || Michael J. Fox Foundation; MJFF; Michael J. Fox Foundation for Parkinson's Research || American Lebanese Syrian Associated Charities; ALSAC || University of Arizona Cancer Center; Arizona Cancer Center; UArizona Cancer Center; The University of Arizona Cancer Center; Cancer Center; UACC; UA Cancer Center || National Cancer Institute; NCI; Instituto Nacional del Cáncer || National Institute of Neurological Disorders and Stroke; National Institute of Neurological Disorders &amp; Stroke; NIH\/National Institute of Neurological Disorders and Stroke; The National Institute of Neurological Disorders and Stroke; Instituto Nacional de Trastornos Neurológicos y Accidentes Cerebrovasculares; NIH National Institute of Neurological Disorders and Stroke; NINDS || National Institute on Aging; The National Institute on Aging; NIA; NIH NATIONAL INSTITUTE ON AGING; U.S. National Institute on Aging</t>
  </si>
  <si>
    <t>https://openalex.org/funders/f4320337337 || https://openalex.org/funders/f4320337359 || https://openalex.org/funders/f4320332161 || https://openalex.org/funders/f4320337351 || https://openalex.org/funders/f4320309707 || https://openalex.org/funders/f4320309677 || https://openalex.org/institutions/i2802508227 || https://openalex.org/funders/f4320313598 || https://openalex.org/funders/f4320332140</t>
  </si>
  <si>
    <t>https://openalex.org/funders/f4320337357 || https://openalex.org/funders/f4320337338</t>
  </si>
  <si>
    <t>https://openalex.org/funders/f4320321133 || https://openalex.org/funders/f4320321001 || https://openalex.org/funders/f4320322847 || https://openalex.org/funders/f4320306076</t>
  </si>
  <si>
    <t>https://openalex.org/funders/f4320337403 || https://openalex.org/funders/f4320337744 || https://openalex.org/funders/f4320306076</t>
  </si>
  <si>
    <t>https://openalex.org/funders/f4320321001 || https://openalex.org/funders/f4320338469 || https://openalex.org/funders/f4320338464</t>
  </si>
  <si>
    <t>National Research Foundation of Korea; NRF; 한국연구재단이 창의적 연구와 || National Institutes of Health; US National Institutes of Health; Institutos Nacionales de la Salud; NIH || National Institute of Allergy and Infectious Diseases; NIAID; Instituto Nacional de Alergias y Enfermedades Infecciosas</t>
  </si>
  <si>
    <t>https://openalex.org/funders/f4320337355 || https://openalex.org/funders/f4320322120 || https://openalex.org/funders/f4320332161</t>
  </si>
  <si>
    <t>https://openalex.org/funders/f4320332725 || https://openalex.org/funders/f4320332299</t>
  </si>
  <si>
    <t>https://openalex.org/funders/f4320337355 || https://openalex.org/funders/f4320337354 || https://openalex.org/funders/f4320306230</t>
  </si>
  <si>
    <t>https://openalex.org/funders/f4320323204 || https://openalex.org/funders/f4320322025</t>
  </si>
  <si>
    <t>National Science Foundation; U.S. National Science Foundation; USA NSF; USNSF; NSF; US National Science Foundation; US NSF || National Institute of General Medical Sciences; NIGMS; U.S. National Institute of General Medical Sciences || National Institute of General Medical Sciences; NIGMS; U.S. National Institute of General Medical Sciences || Max Planck Society; MPG; Max-Planck-Gesellschaft zur Förderung der Wissenschaften || Canada Excellence Research Chairs, Government of Canada; Chaires d'excellence en recherche du Canada; Canada Excellence Research Chairs Program; CERC</t>
  </si>
  <si>
    <t>https://openalex.org/funders/f4320321481 || https://openalex.org/funders/f4320337354 || https://openalex.org/institutions/i149899117 || https://openalex.org/funders/f4320306076</t>
  </si>
  <si>
    <t>https://openalex.org/institutions/i4210098947 || https://openalex.org/funders/f4320323354 || https://openalex.org/funders/f4320322025 || https://openalex.org/funders/f4320321091</t>
  </si>
  <si>
    <t>Natural Sciences and Engineering Research Council; NSERC; CRSNG; Conseil de Recherches en Sciences Naturelles et en Génie du Canada || Canadian Institutes of Health Research; CIHR; IRSC; Instituts de Recherche en Santé du Canada</t>
  </si>
  <si>
    <t>https://openalex.org/funders/f4320334506 || https://openalex.org/institutions/i122879082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</si>
  <si>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National Science Foundation; U.S. National Science Foundation; USA NSF; USNSF; NSF; US National Science Foundation; US NSF || Directorate for Computer and Information Science and Engineering; NSF Directorate for Computer &amp; Information Science &amp; Engineering; Computer and Information Science and Engineering; CISE NSF; NSF's Directorate for Computer and Information Science and Engineering; Computer and Information Science and Engineering Directorate National Science Foundation; NSF Computer and Information Science and Engineering; Computer &amp; Information Science &amp; Engineering; CISE\/OAD; NSF Computer &amp; Information Science and Engineering Directorate; Directorate for Computer &amp; Information Science &amp; Engineering; NSF Directorate for Computer and Information Science and Engineering; CISE</t>
  </si>
  <si>
    <t>https://openalex.org/funders/f4320332169 || https://openalex.org/funders/f4320321001 || https://openalex.org/funders/f4320306076</t>
  </si>
  <si>
    <t>https://openalex.org/funders/f4320332170 || https://openalex.org/funders/f4320306076</t>
  </si>
  <si>
    <t>https://openalex.org/funders/f4320322919 || https://openalex.org/funders/f4320306076</t>
  </si>
  <si>
    <t>https://openalex.org/funders/f4320336024 || https://openalex.org/funders/f4320309612 || https://openalex.org/funders/f4320335777 || https://openalex.org/funders/f4320308269 || https://openalex.org/funders/f4320334924 || https://openalex.org/funders/f4320321001</t>
  </si>
  <si>
    <t>https://openalex.org/funders/f4320332186 || https://openalex.org/funders/f4320306076</t>
  </si>
  <si>
    <t>https://openalex.org/institutions/i4210138900 || https://openalex.org/funders/f4320321001 || https://openalex.org/funders/f4320322999 || https://openalex.org/funders/f4320330341</t>
  </si>
  <si>
    <t>Knut and Alice Wallenberg Foundation; Knut och Alice Wallenbergs Stiftelse || Swedish Research Council; VR; Vetenskapsrådet || European Synchrotron Radiation Facility; ESRF; The European Synchrotron Radiation Facility || Bundesministerium für Bildung und Forschung; Federal Ministry of Education and Research; BMBF</t>
  </si>
  <si>
    <t>https://openalex.org/funders/f4320321114 || https://openalex.org/funders/f4320320887 || https://openalex.org/institutions/i2802499594 || https://openalex.org/institutions/i3154889658</t>
  </si>
  <si>
    <t>Los Angeles County Department of Health Services; DHS ; LADHS; Departamento de Servicios de Salud del Condado de Los Ángeles || National Science Foundation; U.S. National Science Foundation; USA NSF; USNSF; NSF; US National Science Foundation; US NSF</t>
  </si>
  <si>
    <t>https://openalex.org/institutions/i1328359107 || https://openalex.org/funders/f4320306076</t>
  </si>
  <si>
    <t>State Administration of Traditional Chinese Medicine of the People's Republic of China; SATCM; State Administration of Traditional Chinese Medicine; State Administration of TCM || Fundamental Research Funds for the Central Universities; Fundamental Research Funds for the Central Universities of China; Fundamental Research Fund for the Central Universities</t>
  </si>
  <si>
    <t>https://openalex.org/funders/f4320323484 || https://openalex.org/funders/f4320335787</t>
  </si>
  <si>
    <t>European Union; EU || European Research Council; ERC</t>
  </si>
  <si>
    <t>https://openalex.org/funders/f4320334678 || https://openalex.org/institutions/i1320481043</t>
  </si>
  <si>
    <t>https://openalex.org/funders/f4320338204 || https://openalex.org/funders/f4320321001 || https://openalex.org/funders/f4320335787</t>
  </si>
  <si>
    <t>Deutsche Forschungsgemeinschaft; German Research Association; DFG; German Research Foundation || Natural Environment Research Council; NERC || Royal Society; The Royal Society || Engineering and Physical Sciences Research Council; EPSRC</t>
  </si>
  <si>
    <t>https://openalex.org/funders/f4320320006 || https://openalex.org/funders/f4320334627 || https://openalex.org/funders/f4320334631 || https://openalex.org/funders/f4320320879</t>
  </si>
  <si>
    <t>Czech Science Foundation; GAČR; Grantová agentura České republiky || Technology Agency of the Czech Republic; Technology Agency of the CR; Technology Agency CR; TA ČR; The Technology Agency of the Czech Republic; Technologická agentura ČR; Technology Agency of Czech Republic; TA CR; TACR; Technologická agentura České</t>
  </si>
  <si>
    <t>https://openalex.org/institutions/i2800866597 || https://openalex.org/funders/f4320315323</t>
  </si>
  <si>
    <t>Public Health Research Programme; PHR; NIHR Public Health Research Programme || National Institute for Health and Care Research; NIHR; National Institute for Health Research || Medical Research Council; MRC; UK Medical Research Council || Economic and Social Research Council; ESRC || Medical Research Council; MRC; UK Medical Research Council || Economic and Social Research Council; ESRC || Medical Research Council; MRC; UK Medical Research Council || National Institute for Health Research; NIHR || Chief Scientist Office; CSO</t>
  </si>
  <si>
    <t>https://openalex.org/funders/f4320334630 || https://openalex.org/funders/f4320334626 || https://openalex.org/funders/f4320334782 || https://openalex.org/funders/f4320320176 || https://openalex.org/institutions/i34931013 || https://openalex.org/funders/f4320319990</t>
  </si>
  <si>
    <t>National Institutes of Health; US National Institutes of Health; Institutos Nacionales de la Salud; NIH || Memorial Sloan-Kettering Cancer Center; MSK Cancer Center; Memorial Sloan Kettering Cancer Center; MSKCC; MSK; Memorial Sloan Kettering || National Cancer Institute; NCI; Instituto Nacional del Cáncer || National Institute of General Medical Sciences; NIGMS; U.S. National Institute of General Medical Sciences || National Institutes of Health; US National Institutes of Health; Institutos Nacionales de la Salud; NIH</t>
  </si>
  <si>
    <t>https://openalex.org/funders/f4320309468 || https://openalex.org/funders/f4320337354 || https://openalex.org/funders/f4320337351 || https://openalex.org/funders/f4320332161</t>
  </si>
  <si>
    <t>https://openalex.org/funders/f4320337372 || https://openalex.org/funders/f4320337354 || https://openalex.org/funders/f4320337351 || https://openalex.org/funders/f4320332161</t>
  </si>
  <si>
    <t>State Key Laboratory of Robotics || State Key Laboratory of Materials Processing and Die and Mould Technology</t>
  </si>
  <si>
    <t>https://openalex.org/funders/f4320326907 || https://openalex.org/funders/f4320326868</t>
  </si>
  <si>
    <t>Chulalongkorn University; จุฬาลงกรณ์มหาวิทยาลัย; CU || Chulalongkorn University; จุฬาลงกรณ์มหาวิทยาลัย; CU</t>
  </si>
  <si>
    <t>National Social Science Fund of China; National Social Science Foundation of China; Chinese National Funding of Social Sciences; 国家社会科学基金; National Social Science Foundation; NSSFC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</t>
  </si>
  <si>
    <t>https://openalex.org/funders/f4320335869 || https://openalex.org/funders/f4320335777 || https://openalex.org/funders/f4320321001</t>
  </si>
  <si>
    <t>Actelion Pharmaceuticals; Actelion Pharmaceuticals Ltd || Pfizer; Pfizer Inc.; Pfizer Consumer Healthcare || United Therapeutics Corporation; United Therapeutics || Orion Pharma</t>
  </si>
  <si>
    <t>https://openalex.org/funders/f4320307765 || https://openalex.org/funders/f4320309555 || https://openalex.org/funders/f4320338282</t>
  </si>
  <si>
    <t>https://openalex.org/funders/f4320321001 || https://openalex.org/funders/f4320326870</t>
  </si>
  <si>
    <t>Fundação Carlos Chagas Filho de Amparo à Pesquisa do Estado do Rio de Janeiro; FAPERJ; Carlos Chagas Filho Foundation for Research Support in Rio de Janeiro; Research Support Foundation for the State of Rio de Janeiro; Fundação de Amparo à Pesquisa do Estado do Rio de Janeiro || Coordenação de Aperfeiçoamento de Pessoal de Nível Superior; Coordination for the Improvement of Higher Education Personnel; CAPES; Brazilian Federal Agency for the Support and Evaluation of Graduate Education || Conselho Nacional de Desenvolvimento Científico e Tecnológico; National Council for Scientific and Technological Development; Brazilian National Council for Research and Development; CNPq || Fundação Ary Frauzino para Pesquisa e Controle do Câncer; FAF; Ary Frauzino Foundation for Cancer Research and Control; Ary Frauzino Foundation for Cancer Research &amp; Control || Rio de Janeiro Federal Institute of Education, Science and Technology; IFRJ; Centro Federal de Educação Tecnológica de Química de Nilópolis; Federal Institute of Rio de Janeiro; Instituto Federal de Educação, Ciência e Tecnologia do Rio de Janeiro</t>
  </si>
  <si>
    <t>https://openalex.org/funders/f4320323009 || https://openalex.org/funders/f4320322025 || https://openalex.org/funders/f4320322749 || https://openalex.org/funders/f4320321091 || https://openalex.org/institutions/i270441400</t>
  </si>
  <si>
    <t>Fundação para a Ciência e Tecnologia; FCT; Fundação para a Ciência e a Tecnologia; Foundation for Science and Technology</t>
  </si>
  <si>
    <t>https://openalex.org/institutions/i7883018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</si>
  <si>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Natural Science Foundation of Jiangsu Province; Jiangsu Provincial Natural Science Foundation; Jiangsu Natural Science Foundation; Jiangsu Province Natural Science Foundation</t>
  </si>
  <si>
    <t>https://openalex.org/funders/f4320321001 || https://openalex.org/funders/f4320322769</t>
  </si>
  <si>
    <t>Fundação para a Ciência e a Tecnologia; FCT; Portuguese Science and Technology Foundation; Foundation for Science and Technology || IST-ID - Associação do Instituto Superior Técnico para a Investigação e Desenvolvimento; IST-ID; Associação do Instituto Superior Técnico para a Investigação e Desenvolvimento || European Cooperation in Science and Technology; COST; European Cooperation in Science &amp; Technology; The European Cooperation in Science and Technology || European Research Council; ERC</t>
  </si>
  <si>
    <t>https://openalex.org/funders/f4320334678 || https://openalex.org/funders/f4320320366 || https://openalex.org/funders/f4320334779 || https://openalex.org/institutions/i4392738108</t>
  </si>
  <si>
    <t>https://openalex.org/funders/f4320308687 || https://openalex.org/funders/f4320337359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</si>
  <si>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University of Science and Technology Liaoning; USTL; University of Science and Technology of Liaoning</t>
  </si>
  <si>
    <t>https://openalex.org/funders/f4320321001 || https://openalex.org/funders/f4320322872</t>
  </si>
  <si>
    <t>National Science and Technology Infrastructure Program; Program on Key International S&amp;T Cooperative Projects; National Key Science Projects Program; S&amp;T Basic Work Program, Program on Research for Public Good; National Engineering Technology Research Centers Development Program; R&amp;D Infrastructure and Facility Development Program; State Key Laboratories Development Program || Research and Development; State Science and Technology Commission || Shandong Academy of Agricultural Sciences; SAAS</t>
  </si>
  <si>
    <t>https://openalex.org/funders/f4320335778 || https://openalex.org/funders/f4320328723 || https://openalex.org/funders/f4320337504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</si>
  <si>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Ministry of Science and Technology; MOST; Ministry of Science and Technology of the Socialist Republic of Vietnam; Vietnamese Ministry of Science and Technology || State Key Laboratory of Soil and Sustainable Agriculture || Priority Academic Program Development of Jiangsu Higher Education Institutions; PAPD</t>
  </si>
  <si>
    <t>https://openalex.org/funders/f4320321001 || https://openalex.org/funders/f4320309618 || https://openalex.org/funders/f4320327518 || https://openalex.org/funders/f4320327058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</si>
  <si>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State Key Laboratory of Information Photonics and Optical Communications; SKLIPOC; State Key Laboratory of IPOC || Beijing University of Posts and Telecommunications; BUPT; 北京邮电大学举办</t>
  </si>
  <si>
    <t>https://openalex.org/funders/f4320321470 || https://openalex.org/funders/f4320321001 || https://openalex.org/funders/f4320326982</t>
  </si>
  <si>
    <t>https://openalex.org/institutions/i4210130170 || https://openalex.org/funders/f4320320766</t>
  </si>
  <si>
    <t>Centre Méditerranéen de l’Environnement et de la Biodiversité; Mediterranean Centre for Environment and Biodiversity Laboratory of Excellence; LabEx CeMEB; CeMEB</t>
  </si>
  <si>
    <t>Tekes; Finnish Funding Agency for Innovation || Tekes; Finnish Funding Agency for Innovation || European Union; EU</t>
  </si>
  <si>
    <t>https://openalex.org/institutions/i1320481043 || https://openalex.org/funders/f4320321855</t>
  </si>
  <si>
    <t>https://openalex.org/funders/f4320320997 || https://openalex.org/funders/f4320338279 || https://openalex.org/funders/f4320322025 || https://openalex.org/funders/f4320321091</t>
  </si>
  <si>
    <t>https://openalex.org/institutions/i4392738200 || https://openalex.org/funders/f4320306076</t>
  </si>
  <si>
    <t>Russian Academy of Sciences; Российская Академия Наук; РАН; RAS</t>
  </si>
  <si>
    <t>https://openalex.org/funders/f4320323223 || https://openalex.org/funders/f4320320879</t>
  </si>
  <si>
    <t>https://openalex.org/funders/f4320306082 || https://openalex.org/funders/f4320337354 || https://openalex.org/funders/f4320320847 || https://openalex.org/funders/f4320337337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</si>
  <si>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Natural Science Foundation of Guangdong Province; Guangdong Natural Science Foundation; Guangdong Provincial Natural Science Foundation; Natural Science Foundation of Guangdong || Guangzhou Municipal Science and Technology Project; Sci-Tech Project Foundation of Guangzhou City; Science and Technology Program of Guangzhou City; Guangzhou Science and Technology Foundation; Guangzhou Science and Technology Plan</t>
  </si>
  <si>
    <t>https://openalex.org/funders/f4320335480 || https://openalex.org/funders/f4320321001 || https://openalex.org/funders/f4320321921</t>
  </si>
  <si>
    <t>National Institutes of Health; US National Institutes of Health; Institutos Nacionales de la Salud; NIH || Japan Society for the Promotion of Science; Grants-in-Aid for Scientific Research; Grants-in-Aid for Scientific Research Program; KAKENHI; 日本学術振興会; KAKEN; JSPS || Eunice Kennedy Shriver National Institute of Child Health and Human Development; NIH Eunice Kennedy Shriver National Institute of Child Health and Human Development; NIH Eunice Kennedy Shriver National Institute of Child Health &amp; Human Development; Eunice Kennedy Shriver National Institute of Child Health and Human Development at the National Institutes of Health; NICHD; National Institutes of Health\/Eunice Kennedy Shriver National Institute of Child Health &amp; Human Development; Eunice Kennedy Shriver National Institute of Child Health &amp; Human Development; Instituto Nacional de Salud Infantil y Desarrollo Humano Eunice Kennedy Shriver; NIH\/NICHD; Eunice Kennedy Shriver National Institute of Child Health and Human Development of the National Institutes of Health; NIH\/Eunice Kennedy Shriver National Institute of Child Health and Human Development || National Institute of General Medical Sciences; NIGMS; U.S. National Institute of General Medical Sciences</t>
  </si>
  <si>
    <t>https://openalex.org/funders/f4320337611 || https://openalex.org/funders/f4320337354 || https://openalex.org/funders/f4320334764 || https://openalex.org/funders/f4320332161</t>
  </si>
  <si>
    <t>Science and Technology Program of Hunan Province; Hunan Science and Technology Innovation Project; Science and Technology Project of Hunan Province; Hunan Provincial Natural Science and Technology Major Project; Science and Technology Plan Project of Hunan Province; Major Science and Technology Program of Hunan province; 湖南省科技计划项目; Hunan Provincial Science and Technology Project Foundation; Hunan Provincial Science and Technology Plan Project || Shanghai Tongji Gao Tingyao Environmental Science and Technology Development Foundation; 上海同济高廷耀环保科技发展基金会; Shanghai Tongji Gao Tingyao Environmental Science &amp; Technology Development Foundation; STGEF</t>
  </si>
  <si>
    <t>https://openalex.org/funders/f4320330206 || https://openalex.org/funders/f4320317552</t>
  </si>
  <si>
    <t>Centre d'Imagerie BioMédicale; Center for Biomedical Imaging; CIBM || Centre d'Imagerie BioMédicale; Center for Biomedical Imaging; CIBM</t>
  </si>
  <si>
    <t>https://openalex.org/funders/f4320337355 || https://openalex.org/funders/f4320321001 || https://openalex.org/funders/f4320337338 || https://openalex.org/funders/f4320332161</t>
  </si>
  <si>
    <t>Institute for Basic Science; 기초과학연구원; IBS || Chinese Academy of Sciences; CAS; 中国科学院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</si>
  <si>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Education Department of Henan Province; Henan Provincial Education Department; Department of Education of Henan Province; Henan Provincial Department of Education; The Education Department Henan Province; 河南省教育厅; Department of Education, Henan Province || University of Eastern Finland; UEF; Östra Finlands universitet; Itä-Suomen Yliopisto; Itä-Suomen yliopisto</t>
  </si>
  <si>
    <t>https://openalex.org/institutions/i175532246 || https://openalex.org/funders/f4320321001 || https://openalex.org/funders/f4320325625</t>
  </si>
  <si>
    <t>Higher Education Commission; HEC; لُجنۂ اعلیٰ تعلیم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</t>
  </si>
  <si>
    <t>https://openalex.org/institutions/i300951488 || https://openalex.org/funders/f4320321001</t>
  </si>
  <si>
    <t>Ministry of Education, Culture, Sports, Science and Technology; Monbu Kagakusho; 文部科学省; MEXT; Monbusho || Boehringer Ingelheim; Boehringer Ingelheim Pharmaceuticals, Inc.; BI; Boehringer Ingelheim Pharmaceuticals Inc; BIPI || Novartis Pharma; Novartis Deutschland; Novartis Deutschland GmbH; Novartis Pharma GmbH || Astellas Pharma; Astellas || Takeda Pharmaceutical Company; The Takeda Pharmaceutical Company Limited; Takeda Pharmaceutical Co Ltd; Takeda Pharmaceutical Company Limited; Takeda; Takeda Pharmaceutical Co. Ltd.; TPC; Takeda Pharmaceutical Co., Ltd. || Japan Society for the Promotion of Science; Grants-in-Aid for Scientific Research; Grants-in-Aid for Scientific Research Program; KAKENHI; 日本学術振興会; KAKEN; JSPS</t>
  </si>
  <si>
    <t>https://openalex.org/funders/f4320306257 || https://openalex.org/funders/f4320310465 || https://openalex.org/funders/f4320320912 || https://openalex.org/funders/f4320323024 || https://openalex.org/funders/f4320334764 || https://openalex.org/funders/f4320332736</t>
  </si>
  <si>
    <t>https://openalex.org/funders/f4320335967 || https://openalex.org/funders/f4320321001 || https://openalex.org/funders/f4320335787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</si>
  <si>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Natural Science Foundation of Beijing Municipality; Beijing Municipal Natural Science Foundation; Natural Science Foundation of Beijing; Beijing Natural Science Foundation || Science Foundation of China University of Petroleum, Beijing || Ministry of Science and Technology; MOST; Ministry of Science and Technology of the Socialist Republic of Vietnam; Vietnamese Ministry of Science and Technology || Specialized Research Fund for the Doctoral Program of Higher Education of China; Research Fund for the Doctoral Program of Higher Education of China; SRFDP; Specialized Research Fund for the Doctoral Program of Higher Education; Specialized Research Fund for the Doctoral Program of Higher Education (SRFDP) of the Ministry of Education of China; Research Fund for the Doctoral Program of Higher Education</t>
  </si>
  <si>
    <t>https://openalex.org/funders/f4320336024 || https://openalex.org/funders/f4320326291 || https://openalex.org/funders/f4320322919 || https://openalex.org/funders/f4320309618 || https://openalex.org/funders/f4320321001</t>
  </si>
  <si>
    <t>Ministerio de Economía y Competitividad; MINECO; MEC; Ministry of Economy and Competitiveness || Ayuntamiento de Castellón de la Plana; Ajuntament de Castelló</t>
  </si>
  <si>
    <t>https://openalex.org/funders/f4320321837 || https://openalex.org/institutions/i4210103099</t>
  </si>
  <si>
    <t>https://openalex.org/funders/f4320313340 || https://openalex.org/funders/f4320319952 || https://openalex.org/funders/f4320334576 || https://openalex.org/funders/f4320334593 || https://openalex.org/funders/f4320320994</t>
  </si>
  <si>
    <t>National High-tech Research and Development Program; National High-tech R&amp;D Program (863 Program); State High-Tech Development Plan; 863 Program || 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Fundamental Research Funds for the Central Universities; Fundamental Research Funds for the Central Universities of China; Fundamental Research Fund for the Central Universities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State Key Laboratory of Information Photonics and Optical Communications; SKLIPOC; State Key Laboratory of IPOC</t>
  </si>
  <si>
    <t>https://openalex.org/funders/f4320335773 || https://openalex.org/funders/f4320335777 || https://openalex.org/funders/f4320321001 || https://openalex.org/funders/f4320335787 || https://openalex.org/funders/f4320326982</t>
  </si>
  <si>
    <t>Agence Nationale de la Recherche; ANR; French National Research Agency || European Union; EU</t>
  </si>
  <si>
    <t>https://openalex.org/funders/f4320320883 || https://openalex.org/institutions/i1320481043</t>
  </si>
  <si>
    <t>California Department of Fish and Game; DFG || National Science Foundation; U.S. National Science Foundation; USA NSF; USNSF; NSF; US National Science Foundation; US NSF</t>
  </si>
  <si>
    <t>https://openalex.org/funders/f4320308022 || https://openalex.org/funders/f4320306076</t>
  </si>
  <si>
    <t>Fundação para a Ciência e Tecnologia; FCT; Fundação para a Ciência e a Tecnologia; Foundation for Science and Technology || Fundação para a Ciência e a Tecnologia; FCT; Portuguese Science and Technology Foundation; Foundation for Science and Technology || SUNY College of Environmental Science and Forestry; SUNY ESF; ESF</t>
  </si>
  <si>
    <t>https://openalex.org/institutions/i157349981 || https://openalex.org/funders/f4320334779 || https://openalex.org/institutions/i7883018</t>
  </si>
  <si>
    <t>Natural Science Foundation of Jiangsu Province; Jiangsu Provincial Natural Science Foundation; Jiangsu Natural Science Foundation; Jiangsu Province Natural Science Foundation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Nanjing Institute of Technology; NJIT</t>
  </si>
  <si>
    <t>https://openalex.org/funders/f4320321001 || https://openalex.org/funders/f4320322769 || https://openalex.org/funders/f4320324885</t>
  </si>
  <si>
    <t>National Science Foundation; U.S. National Science Foundation; USA NSF; USNSF; NSF; US National Science Foundation; US NSF || University of Amsterdam; UvA; Universiteit van Amsterdam || School of Planning and Architecture Delhi; SPA New Delhi; योजना तथा वास्तुकला विद्यालय दिल्ली || International Institute of Social Studies, Erasmus University Rotterdam; Institute of Social Studies; International Institute of Social Studies; International Institute of Social Studies (ISS) of Erasmus University Rotterdam; ISS; ISS, The Hague</t>
  </si>
  <si>
    <t>https://openalex.org/funders/f4320337343 || https://openalex.org/institutions/i1329536732 || https://openalex.org/institutions/i887064364 || https://openalex.org/funders/f4320306076</t>
  </si>
  <si>
    <t>National Oceanic and Atmospheric Administration; NOAA; National Oceanic &amp; Atmospheric Administration || United States Department of Energy; DOE; U.S. Department of Energy; Departamento de Energía de los Estados Unidos; Département de l'Énergie des États-unis || Lawrence Livermore National Laboratory; LLNL; Lawrence Livermore National Lab || National Aeronautics and Space Administration; US National Aeronautics &amp; Space Administration; United States National Aeronautics and Space Administration; NASA; National Aeronautics &amp; Space Administration</t>
  </si>
  <si>
    <t>https://openalex.org/funders/f4320332181 || https://openalex.org/funders/f4320306101 || https://openalex.org/institutions/i1330989302 || https://openalex.org/funders/f4320338286</t>
  </si>
  <si>
    <t>Directorate for Biological Sciences; Biological Sciences; Directorate for Biological Sciences at NSF; Biological Sciences directorate at the National Science Foundation; The Directorate of Biological Sciences; US NSF - BIO; BIO\/OAD; The Directorate for Biological Sciences (BIO) at the National Science Foundation (NSF); US National Science Foundation Directorate of Biological Sciences; BIO; National Science Foundation's Directorate for Biological Sciences; NSF, Directorate for Biological Sciences; NSF\/BIO; NSF Directorate of Biological Sciences; NSF's Directorate for Biological Sciences || Biotechnology and Biological Sciences Research Council; BBSRC; The Biotechnology And Biological Sciences Research Council || Biotechnology and Biological Sciences Research Council; BBSRC; The Biotechnology And Biological Sciences Research Council</t>
  </si>
  <si>
    <t>https://openalex.org/funders/f4320332167 || https://openalex.org/funders/f4320334629</t>
  </si>
  <si>
    <t>https://openalex.org/funders/f4320321001 || https://openalex.org/funders/f4320326705</t>
  </si>
  <si>
    <t>University of Bologna; UNIBO; Universitat de Bolonya; Università di Bologna; Université de bologne; Universität Bologna || Ajinomoto Pharmaceuticals; Ajinomoto Pharmaceutical Co.,Ltd.</t>
  </si>
  <si>
    <t>https://openalex.org/institutions/i9360294 || https://openalex.org/funders/f4320324407</t>
  </si>
  <si>
    <t>https://openalex.org/funders/f4320313887 || https://openalex.org/funders/f4320321001 || https://openalex.org/funders/f4320335787</t>
  </si>
  <si>
    <t>Korea Science and Engineering Foundation; KOSEF</t>
  </si>
  <si>
    <t>https://openalex.org/funders/f4320315059 || https://openalex.org/funders/f4320311813</t>
  </si>
  <si>
    <t>National Institute of Food and Agriculture; USDA National Institute of Food and Agriculture; U.S. Department of Agriculture, National Institute of Food and Agriculture; NIFA USDA; NIFA; National Institute of Food and Agriculture (USDA); National Institute of Food &amp; Agriculture; USDA\/NIFA; National Institute for Food and Agriculture of the United States Department of Agriculture; USDA - NIFA; USDA\/National Institute of Food and Agriculture; USDA's National Institute of Food and Agriculture; USDA NIFA; National Institute of Food and Agriculture at USDA || United States Department of Agriculture; USDA; Agriculture Department; Departamento de Agricultura de los Estados Unidos; Département de l'Agriculture des États-Unis</t>
  </si>
  <si>
    <t>https://openalex.org/funders/f4320332299 || https://openalex.org/institutions/i1336096307</t>
  </si>
  <si>
    <t>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Higher Education Discipline Innovation Project; National 111 Project of China; 111 Plan; Higher Education Discipline Innovation Project of China; 111 Project || Beijing Nova Program; Beijing Municipal Science &amp; Technology Commision || Beijing Municipal Commission of Education; Education Commission of Beijing Municipality; Beijing Municipal Education Commission</t>
  </si>
  <si>
    <t>https://openalex.org/funders/f4320327912 || https://openalex.org/funders/f4320335777 || https://openalex.org/funders/f4320321001 || https://openalex.org/funders/f4320321572 || https://openalex.org/funders/f4320334978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</si>
  <si>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Natural Science Foundation of Yunnan Province; Yunnan Provincial Natural Science Foundation</t>
  </si>
  <si>
    <t>Rufford Foundation; Rufford Small Grants Foundation; The Rufford Foundation || University of KwaZulu-Natal; UKZN  || National Research Foundation; NRF || South African National Parks; SANParks</t>
  </si>
  <si>
    <t>https://openalex.org/funders/f4320309818 || https://openalex.org/institutions/i95023434 || https://openalex.org/funders/f4320335805 || https://openalex.org/funders/f4320320671</t>
  </si>
  <si>
    <t>Renewable Energy Systems (United States); RES</t>
  </si>
  <si>
    <t>Basque Government; Govern Basc; Gobierno Vasco; Goberno Vasco; Eusko Jaurlaritza || Euskal Herriko Unibertsitatea; EHU; UPV\/EHU; University of the Basque Country; Universidad del País Vasco || Geological Survey of Canada; GSC; Commission géologique du Canada</t>
  </si>
  <si>
    <t>https://openalex.org/funders/f4320321919 || https://openalex.org/institutions/i1327020802 || https://openalex.org/institutions/i2800374234</t>
  </si>
  <si>
    <t>Special Project for Research and Development in Key areas of Guangdong Province; 广东省科技计划重点领域研发项目; Key Area Research and Development Program of Guangdong Province; Key Research and Development Program of Guangdong Province; Guangdong Key R&amp;D Project of China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Guangzhou Municipal Science and Technology Project; Sci-Tech Project Foundation of Guangzhou City; Science and Technology Program of Guangzhou City; Guangzhou Science and Technology Foundation; Guangzhou Science and Technology Plan</t>
  </si>
  <si>
    <t>https://openalex.org/funders/f4320335480 || https://openalex.org/funders/f4320321001 || https://openalex.org/funders/f4320336405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</si>
  <si>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 || Yi Yao Foundation</t>
  </si>
  <si>
    <t>Medtronic; Medtronic Inc. || Army Research Office; ARO; United States Army Research Office; U.S. Army Research Office; US Army Research Office; U.S. Army Research Laboratory's Army Research Office || Defense Advanced Research Projects Agency; US Defense Advanced Research Projects Agency; DARPA; U.S. Defense Advanced Research Projects Agency; United States Defense Advanced Research Projects Agency; The Defense Advanced Research Projects Agency</t>
  </si>
  <si>
    <t>https://openalex.org/funders/f4320338281 || https://openalex.org/funders/f4320307813 || https://openalex.org/funders/f4320332180</t>
  </si>
  <si>
    <t>https://openalex.org/funders/f4320337348 || https://openalex.org/funders/f4320337330 || https://openalex.org/funders/f4320332161 || https://openalex.org/funders/f4320337347 || https://openalex.org/funders/f4320337338</t>
  </si>
  <si>
    <t>National Science Foundation; U.S. National Science Foundation; USA NSF; USNSF; NSF; US National Science Foundation; US NSF || Division of Materials Research; Materials Research; NSF Division of Materials Research; DMR; MPS\/DMR</t>
  </si>
  <si>
    <t>https://openalex.org/funders/f4320337367 || https://openalex.org/funders/f4320306076</t>
  </si>
  <si>
    <t>Centers for Disease Control and Prevention; CDC; Centers for Disease Control; U.S. CDC; Centros para el Control y la Prevención de Enfermedades; United States Centers for Disease Control and Prevention; U.S. Centers for Disease Control and Prevention; Centers for Disease Control &amp; Prevention || National Center for Chronic Disease Prevention and Health Promotion; NCCDPHP; CDC's National Center for Chronic Disease Prevention and Health Promotion; Chronic Disease Prevention &amp; Health Promotion</t>
  </si>
  <si>
    <t>American Society of Civil Engineers; ASCE; The American Society of Civil Engineers || College of Humanities and Social Sciences, United Arab Emirates University; College of Humanities and Social Sciences; CHSS</t>
  </si>
  <si>
    <t>Science and Technology Center in Ukraine; Science &amp; Technology Center in Ukraine; STCU; Science and Technology Center, Ukraine || Simulation Technologies (United States); SimTech</t>
  </si>
  <si>
    <t>https://openalex.org/funders/f4320324932 || https://openalex.org/institutions/i4210125693</t>
  </si>
  <si>
    <t>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Natural Science Foundation of Guangdong Province; Guangdong Natural Science Foundation; Guangdong Provincial Natural Science Foundation; Natural Science Foundation of Guangdong</t>
  </si>
  <si>
    <t>https://openalex.org/funders/f4320335777 || https://openalex.org/funders/f4320321001 || https://openalex.org/funders/f4320321921</t>
  </si>
  <si>
    <t>Fondazione per la Ricerca sulla Fibrosi Cistica; Fondazione Ricerca Fibrosi Cistica; FFC; Italian Cystic Fibrosis Research Foundation; Fondazione FFC || Wellcome Trust; The Wellcome Trust; WT; Wellcome || Cystic Fibrosis Foundation; The Cystic Fibrosis Foundation; CF Foundation; CFF || Associazione Italiana per la Ricerca sul Cancro; AIRC; The Italian Association for Cancer Research; Italian Association for Cancer Research</t>
  </si>
  <si>
    <t>https://openalex.org/funders/f4320311904 || https://openalex.org/funders/f4320323054 || https://openalex.org/funders/f4320306168 || https://openalex.org/funders/f4320325077</t>
  </si>
  <si>
    <t>https://openalex.org/funders/f4320334631 || https://openalex.org/funders/f4320334629</t>
  </si>
  <si>
    <t>Danish Cancer Society; Kræftens Bekæmpelse || Danish Agency for Science and Higher Education; Danish Agency for Science, Technology and Innovation || National Institutes of Health; US National Institutes of Health; Institutos Nacionales de la Salud; NIH</t>
  </si>
  <si>
    <t>https://openalex.org/funders/f4320334770 || https://openalex.org/institutions/i4210148920 || https://openalex.org/funders/f4320332161</t>
  </si>
  <si>
    <t>https://openalex.org/funders/f4320332171 || https://openalex.org/funders/f4320306076</t>
  </si>
  <si>
    <t>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National High-tech Research and Development Program; National High-tech R&amp;D Program (863 Program); State High-Tech Development Plan; 863 Program || Department of Education of Zhejiang Province; ZPDE; 浙江省教育厅; Zhejiang Province Department of Education; Zhejiang Provincial Department of Education; Department of Education, Zhejiang Province</t>
  </si>
  <si>
    <t>https://openalex.org/funders/f4320335773 || https://openalex.org/funders/f4320335777 || https://openalex.org/funders/f4320321001 || https://openalex.org/funders/f4320325436</t>
  </si>
  <si>
    <t>https://openalex.org/funders/f4320311048 || https://openalex.org/funders/f4320321114 || https://openalex.org/funders/f4320320879</t>
  </si>
  <si>
    <t>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Chinese Academy of Sciences; CAS; 中国科学院 || Beijing Municipal Science and Technology Commission; Science and Technology Commission of Beijing Municipality; 北京市科学技术委员会; BMSTC; Beijing Municipal Science &amp; Technology Commission; Municipal Science &amp; Technology Commission</t>
  </si>
  <si>
    <t>https://openalex.org/funders/f4320335777 || https://openalex.org/funders/f4320321001 || https://openalex.org/funders/f4320325902 || https://openalex.org/funders/f4320321133</t>
  </si>
  <si>
    <t>Ministerio de Asuntos Económicos y Transformación Digital, Gobierno de España; Ministeri d'Economia, Indústria i Competitivitat; Ekonomia, Industria eta Lehiakortasun Ministerioa; Ministry of Economy, Industry and Competitiveness; MINECO; Ministerio de Economía, Industria y Competitividad; Ministerio de Asuntos Económicos y Transformación Digital; Ministerio de Economía, Industria e Competitividade; Ministerio de Economía, Industria y Competitividad, Gobierno de España</t>
  </si>
  <si>
    <t>https://openalex.org/funders/f4320326262</t>
  </si>
  <si>
    <t>https://openalex.org/funders/f4320335777 || https://openalex.org/funders/f4320321001 || https://openalex.org/funders/f4320338464</t>
  </si>
  <si>
    <t>National Center for Genetic Engineering and Biotechnology; BIOTEC; National Center for Genetic Engineering and Biotechnology of Thailand || National Science and Technology Development Agency; NSTDA; สำนักงานพัฒนาวิทยาศาสตร์และเทคโนโลยีแห่งชาติ; สวทช || European Union; EU || National Institute of General Medical Sciences; NIGMS; U.S. National Institute of General Medical Sciences || National Science and Technology Development Agency; NSTDA; สำนักงานพัฒนาวิทยาศาสตร์และเทคโนโลยีแห่งชาติ; สวทช</t>
  </si>
  <si>
    <t>https://openalex.org/institutions/i1320481043 || https://openalex.org/funders/f4320337354 || https://openalex.org/funders/f4320322437 || https://openalex.org/funders/f4320326787</t>
  </si>
  <si>
    <t>National Heart, Lung, and Blood Institute; NIH\/National Heart, Lung and Blood Institute; National Heart Lung &amp; Blood Institute; NHLBI</t>
  </si>
  <si>
    <t>https://openalex.org/funders/f4320306084 || https://openalex.org/funders/f4320306076</t>
  </si>
  <si>
    <t>National Institutes of Health; US National Institutes of Health; Institutos Nacionales de la Salud; NIH || Department of Veterans Affairs || National Institute of Diabetes and Digestive and Kidney Diseases; NIH\/National Institute of Diabetes, Digestive &amp; Kidney Diseases; NIH National Institute of Diabetes and Digestive and Kidney Diseases; NIDDK; National Institute of Diabetes &amp; Digestive &amp; Kidney Diseases || U.S. Department of Veterans Affairs; United States Department of Veterans Affairs; Veterans Affairs; Veterans Affairs Department; Department of Veterans Affairs; US Department of Veterans Affairs; VA; U.S. Dept. of Veterans Affairs; USDVA</t>
  </si>
  <si>
    <t>https://openalex.org/funders/f4320306127 || https://openalex.org/funders/f4320337357 || https://openalex.org/institutions/i4210151543 || https://openalex.org/funders/f4320332161</t>
  </si>
  <si>
    <t>https://openalex.org/funders/f4320334704 || https://openalex.org/funders/f4320332194 || https://openalex.org/funders/f4320334705</t>
  </si>
  <si>
    <t>National Science Foundation; U.S. National Science Foundation; USA NSF; USNSF; NSF; US National Science Foundation; US NSF || National Institute of Environmental Health Sciences; The National Institute of Environmental Health Sciences; NIH National Institute of Environmental Health Sciences; NIEHS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</si>
  <si>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Social Science Foundation of Jiangsu Province; Jiangsu Provincial Social Science Foundation; 江苏省社会科学基金项目 || Priority Academic Program Development of Jiangsu Higher Education Institutions; PAPD || Priority Academic Program Development of Jiangsu Higher Education Institutions; PAPD</t>
  </si>
  <si>
    <t>https://openalex.org/funders/f4320329865 || https://openalex.org/funders/f4320321001 || https://openalex.org/funders/f4320327518</t>
  </si>
  <si>
    <t>Natural Science Foundation of Henan Province; Henan Provincial Natural Science Foundation of China; Henan Province Natural Science Foundation || Scientific Research Foundation of Hunan Provincial Education Department</t>
  </si>
  <si>
    <t>https://openalex.org/funders/f4320323845 || https://openalex.org/funders/f4320333642</t>
  </si>
  <si>
    <t>National Institutes of Health; US National Institutes of Health; Institutos Nacionales de la Salud; NIH || University of California System; UC; Universidad de California; Université de Californie || National Institute of Dental and Craniofacial Research; El Instituto Nacional de Investigación Dental y Craneofacial; Instituto Nacional de Investigación Dental y Craneofacial; The National Institute of Dental and Craniofacial Research; NIH National Institute of Dental and Craniofacial Research; NIDCR</t>
  </si>
  <si>
    <t>https://openalex.org/funders/f4320337365 || https://openalex.org/institutions/i2803209242 || https://openalex.org/funders/f4320332161</t>
  </si>
  <si>
    <t>https://openalex.org/funders/f4320321001 || https://openalex.org/funders/f4320309612</t>
  </si>
  <si>
    <t>Academy of Finland; Suomen Akatemia; AKA; The Academy of Finland; Finlands Akademi || University of Oulu; Oulun yliopisto || University Hospital || Ministry of Health and Social Affairs; Socialdepartementet || Terveyden ja hyvinvoinnin laitos; National Institute for Health and Welfare of Finland; Finnish National Institute for Health and Welfare; Institutet för hälsa och välfärd; National Institute for Health and Welfare; THL || European Regional Development Fund; Europejski Fundusz Rozwoju Regionalnego; ESRR; L-FEŻR; Den Europæiske Fond for Regionaludvikling; Europos Regionines Pletros Fondas; ERDF; Európsky Fond Regionálneho Rozvoja; FESR; ЕФРР; Eruf; EFRO; Evropski sklad za regionalni razvoj; Evropský fond pro regionální rozvoj; ERFA; FEDER; FEDER; Europäischer Fonds für regionale Entwicklung; Fundo Europeu de Desenvolvimento Regional; Europeiska regionala utvecklingsfonden; ΕΤΠΑ; Euroopa Regionaalarengu Fond; Fondo Europeo de Desarrollo Regional; Fonds Européen de Développement Régional; Il-Fond Ewropew għall-Iżvilupp Reġjonali; ERPF; Euroopan aluekehitysrahasto; ERAF; Fondo Europeo di Sviluppo Regionale; EAKR; ERFi; Европейски фонд за регионално развитие; Fondul European de Dezvoltare Regională; FEDR; Europees Fonds voor Regionale Ontwikkeling; Europski Fond za Regionalni Razvoj; EFRU; Európai Regionális Fejlesztési Alap; EFRR; EFRR; EFRE; Ευρωπαϊκό Ταμείο Περιφερειακής Ανάπτυξης; Eiropas Reģionālās attīstības fonds || Medical Research Council; MRC; UK Medical Research Council</t>
  </si>
  <si>
    <t>https://openalex.org/funders/f4320334626 || https://openalex.org/funders/f4320328549 || https://openalex.org/institutions/i4210094837 || https://openalex.org/funders/f4320335322 || https://openalex.org/institutions/i98381234 || https://openalex.org/funders/f4320321108 || https://openalex.org/institutions/i4210109570</t>
  </si>
  <si>
    <t>https://openalex.org/funders/f4320334764 || https://openalex.org/funders/f4320320912</t>
  </si>
  <si>
    <t>National Science Foundation; U.S. National Science Foundation; USA NSF; USNSF; NSF; US National Science Foundation; US NSF || Pressure BioSciences (United States); PBI || National Science Foundation; U.S. National Science Foundation; USA NSF; USNSF; NSF; US National Science Foundation; US NSF</t>
  </si>
  <si>
    <t>https://openalex.org/institutions/i4210127267 || https://openalex.org/funders/f4320306076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</si>
  <si>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Jiangsu Key Laboratory for Advanced Metallic Materials || Scientific Research Foundation of the Graduate School of Southeast University || China Scholarship Council; CSC || Materials Research Science and Engineering Center, Northwestern University; NU-MRSEC; Northwestern MRSEC; Materials Research Science and Engineering Center; Materials Research Center; Northwestern University Materials Research Science and Engineering Center; MRSEC || Institut Supérieur de l'Électronique et du Numérique; ISEN; Higher Institute for Electronics and Digital Training || International Institute for Nanotechnology, Northwestern University; International Institute for Nanotechnology at Northwestern University; IIN; Northwestern University’s International Institute for Nanotechnology; International Institute for Nanotechnology || W. M. Keck Foundation; W M Keck Foundation; W.M. Keck Foundation; WM Keck Foundation; WMKF; The W. M. Keck Foundation; Keck Foundation || State of Illinois</t>
  </si>
  <si>
    <t>https://openalex.org/institutions/i3132279224 || https://openalex.org/funders/f4320335704 || https://openalex.org/funders/f4320334183 || https://openalex.org/institutions/i4391767654 || https://openalex.org/funders/f4320335928 || https://openalex.org/funders/f4320306159 || https://openalex.org/funders/f4320321001 || https://openalex.org/funders/f4320322725 || https://openalex.org/funders/f4320334021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</si>
  <si>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 || Chinese Academy of Sciences; CAS; 中国科学院</t>
  </si>
  <si>
    <t>https://openalex.org/funders/f4320321001 || https://openalex.org/funders/f4320334924 || https://openalex.org/funders/f4320322769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</si>
  <si>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Shanghai Rising-Star Program</t>
  </si>
  <si>
    <t>https://openalex.org/funders/f4320321001 || https://openalex.org/funders/f4320327803</t>
  </si>
  <si>
    <t>Canadian Institutes of Health Research; CIHR; IRSC; Instituts de Recherche en Santé du Canada || Medical Research Council; MRC; UK Medical Research Council || Wellcome Trust; The Wellcome Trust; WT; Wellcome || Medical Research Council; MRC; UK Medical Research Council || Methodist Rehabilitation Center; MRC || Medical Research Council; MRC; UK Medical Research Council</t>
  </si>
  <si>
    <t>https://openalex.org/funders/f4320334506 || https://openalex.org/institutions/i4210140131 || https://openalex.org/funders/f4320334626 || https://openalex.org/funders/f4320311904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</si>
  <si>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Chinese Academy of Sciences; CAS; 中国科学院</t>
  </si>
  <si>
    <t>Wolfgang Pauli Institute; WPI || Ministry of Education, Culture, Sports, Science and Technology; Monbu Kagakusho; 文部科学省; MEXT; Monbusho</t>
  </si>
  <si>
    <t>Danmarks Frie Forskningsfond; Danish Council for Independent Research; Det Frie Forskningsrad; Independent Research Fund Denmark; DFF || U.S. Environmental Protection Agency; US Environmental Protection Agency; EPA; United States Environmental Protection Agency; Environmental Protection Agency; USEPA; U.S. EPA; US EPA; Agencia de Protección Ambiental de Estados Unidos</t>
  </si>
  <si>
    <t>https://openalex.org/funders/f4320322928 || https://openalex.org/funders/f4320306107</t>
  </si>
  <si>
    <t>https://openalex.org/institutions/i4210134609 || https://openalex.org/funders/f4320334812 || https://openalex.org/funders/f4320338073</t>
  </si>
  <si>
    <t>https://openalex.org/funders/f4320320883 || https://openalex.org/funders/f4320307844 || https://openalex.org/funders/f4320320338</t>
  </si>
  <si>
    <t>https://openalex.org/funders/f4320337357 || https://openalex.org/funders/f4320334764</t>
  </si>
  <si>
    <t>Science and Technology Commission of Shanghai Municipality; STCSM; Shanghai Science and Technology Committee; Shanghai Municipal Science and Technology Commission; Shanghai Science and Technology Commission; 上海市科学技术委员会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</si>
  <si>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Natural Sciences and Engineering Research Council of Canada; CRSNG; NSERC; Conseil de Recherches en Sciences Naturelles et en Génie du Canada</t>
  </si>
  <si>
    <t>https://openalex.org/funders/f4320321001 || https://openalex.org/funders/f4320334593</t>
  </si>
  <si>
    <t>FP7 International Cooperation; INCO; PF7 COOPÉRATION INTERNATIONALE; PF7 Programa específico 'Capacidades': Cooperación internacional; PF7 Programme spécifique 'Capacités': Coopération internationale; FP7-INCO - Programma specifico 'Capacità': Cooperazione internazionale; Programme spécifique 'Capacités': Coopération internationale; PF7 COOPERAZIONE INTERNAZIONALE; FP7-INCO; PF7 Programma specifico 'Capacità': Cooperazione internazionale; PF7 WSPÓŁPRACA MIĘDZYNARODOWA; FP7 INTERNATIONALE ZUSAMMENARBEIT; Program szczegółowego 'Możliwości': współpraca międzynarodowa; COOPERAZIONE INTERNAZIONALE; FP7-INCO - Spezifisches Programm 'Kapazitäten': Internationale Zusammenarbeit; FP7-INCO - Program szczegółowego 'Możliwości': współpraca międzynarodowa; FP7 COOPERACIÓN INTERNACIONAL; PF7 Program szczegółowego 'Możliwości': współpraca międzynarodowa; Spezifisches Programm 'Kapazitäten': Internationale Zusammenarbeit; INTERNATIONAL COOPERATION; COOPERACIÓN INTERNACIONAL; FP7-INCO - Specific Programme 'Capacities': International Cooperation; INCO - Programma specifico 'Capacità': Cooperazione internazionale; FP7 Specific Programme 'Capacities': International Cooperation; INCO - Programa específico 'Capacidades': Cooperación internacional; FP7-INCO - Programa específico 'Capacidades': Cooperación internacional; Programa específico 'Capacidades': Cooperación internacional; INCO - Programme spécifique 'Capacités': Coopération internationale; FP7-INCO - Programme spécifique 'Capacités': Coopération internationale; Programma specifico 'Capacità': Cooperazione internazionale; INCO - Program szczegółowego 'Możliwości': współpraca międzynarodowa; PF7 Spezifisches Programm 'Kapazitäten': Internationale Zusammenarbeit; WSPÓŁPRACA MIĘDZYNARODOWA; INCO - Specific Programme 'Capacities': International Cooperation; INTERNATIONALE ZUSAMMENARBEIT; COOPÉRATION INTERNATIONALE; INCO - Spezifisches Programm 'Kapazitäten': Internationale Zusammenarbeit; FP7 INCO; Specific Programme 'Capacities': International co-operation || China Postdoctoral Science Foundation</t>
  </si>
  <si>
    <t>National Science Fund for Distinguished Young Scholars; National Science Foundation for Distinguished Young Scholars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</t>
  </si>
  <si>
    <t>Fundacja na rzecz Nauki Polskiej; Foundation for Polish Science; FNP || Ministerstwo Edukacji i Nauki; Ministry of Science and Higher Education; MNiSW; Ministry of Science and Higher Education, Republic of Poland; Ministerstwo Nauki i Szkolnictwa Wyższego || National Science Center; NCN; Narodowe Centrum Nauki</t>
  </si>
  <si>
    <t>https://openalex.org/funders/f4320322733 || https://openalex.org/institutions/i4210137491 || https://openalex.org/funders/f4320321042</t>
  </si>
  <si>
    <t>https://openalex.org/funders/f4320320241 || https://openalex.org/funders/f4320311904</t>
  </si>
  <si>
    <t>Fundamental Research Funds for the Central Universities; Fundamental Research Funds for the Central Universities of China; Fundamental Research Fund for the Central Universities || China Scholarship Council; CSC || National Ten Thousand Talent Program; 万人计划; 国家万人计划; Ten Thousand Talents Program; National Ten Thousand Talents Plan || Project 211; Double First Class University Plan; Program of Introducing Talents of Discipline to Universities; 111 Plan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Natural Science Foundation of Hubei Province; Hubei Provincial Natural Science Foundation || 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 || National Natural Science Foundation of China-Yunnan Joint Fund; NSFC-Yunnan Joint Fund</t>
  </si>
  <si>
    <t>https://openalex.org/funders/f4320335785 || https://openalex.org/funders/f4320322186 || https://openalex.org/funders/f4320321001 || https://openalex.org/funders/f4320335777 || https://openalex.org/funders/f4320336605 || https://openalex.org/funders/f4320335595 || https://openalex.org/funders/f4320335787 || https://openalex.org/funders/f4320322725</t>
  </si>
  <si>
    <t>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 || Chinese Academy of Sciences; CAS; 中国科学院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</t>
  </si>
  <si>
    <t>https://openalex.org/funders/f4320324099 || https://openalex.org/funders/f4320338062 || https://openalex.org/funders/f4320337337 || https://openalex.org/funders/f4320313691 || https://openalex.org/funders/f4320323573 || https://openalex.org/funders/f4320327961 || https://openalex.org/funders/f4320321079</t>
  </si>
  <si>
    <t>Università Italo Francese; UIF; Italo-French University; UFI; Università Italo-Francese; Université franco-italienne; Université Franco Italienne</t>
  </si>
  <si>
    <t>Consejo Nacional de Humanidades, Ciencias y Tecnologías; CONACYT; CONAHCYT; Consejo Nacional de Ciencia y Tecnología; National Council of Science and Technology; National Council for the Humanities, Sciences and Technology</t>
  </si>
  <si>
    <t>https://openalex.org/institutions/i4210163111</t>
  </si>
  <si>
    <t>https://openalex.org/funders/f4320322004 || https://openalex.org/funders/f4320322795 || https://openalex.org/funders/f4320333884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</si>
  <si>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Independent Innovation Foundation of Shandong University || Vetenskapsrådet; VR; Swedish Research Council</t>
  </si>
  <si>
    <t>https://openalex.org/funders/f4320321001 || https://openalex.org/funders/f4320322581 || https://openalex.org/funders/f4320335456</t>
  </si>
  <si>
    <t>BP; BP p.l.c. || ConocoPhillips; ConocoPhillips Co; ConocoPhillips Co.; ConocoPhillips Company; CPC || Statoil; StatoilHydro; Statoil ASA; Statoil; Den Norske Stats Oljeselskap A\/S; Equinor || Shell; Shell Global; Royal Dutch Shell PLC; Royal Dutch Shell || Total; TotalEnergies; Total Marketing Services; TotalEnergies SE || BG Group; BG Group plc</t>
  </si>
  <si>
    <t>https://openalex.org/funders/f4320324219 || https://openalex.org/funders/f4320307816 || https://openalex.org/funders/f4320307804 || https://openalex.org/funders/f4320322564 || https://openalex.org/funders/f4320310668 || https://openalex.org/funders/f4320307899</t>
  </si>
  <si>
    <t>Japan Society for the Promotion of Science; Grants-in-Aid for Scientific Research; Grants-in-Aid for Scientific Research Program; KAKENHI; 日本学術振興会; KAKEN; JSPS || Japan Society for the Promotion of Science; Grants-in-Aid for Scientific Research; Grants-in-Aid for Scientific Research Program; KAKENHI; 日本学術振興会; KAKEN; JSPS</t>
  </si>
  <si>
    <t>Ontario Ministry of Health and Long-Term Care; Ministry of Health and the Ministry of Long-Term Care; MOHLTC; Ministère de la Santé et le ministère des Soins de longue; Ministry of Health and Long-Term Care; Ministère de la Santé et des Soins de Longue Durée || Heart and Stroke Foundation of Canada; HSF; Fondation des maladies du cœur et de l'AVC du Canada; Fondation des Maladies du Cœur du Canada; Fondation des maladies du cœur et de l'AVC; Heart &amp; Stroke; Heart &amp; Stroke Foundation of Canada; HSFC; Heart and Stroke Foundation</t>
  </si>
  <si>
    <t>https://openalex.org/funders/f4320323448 || https://openalex.org/funders/f4320320722</t>
  </si>
  <si>
    <t>Independent Dance; ID || Seventh Framework Programme; EU Seventh Framework Programme; European Commission Seventh Framework Programme; FP7; EC Seventh Framework Programme; European Union Seventh Framework Programme || Agentschap voor Innovatie door Wetenschap en Technologie; Agency for Innovation by Science and Technology, Flanders; IWT || Fund for Scientific Research; FRS FNRS; Fonds de la Recherche Scientifique || National Institute of Mental Health; Instituto Nacional de la Salud Mental; NIMH; Mental Health NIMH</t>
  </si>
  <si>
    <t>https://openalex.org/institutions/i4210095451 || https://openalex.org/funders/f4320334960 || https://openalex.org/institutions/i17653759 || https://openalex.org/funders/f4320337346 || https://openalex.org/funders/f4320321732</t>
  </si>
  <si>
    <t>Eunice Kennedy Shriver National Institute of Child Health and Human Development; NIH Eunice Kennedy Shriver National Institute of Child Health and Human Development; NIH Eunice Kennedy Shriver National Institute of Child Health &amp; Human Development; Eunice Kennedy Shriver National Institute of Child Health and Human Development at the National Institutes of Health; NICHD; National Institutes of Health\/Eunice Kennedy Shriver National Institute of Child Health &amp; Human Development; Eunice Kennedy Shriver National Institute of Child Health &amp; Human Development; Instituto Nacional de Salud Infantil y Desarrollo Humano Eunice Kennedy Shriver; NIH\/NICHD; Eunice Kennedy Shriver National Institute of Child Health and Human Development of the National Institutes of Health; NIH\/Eunice Kennedy Shriver National Institute of Child Health and Human Development</t>
  </si>
  <si>
    <t>Czech Science Foundation; GAČR; Grantová agentura České republiky</t>
  </si>
  <si>
    <t>https://openalex.org/institutions/i2800866597</t>
  </si>
  <si>
    <t>https://openalex.org/funders/f4320320300 || https://openalex.org/funders/f4320321800 || https://openalex.org/funders/f4320334893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</si>
  <si>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China Geological Survey; CGS || Fundamental Research Funds for the Central Universities; Fundamental Research Funds for the Central Universities of China; Fundamental Research Fund for the Central Universities</t>
  </si>
  <si>
    <t>https://openalex.org/funders/f4320334926 || https://openalex.org/funders/f4320321001 || https://openalex.org/funders/f4320335787</t>
  </si>
  <si>
    <t>https://openalex.org/funders/f4320321673 || https://openalex.org/funders/f4320337354 || https://openalex.org/funders/f4320332161</t>
  </si>
  <si>
    <t>Bermuda Institute of Ocean Sciences; BIOS || Natural Environment Research Council; NERC || AXA Research Fund; AXA; Le Fonds AXA pour la Recherche || Natural Environment Research Council; NERC</t>
  </si>
  <si>
    <t>https://openalex.org/institutions/i1304608119 || https://openalex.org/funders/f4320334631 || https://openalex.org/funders/f4320321048</t>
  </si>
  <si>
    <t>United States Department of Veterans Affairs; VA ; DVA; U.S. Department of Veterans Affairs; Département des anciens combattants des États-unis; Departamento de Asuntos de los Veteranos de los Estados Unidos || U.S. Department of Veterans Affairs; United States Department of Veterans Affairs; Veterans Affairs; Veterans Affairs Department; Department of Veterans Affairs; US Department of Veterans Affairs; VA; U.S. Dept. of Veterans Affairs; USDVA</t>
  </si>
  <si>
    <t>https://openalex.org/funders/f4320306127 || https://openalex.org/institutions/i1322918889</t>
  </si>
  <si>
    <t>Cancer Research UK; CRUK || Medical Research Council; MRC; UK Medical Research Council || Medical Research Council; MRC; UK Medical Research Council || Cancer Research UK; CRUK || National Institute for Health Research; NIHR</t>
  </si>
  <si>
    <t>https://openalex.org/funders/f4320334626 || https://openalex.org/funders/f4320319985 || https://openalex.org/institutions/i34931013</t>
  </si>
  <si>
    <t>Ministerio de Ciencia e Innovación; Ministeri de Ciència i Innovació; MICINN; Ministry of Science and Innovation; Spanish Ministry of Science and Innovation</t>
  </si>
  <si>
    <t>https://openalex.org/funders/f4320337357 || https://openalex.org/funders/f4320337472 || https://openalex.org/funders/f4320337338 || https://openalex.org/funders/f4320337375</t>
  </si>
  <si>
    <t>National Institute of Allergy and Infectious Diseases; NIAID; Instituto Nacional de Alergias y Enfermedades Infecciosas || University of Otago; Te Whare Wānanga o Otāgo; Te Whare Wānanga o Ōtākou || Welch Foundation; Welch Foundation\/The; The Robert A. Welch Foundation; The Welch Foundation; Robert A. Welch Foundation || National Institutes of Health; US National Institutes of Health; Institutos Nacionales de la Salud; NIH || National Institute of Allergy and Infectious Diseases; NIAID; Instituto Nacional de Alergias y Enfermedades Infecciosas</t>
  </si>
  <si>
    <t>https://openalex.org/funders/f4320337355 || https://openalex.org/funders/f4320332161 || https://openalex.org/funders/f4320310371 || https://openalex.org/funders/f4320306196</t>
  </si>
  <si>
    <t>Akademie Věd České Republiky; Academy of Sciences of the Czech Republic; Czech Academy of Sciences; CAS; AV ČR; Akademie věd ČR</t>
  </si>
  <si>
    <t>https://openalex.org/funders/f4320322482</t>
  </si>
  <si>
    <t>Helmholtz Association; 亥姆霍兹联合会致力; Helmholtz-Gemeinschaft; Helmholtz Association of German Research Centres; Объединение имени Гельмгольца || European Union; EU</t>
  </si>
  <si>
    <t>https://openalex.org/institutions/i1320481043 || https://openalex.org/funders/f4320325698</t>
  </si>
  <si>
    <t>Center for AIDS Research, Johns Hopkins University; Johns Hopkins Center for AIDS Research; JHU CFAR || Institute for Clinical and Translational Research, University of Wisconsin, Madison; ICTR; UW ICTR; University of Wisconsin-Madison Institute for Clinical and Translational Research; Institute for Clinical and Translational Research at the University of Wisconsin-Madison; UW-ICTR; UW ICTR, Madison, WI; UW Institute for Clinical and Translational Research; University of Wisconsin Institute for Clinical and Translational Research; The Institute for Clinical and Translational Research; Institute for Clinical and Translational Research; THE UW-MADISON CTSA || National Institutes of Health; US National Institutes of Health; Institutos Nacionales de la Salud; NIH</t>
  </si>
  <si>
    <t>https://openalex.org/funders/f4320334051 || https://openalex.org/funders/f4320332312 || https://openalex.org/funders/f4320332161</t>
  </si>
  <si>
    <t>https://openalex.org/funders/f4320332403 || https://openalex.org/funders/f4320309291</t>
  </si>
  <si>
    <t>Office of Naval Research; U.S. Department of the Navy Office of Naval Research; US Department of the Navy Office of Naval Research; US Office of Naval Research; Department of the Navy's Office of Naval Research; United States Office of Naval Research; Naval Research; ONR; The Office of Naval Research; U.S. Office of Naval Research || U.S. Navy; United States Navy; Department of the Navy; US Navy; USN</t>
  </si>
  <si>
    <t>https://openalex.org/funders/f4320332923 || https://openalex.org/funders/f4320337345</t>
  </si>
  <si>
    <t>Ministry of Education - Singapore; MOE Singapore; MOE; Ministry of Education; Ministry of Education, Singapore; Ministry of Education (Singapore)</t>
  </si>
  <si>
    <t>A*STAR Graduate Academy; A*GA || Engineering and Physical Sciences Research Council; EPSRC</t>
  </si>
  <si>
    <t>https://openalex.org/institutions/i4210161496 || https://openalex.org/funders/f4320334627</t>
  </si>
  <si>
    <t>Euratom Research and Training Programme; Euratom Research &amp; Training Programme || Swedish Research Council; VR; Vetenskapsrådet || Knut och Alice Wallenbergs Stiftelse; Knut and Alice Wallenberg Foundation || European Research Council; ERC</t>
  </si>
  <si>
    <t>https://openalex.org/funders/f4320334678 || https://openalex.org/funders/f4320334323 || https://openalex.org/institutions/i2802499594 || https://openalex.org/funders/f4320322327</t>
  </si>
  <si>
    <t>Ministry of Science and ICT, South Korea; Ministry of Science and ICT of South Korea; Ministry of Science and ICT (South Korea); MSIT; 과학기술정보통신부; Ministry of Science and ICT; South Korea Ministry of Science, ICT; 科學技術情報通信部 || National Research Foundation of Korea; NRF; 한국연구재단이 창의적 연구와 || Ministry of Health and Welfare; Ministry of Health, Welfare and Family Affairs; MOHW || Korea Health Industry Development Institute; KHIDI || Ministry of Trade, Industry and Energy; MOTIE; Ministry of Trade, Industry and Energy, Korea || Korea Evaluation Institute of Industrial Technology; KEIT</t>
  </si>
  <si>
    <t>https://openalex.org/funders/f4320322120 || https://openalex.org/funders/f4320322107 || https://openalex.org/funders/f4320328359 || https://openalex.org/funders/f4320321681 || https://openalex.org/funders/f4320334879 || https://openalex.org/funders/f4320322034</t>
  </si>
  <si>
    <t>The Research Council; TRC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</si>
  <si>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Education Department of Shaanxi Province; Shaanxi Provincial Education Department; Education Department of Shaanxi Provincial Government; Department of Education, Shaanxi Province; Department of Education of Shaanxi Province; 陕西省教育厅; Shaanxi Provincial Department of Education; Education Bureau of Shaanxi Province || National Endowment for the Arts; Arts Endowment; National Endowment f\/t Arts; US National Endowment for the Arts; Nat'l Endow f\/t Arts; NEA || Sichuan Province Youth Science and Technology Innovation Team</t>
  </si>
  <si>
    <t>https://openalex.org/funders/f4320306112 || https://openalex.org/funders/f4320321001 || https://openalex.org/funders/f4320325627 || https://openalex.org/funders/f4320335476</t>
  </si>
  <si>
    <t>National Institute on Aging; The National Institute on Aging; NIA; NIH NATIONAL INSTITUTE ON AGING; U.S. National Institute on Aging || McKnight Brain Research Foundation; MBRF; Evelyn F Mcknight Brain Research Foundation || National Institute on Aging; The National Institute on Aging; NIA; NIH NATIONAL INSTITUTE ON AGING; U.S. National Institute on Aging</t>
  </si>
  <si>
    <t>https://openalex.org/institutions/i4210097518 || https://openalex.org/funders/f4320337337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</si>
  <si>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Shaanxi University of Science and Technology; SUST; Shaanxi University of Science &amp; Technology; 陕西科技大学 || China Postdoctoral Science Foundation</t>
  </si>
  <si>
    <t>https://openalex.org/funders/f4320321001 || https://openalex.org/funders/f4320324977 || https://openalex.org/funders/f4320321543</t>
  </si>
  <si>
    <t>Department of Science and Technology, Ministry of Science and Technology, India; डीएसटी; Department of Science &amp; Technology, Ministry of Science and Technology, India; Department of Science &amp; Technology; DST; विज्ञान और प्रौद्योगिकी विभाग; Department of Science and Technology; विज्ञान और प्रौद्योगिकी विभाग, विज्ञान और प्रौद्योगिकी मंत्रालय, भारत || Council of Scientific and Industrial Research, India; CSIR, India; CSIR; Council of Scientific and Industrial Research; Council of Scientific &amp; Industrial Research; वैज्ञानिक तथा औद्योगिक अनुसंधान परिषद; CSIR INDIA; सीएसआईआर || Department of Science and Technology, Ministry of Science and Technology, India; डीएसटी; Department of Science &amp; Technology, Ministry of Science and Technology, India; Department of Science &amp; Technology; DST; विज्ञान और प्रौद्योगिकी विभाग; Department of Science and Technology; विज्ञान और प्रौद्योगिकी विभाग, विज्ञान और प्रौद्योगिकी मंत्रालय, भारत</t>
  </si>
  <si>
    <t>https://openalex.org/funders/f4320334629 || https://openalex.org/funders/f4320311904 || https://openalex.org/funders/f4320320879</t>
  </si>
  <si>
    <t>Conselho Nacional de Desenvolvimento Científico e Tecnológico; National Council for Scientific and Technological Development; Brazilian National Council for Research and Development; CNPq || Fundação de Amparo à Pesquisa do Estado de São Paulo; São Paulo Research Foundation; Foundation for Research Support of the State of São Paulo; FAPESP; State of São Paulo Research Foundation || Coordenação de Aperfeiçoamento de Pessoal de Nível Superior; Coordination for the Improvement of Higher Education Personnel; CAPES; Brazilian Federal Agency for the Support and Evaluation of Graduate Education</t>
  </si>
  <si>
    <t>https://openalex.org/funders/f4320306159 || https://openalex.org/funders/f4320306076</t>
  </si>
  <si>
    <t>https://openalex.org/funders/f4320334764 || https://openalex.org/funders/f4320321931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</si>
  <si>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State Scholarship Fund of China</t>
  </si>
  <si>
    <t>Innovative Research Group Project of the National Natural Science Foundation of China; Fund for innovative Research Groups of the National Natural Science Fund Committee of Science; AIC; Innovative Research Group Project; Funds for Innovative Research Groups of China; Innovative Research Groups of the Natural Science Foundation of China NSFC; Foundation for Innovative Research Groups of the National Natural Science Fund of China || Innovative Research Group Project of the National Natural Science Foundation of China; Fund for innovative Research Groups of the National Natural Science Fund Committee of Science; AIC; Innovative Research Group Project; Funds for Innovative Research Groups of China; Innovative Research Groups of the Natural Science Foundation of China NSFC; Foundation for Innovative Research Groups of the National Natural Science Fund of China</t>
  </si>
  <si>
    <t>https://openalex.org/funders/f4320315254</t>
  </si>
  <si>
    <t>https://openalex.org/funders/f4320321001 || https://openalex.org/funders/f4320335443 || https://openalex.org/funders/f4320337504</t>
  </si>
  <si>
    <t>United States Department of Agriculture; USDA; Agriculture Department; Departamento de Agricultura de los Estados Unidos; Département de l'Agriculture des États-Unis || New Hampshire Agricultural Experiment Station; NHAES; NH Agricultural Experiment Station at UNH; NH Agricultural Experiment Station; The NH Agricultural Experiment Station; New Hampshire Agricultural Experiment Station at the University of New Hampshire; NH Agricultural Experiment Station at University of New Hampshire</t>
  </si>
  <si>
    <t>https://openalex.org/funders/f4320338006 || https://openalex.org/institutions/i1336096307</t>
  </si>
  <si>
    <t>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 || Program for New Century Excellent Talents in University; New Century Excellent Talents Program; Program for New Century Excellent Talents; NCET</t>
  </si>
  <si>
    <t>https://openalex.org/funders/f4320325436 || https://openalex.org/funders/f4320321001 || https://openalex.org/funders/f4320338464 || https://openalex.org/funders/f4320338465</t>
  </si>
  <si>
    <t>Division of Cancer Epidemiology and Genetics, National Cancer Institute; DCEG; NCI Division of Cancer Epidemiology and Genetics; National Cancer Institute Division of Cancer Epidemiology and Genetics || National Cancer Institute; NCI; Instituto Nacional del Cáncer</t>
  </si>
  <si>
    <t>https://openalex.org/funders/f4320338333 || https://openalex.org/funders/f4320337351</t>
  </si>
  <si>
    <t>https://openalex.org/funders/f4320334678 || https://openalex.org/funders/f4320324037 || https://openalex.org/funders/f4320321833</t>
  </si>
  <si>
    <t>Deutscher Akademischer Austauschdienst; German Academic Exchange Service; DAAD</t>
  </si>
  <si>
    <t>National Research Foundation of Korea; NRF; 한국연구재단이 창의적 연구와 || National Research Foundation; NRF</t>
  </si>
  <si>
    <t>Flora Family Foundation; FFF || Else Kröner-Fresenius-Stiftung; Else Kroner-Fresenius Foundation; EKFS; Else Kröner Fresenius-Stiftung; Else Kroener-Fresenius-Stiftung || Flora Family Foundation; FFF</t>
  </si>
  <si>
    <t>https://openalex.org/funders/f4320321672 || https://openalex.org/funders/f4320306336</t>
  </si>
  <si>
    <t>Universitat de València; 85|86; University of Valencia</t>
  </si>
  <si>
    <t>Pharmaceuticals and Medical Devices Agency; PMDA; 独立行政法人 医薬品医療機器総合機構</t>
  </si>
  <si>
    <t>Division of Chemical, Bioengineering, Environmental, and Transport Systems; NSF Division of Chemical, Bioengineering, Environmental, and Transport Systems; Chemical, Bioengineering, Environmental and Transport Systems; CBET; Chemical, Bioengineering, Environmental &amp; Transport Systems Division; NSF's Division of Chemical, Bioengineering, Environmental and Transport Systems; Chemical, Bioengineering, Environmental and Transport Systems (CBET) Division; ENG\/CBET; US NSF - ENG - CBET; Division of Chemical, Bioengineering, Environmental and Transport Systems || United States Department of Defense; DOD; US DOD; Département de la Défense des États-Unis; Departamento de Defensa de los Estados Unidos</t>
  </si>
  <si>
    <t>https://openalex.org/institutions/i1330347796 || https://openalex.org/funders/f4320337390</t>
  </si>
  <si>
    <t>Shanghai Municipal Health Bureau; Shanghai Municipal Public Health Bureau</t>
  </si>
  <si>
    <t>National Institute of Health; NIH; ՀՀ ԱՆ Առողջապահության Ազգային Ինստիտուտ; National Institute of Health after academician S. Avdalbekyan || University of Catania; Université de catane; Universität Catania; Università degli Studi di Catania || National Cancer Institute; NCI; Instituto Nacional del Cáncer</t>
  </si>
  <si>
    <t>https://openalex.org/institutions/i39063666 || https://openalex.org/institutions/i4210122293 || https://openalex.org/funders/f4320337351</t>
  </si>
  <si>
    <t>World Anti-Doping Agency; WADA; l'Agence mondiale antidopage; AMA || Freie Universität Berlin; FU; FU Berlin; Free University of Berlin || Dongfeng Motor Group (China); DFG; Dongfeng Automobile Industry Investment; Dongfeng Motor Co., Ltd.</t>
  </si>
  <si>
    <t>https://openalex.org/institutions/i4210153068 || https://openalex.org/funders/f4320324521 || https://openalex.org/funders/f4320321049</t>
  </si>
  <si>
    <t>United States Department of Agriculture; USDA; Agriculture Department; Departamento de Agricultura de los Estados Unidos; Département de l'Agriculture des États-Unis</t>
  </si>
  <si>
    <t>https://openalex.org/institutions/i1336096307</t>
  </si>
  <si>
    <t>https://openalex.org/funders/f4320332587 || https://openalex.org/funders/f4320321001 || https://openalex.org/funders/f4320337015 || https://openalex.org/funders/f4320338464</t>
  </si>
  <si>
    <t>Comisión Nacional de Investigación Científica y Tecnológica; National Commission for Scientific and Technological Research; CONICYT || Fondo Nacional de Desarrollo Científico y Tecnológico; National Fund for Scientific and Technological Development; FONDECYT; El Fondo Nacional de Desarrollo Científico y Tecnológico</t>
  </si>
  <si>
    <t>https://openalex.org/funders/f4320334812 || https://openalex.org/funders/f4320338073</t>
  </si>
  <si>
    <t>https://openalex.org/funders/f4320320045 || https://openalex.org/funders/f4320334629</t>
  </si>
  <si>
    <t>https://openalex.org/funders/f4320321001 || https://openalex.org/funders/f4320334932</t>
  </si>
  <si>
    <t>Ministry of Science and Technology; MOST; Ministry of Science and Technology of the Socialist Republic of Vietnam; Vietnamese Ministry of Science and Technology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Beijing Municipal Science and Technology Commission; Science and Technology Commission of Beijing Municipality; 北京市科学技术委员会; BMSTC; Beijing Municipal Science &amp; Technology Commission; Municipal Science &amp; Technology Commission || Youth Innovation Promotion Association of the Chinese Academy of Sciences; CAS YIPA; YIPA CAS; Youth Innovation Promotion Association, Chinese Academy of Sciences; Youth Innovation Promotion Association of Chinese Academy of Sciences; 中国科学院青年创新促进会; Youth Innovation Promotion Association, CAS; Youth Innovation Promotion Association CAS || Chinese Academy of Sciences; CAS; 中国科学院</t>
  </si>
  <si>
    <t>https://openalex.org/funders/f4320325902 || https://openalex.org/funders/f4320309618 || https://openalex.org/funders/f4320322847 || https://openalex.org/funders/f4320321133 || https://openalex.org/funders/f4320321001</t>
  </si>
  <si>
    <t>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China Scholarship Council; CSC || Hubei Provincial Department of Education; 湖北省教育厅; Department of Education, Hubei Province; Department of Education of the Hubei Province; Educational Commission of Hubei Province</t>
  </si>
  <si>
    <t>https://openalex.org/funders/f4320321001 || https://openalex.org/funders/f4320322725 || https://openalex.org/funders/f4320313620</t>
  </si>
  <si>
    <t>https://openalex.org/funders/f4320321001 || https://openalex.org/funders/f4320323172 || https://openalex.org/funders/f4320327912 || https://openalex.org/funders/f4320337504</t>
  </si>
  <si>
    <t>https://openalex.org/institutions/i3131263933 || https://openalex.org/funders/f4320322025 || https://openalex.org/funders/f4320321091</t>
  </si>
  <si>
    <t>National Science Foundation; U.S. National Science Foundation; USA NSF; USNSF; NSF; US National Science Foundation; US NSF || Energy Institute, University of Michigan; University of Michigan Energy Institute; Energy Institute; U-M Energy Institute</t>
  </si>
  <si>
    <t>https://openalex.org/funders/f4320333803 || https://openalex.org/funders/f4320306076</t>
  </si>
  <si>
    <t>Natural Science Foundation of Tianjin Municipal Science and Technology Commission; Natural Science Foundation of Tianjin Municipal Science &amp; Technology Commission || Natural Science Foundation of Jilin Province; Jilin Provincial Natural Science Foundation; Natural Science Foundation of Jilin Province of China; Jilin Province Natural Science Foundation</t>
  </si>
  <si>
    <t>Seattle Pacific University; SPU || NOAA National Marine Fisheries Service Northwest Fisheries Science Center; NWFSC; NMFS NWFSC; NOAA NWFSC; United States National Marine Fisheries Service Northwest Fisheries Center; United States Northwest Fisheries Science Center; United States National Marine Fisheries Service Northwest Fisheries Science Center; U.S. Northwest Fisheries Science Center; U.S. National Marine Fisheries Service Northwest Fisheries Center; NOAA NMFS Northwest Fisheries Science Center; Northwest Fisheries Center; NW Fisheries Science Center; U.S. National Marine Fisheries Service Northwest Fisheries Science Center || Washington Sea Grant, University of Washington; Washington Sea Grant; Washington Sea Grant - University of Washington; WA Sea Grant; WSG || National Oceanic and Atmospheric Administration; NOAA; National Oceanic &amp; Atmospheric Administration</t>
  </si>
  <si>
    <t>https://openalex.org/institutions/i11317958 || https://openalex.org/institutions/i4210166920 || https://openalex.org/funders/f4320332181 || https://openalex.org/funders/f4320332292</t>
  </si>
  <si>
    <t>National Science Foundation; U.S. National Science Foundation; USA NSF; USNSF; NSF; US National Science Foundation; US NSF || Directorate for Mathematical and Physical Sciences; NSF Directorate for Mathematical &amp; Physical Sciences; MPS\/OAD; MPS; Mathematical and Physical Sciences; Directorate for Mathematical &amp; Physical Sciences; NSF Directorate for Mathematical and Physical Sciences</t>
  </si>
  <si>
    <t>https://openalex.org/funders/f4320332172 || https://openalex.org/funders/f4320306076</t>
  </si>
  <si>
    <t>University of Reading; UoR || Engineering and Physical Sciences Research Council; EPSRC</t>
  </si>
  <si>
    <t>Ministry of Science and Technology, Taiwan; Ministry of Science and Technology of Taiwan; MOST; Ministry of Science and Technology, R.O.C. (Taiwan) || Slovak Academy of Sciences; SAS; SAV; Slovenská Akadémia Vied; Szlovák Tudományos Akadémia</t>
  </si>
  <si>
    <t>https://openalex.org/institutions/i207624831 || https://openalex.org/funders/f4320322795</t>
  </si>
  <si>
    <t>Marti-Keuning Eckhardt Stichting; MKE; Stichting MKE</t>
  </si>
  <si>
    <t>https://openalex.org/institutions/i4210156736</t>
  </si>
  <si>
    <t>Celgene; Celgene Corporation || Velux Fonden; Velux Foundations; The Velux Foundations || Danish Cancer Society; Kræftens Bekæmpelse || Beckett-Fonden; Beckett Fund</t>
  </si>
  <si>
    <t>https://openalex.org/funders/f4320326094 || https://openalex.org/funders/f4320310489 || https://openalex.org/institutions/i4210148920 || https://openalex.org/funders/f4320309086</t>
  </si>
  <si>
    <t>https://openalex.org/funders/f4320334678 || https://openalex.org/funders/f4320334626 || https://openalex.org/funders/f4320334631</t>
  </si>
  <si>
    <t>https://openalex.org/funders/f4320337361 || https://openalex.org/funders/f4320337351 || https://openalex.org/funders/f4320332161</t>
  </si>
  <si>
    <t>https://openalex.org/funders/f4320322502 || https://openalex.org/funders/f4320322025 || https://openalex.org/funders/f4320321091</t>
  </si>
  <si>
    <t>Ministerie van Landbouw, Natuur en Voedselkwaliteit; LNV; Ministry of Agriculture, Nature and Food Quality; Ministerie van LNV; Het ministerie van LNV || Ministerie van Volksgezondheid, Welzijn en Sport; VWS; Dutch Ministry of Health, Welfare and Sport || National Health and Medical Research Council; NHMRC</t>
  </si>
  <si>
    <t>https://openalex.org/funders/f4320321645 || https://openalex.org/funders/f4320328182 || https://openalex.org/funders/f4320334705</t>
  </si>
  <si>
    <t>National Science Foundation; U.S. National Science Foundation; USA NSF; USNSF; NSF; US National Science Foundation; US NSF || Stanford University; Stanford; SU; Leland Stanford Junior University</t>
  </si>
  <si>
    <t>https://openalex.org/funders/f4320308507 || https://openalex.org/funders/f4320306076</t>
  </si>
  <si>
    <t>Council of Scientific and Industrial Research, India; CSIR, India; CSIR; Council of Scientific and Industrial Research; Council of Scientific &amp; Industrial Research; वैज्ञानिक तथा औद्योगिक अनुसंधान परिषद; CSIR INDIA; सीएसआईआर || University of Hyderabad; UoH || Central University of Rajasthan; CURAJ; राजस्थान केन्द्रीय विश्वविद्यालय</t>
  </si>
  <si>
    <t>Natural Sciences and Engineering Research Council of Canada; CRSNG; NSERC; Conseil de Recherches en Sciences Naturelles et en Génie du Canada || Ontario Ministry of Research and Innovation; Ministry of Research and Innovation; MRI; ministère de la Recherche et de l’Innovation || Laurentian University; Université Laurentienne</t>
  </si>
  <si>
    <t>https://openalex.org/funders/f4320336370 || https://openalex.org/funders/f4320329073 || https://openalex.org/funders/f4320334593</t>
  </si>
  <si>
    <t>National Science Council; National Science Council, Taiwan; National Science Council of Taiwan; NSC || Ministry of Education; 교육부; MOE; Ministry of Education of the Republic of Korea</t>
  </si>
  <si>
    <t>https://openalex.org/funders/f4320321040 || https://openalex.org/funders/f4320321408</t>
  </si>
  <si>
    <t>Coordenação de Aperfeiçoamento de Pessoal de Nível Superior; Coordination for the Improvement of Higher Education Personnel; CAPES; Brazilian Federal Agency for the Support and Evaluation of Graduate Education || Conselho Nacional de Desenvolvimento Científico e Tecnológico; National Council for Scientific and Technological Development; Brazilian National Council for Research and Development; CNPq || Fundação de Amparo à Pesquisa do Estado do Piauí; Foundation for Research Support of the State of Piauí; FAPEPI || Universidade Federal do Piauí; Federal University of Piauí; UFPI</t>
  </si>
  <si>
    <t>https://openalex.org/funders/f4320323198 || https://openalex.org/funders/f4320322989 || https://openalex.org/funders/f4320322025 || https://openalex.org/funders/f4320321091</t>
  </si>
  <si>
    <t>Ministerul Educaţiei Naţionale; Ministry of National Education; Ministry of Education, Romania; Ministère de l' Education nationale; Ministerio de Educación Nacional; Ministerul Educatiei Nationale; MEN; Ministerium für Bildung; Ministero della Pubblica Istruzione || Directorate for Engineering; NSF Directorate for Engineering; National Science Foundation's (NSF) Directorate for Engineering (ENG); ENG; Engineering; ENG\/OAD</t>
  </si>
  <si>
    <t>https://openalex.org/funders/f4320322145 || https://openalex.org/funders/f4320332170</t>
  </si>
  <si>
    <t>Foundation for Innovative Research Groups of the National Natural Science Foundation of China || National Natural Science Foundation of China; NNSF of China; Guójiā Zìrán Kēxué Jījīn Wěiyuánhuì; NSF of China; The National Natural Science Foundation of China; 国家自然科学基金委员会; National Nature Science Foundation of China; NSFC; National Science Foundation of China; Natural Science Foundation of China; NNSFC; Chinese National Science Foundation; NNSF || National Postdoctoral Program for Innovative Talents; Postdoctoral Innovation Talent Support Program of China || China Postdoctoral Science Foundation || State Key Laboratory of Robotics and System || Heilongjiang Provincial Postdoctoral Science Foundation; Heilongjiang Province Postdoctoral Science Foundation; Heilongjiang Postdoctoral Science Foundation || Aeronautical Science Foundation of China; National Aerospace Science Foundation of China</t>
  </si>
  <si>
    <t>https://openalex.org/funders/f4320327001 || https://openalex.org/funders/f4320327720 || https://openalex.org/funders/f4320335768 || https://openalex.org/funders/f4320321543 || https://openalex.org/funders/f4320322857 || https://openalex.org/funders/f4320326178 || https://openalex.org/funders/f4320321001</t>
  </si>
  <si>
    <t>National Key Research and Development Program of China; NKRDPC; Special Fund for the National Key Research and Development Plan; 973 Program; National Basic Research Program of China; NKPs; National Plan on Key Basic Research and Development; National Program on Key Basic Research Project (973 Program); National Key Research and Development of China; 重点基础研究发展计划; National Key R&amp;D Program of China; National Key R&amp;D Programmes of China; China's National Key R&amp;D Programmes; National Basic Research Program; National Basic Research Program of China (973 Program); China National Key Research and Development Plan Project; National Key Research and Development Program || National Science Foundation; U.S. National Science Foundation; USA NSF; USNSF; NSF; US National Science Foundation; US NSF || Natural Science Foundation of Jiangsu Province; Jiangsu Provincial Natural Science Foundation; Jiangsu Natural Science Foundation; Jiangsu Province Natural Science Foundation || Fundamental Research Funds for the Central Universities; Fundamental Research Funds for the Central Universities of China; Fundamental Research Fund for the Central Universities</t>
  </si>
  <si>
    <t>https://openalex.org/funders/f4320335777 || https://openalex.org/funders/f4320322769 || https://openalex.org/funders/f4320335787 || https://openalex.org/funders/f4320306076</t>
  </si>
  <si>
    <t>https://openalex.org/funders/f4320312108 || https://openalex.org/funders/f4320334595 || https://openalex.org/institutions/i4210161159 || https://openalex.org/institutions/i4210088917</t>
  </si>
  <si>
    <t>https://openalex.org/funders/f4320321001 || https://openalex.org/funders/f4320321519</t>
  </si>
  <si>
    <t>Major Scientific and Technological Innovation Project of Shandong Province; 山东省重大科技创新工程项目</t>
  </si>
  <si>
    <t>University of Klagenfurt; AAU; Alpen-Adria-Universität Klagenfurt; Univerza v Celovcu; Universität Klagenfurt</t>
  </si>
  <si>
    <t>https://openalex.org/institutions/i4210166741</t>
  </si>
  <si>
    <t>American Heart Association; AMERICAN HEART ASSOCIATION INC; AMERICAN HEART ASSN.; American Heart Association, Inc.; AHA; American Heart Assn; AMERICAN HEART ASSOC.; American Heart Association, Inc || Children's Cardiomyopathy Foundation; CCFheartkids; Childrens Cardiomyopathy Foundation Inc; CCF; Childrens Cardiomyopathy Foundation Inc.; Children's Cardiomyopathy Foundation, Inc. || British Heart Foundation; BHF || National Institute for Health Research; NIHR</t>
  </si>
  <si>
    <t>https://openalex.org/funders/f4320319992 || https://openalex.org/funders/f4320311481 || https://openalex.org/funders/f4320306230 || https://openalex.org/institutions/i34931013</t>
  </si>
  <si>
    <t>https://openalex.org/funders/f4320333335 || https://openalex.org/funders/f4320335777 || https://openalex.org/funders/f4320321001</t>
  </si>
  <si>
    <t>Canadian Institutes of Health Research; CIHR; IRSC; Instituts de Recherche en Santé du Canada || Canadian Lung Association; Association Pulmonaire du Canada; CLA; L’Association pulmonaire; Association Pulmonaire; Lung Association</t>
  </si>
  <si>
    <t>Max Planck Society; MPG; Max-Planck-Gesellschaft zur Förderung der Wissenschaften</t>
  </si>
  <si>
    <t>https://openalex.org/institutions/i149899117</t>
  </si>
  <si>
    <t>Recruitment Program of Global Experts; Thousand Talents Plan; One-Thousand-Talents Program; Thousand Talents Program; 1,000 Talents Plan</t>
  </si>
  <si>
    <t>https://openalex.org/funders/f4320309370 || https://openalex.org/funders/f4320306076</t>
  </si>
  <si>
    <t>National Health and Medical Research Council; NHMRC || Rainbow Foundation || Hunter Medical Research Institute; HMRI || Royal Hobart Hospital Research Foundation; The RHH Research Foundation; The Royal Hobart Hospital Research Foundation; Royal Hobart Hospital Research Foundation (inc); ROYAL HOBART HOSPITAL RESEARCH FOUNDATION INC; RHHRF; Royal Hobart Hospital Research Foundation Incorporated; RHH Research Foundation</t>
  </si>
  <si>
    <t>https://openalex.org/funders/f4320320489 || https://openalex.org/funders/f4320313579 || https://openalex.org/funders/f4320334705</t>
  </si>
  <si>
    <t>Better Education Inc; BE</t>
  </si>
  <si>
    <t>https://openalex.org/institutions/i4210089815</t>
  </si>
  <si>
    <t>National Science Foundation; U.S. National Science Foundation; USA NSF; USNSF; NSF; US National Science Foundation; US NSF || University of Konstanz; Universität Konstanz || Baden-Württemberg Stiftung; BW Stiftung; Landesstiftung Baden-Württemberg; Baden-Württemberg Foundation; Baden-Württemberg Stiftung gGmbH; BWS; Baden-Württemberg Foundation gGmbH || National Research Foundation of Korea; NRF; 한국연구재단이 창의적 연구와 || Deutsche Forschungsgemeinschaft; German Research Association; DFG; German Research Foundation</t>
  </si>
  <si>
    <t>https://openalex.org/funders/f4320322120 || https://openalex.org/funders/f4320320879 || https://openalex.org/funders/f4320306076 || https://openalex.org/funders/f4320310414 || https://openalex.org/institutions/i189712700</t>
  </si>
  <si>
    <t>Ministry of Health and Welfare; Ministry of Health, Welfare and Family Affairs; MOHW || China Medical University; 中国医科大学; CMU</t>
  </si>
  <si>
    <t>https://openalex.org/funders/f4320324301 || https://openalex.org/funders/f4320322034</t>
  </si>
  <si>
    <t>Fondation pour la Recherche sur la Biodiversite; Fondation pour la Recherche sur la Biodiversité; Foundation for Research on Biodiversity; FRB || Australian Research Council; The Australian Research Council; ARC</t>
  </si>
  <si>
    <t>European Space Agency; ESA</t>
  </si>
  <si>
    <t>https://openalex.org/funders/f4320325434 || https://openalex.org/funders/f4320321001 || https://openalex.org/funders/f4320334924</t>
  </si>
  <si>
    <t>Deutsche Forschungsgemeinschaft; German Research Association; DFG; German Research Foundation || Swedish Cancer Foundation || Swedish Research Council; VR; Vetenskapsrådet</t>
  </si>
  <si>
    <t>https://openalex.org/funders/f4320313607 || https://openalex.org/institutions/i2802499594 || https://openalex.org/funders/f4320320879</t>
  </si>
  <si>
    <t>https://openalex.org/funders/f4320321001 || https://openalex.org/funders/f4320321543 || https://openalex.org/funders/f4320324173</t>
  </si>
  <si>
    <t>https://openalex.org/funders/f4320324123 || https://openalex.org/funders/f4320333332 || https://openalex.org/funders/f4320322401</t>
  </si>
  <si>
    <t>China Medical Board; CMB || National Health and Family Planning Commission of the People's Republic of China; Ministry of Health of China; Chinese Health and Family Planning Committee; National Health and Family Planning Commission || National Institute of Nursing Research; NINR; National Institute of Nursing Research National Institutes of Health || European Commission; Europeiska kommissionen; Ευρωπαϊκής Επιτροπής; Comisia Europeană; Europese Commissie; Euroopa Komisjoni; Eiropas Komisiju; Euroopan komission; Europskoj komisiji; EU; Choimisiúin Eorpaigh; EU-Kommissionen; Evropski komisiji; EC; Comisión Europea; Europos Komisijos; Europäische Kommission; La Commissione europea; Evropské komise; Comissão Europeia; Európskej komisii; Европейската комисия; Európai Bizottságról; Komisja Europejska; Commissione europea; European Union; Commission européenne || National Institute of Nursing Research; NINR; National Institute of Nursing Research National Institutes of Health</t>
  </si>
  <si>
    <t>https://openalex.org/funders/f4320306650 || https://openalex.org/funders/f4320337353 || https://openalex.org/funders/f4320322735 || https://openalex.org/funders/f4320320300</t>
  </si>
  <si>
    <t>Department of Chemical and Process Engineering, University of Surrey; Department of Chemical &amp; Process Engineering; Department of Chemical and Process Engineering; CPE || Engineering and Physical Sciences Research Council; EPSRC</t>
  </si>
  <si>
    <t>https://openalex.org/funders/f4320336849 || https://openalex.org/funders/f4320334627</t>
  </si>
  <si>
    <t>University Grants Committee; The University Grants Committee; 學教育資助委員會; UGC || Biomedical Laboratory Research and Development, VA Office of Research and Development; VA Biomedical Laboratory Research and Development; BLR&amp;D, ORD; Biomedical Laboratory Research and Development Service of the VA Office of Research and Development</t>
  </si>
  <si>
    <t>https://openalex.org/funders/f4320321019 || https://openalex.org/funders/f4320309842</t>
  </si>
  <si>
    <t>https://openalex.org/funders/f4320320300 || https://openalex.org/funders/f4320334779</t>
  </si>
  <si>
    <t>Research to Prevent Blindness; Research to Prevent Blindness, Inc; Research To Prevent Blindness, Inc.; RESEARCH TO PREVENT BLINDNESS INC; RPB</t>
  </si>
  <si>
    <t>https://openalex.org/funders/f4320306811</t>
  </si>
  <si>
    <t>https://openalex.org/funders/f4320317924 || https://openalex.org/funders/f4320306230 || https://openalex.org/funders/f4320332161</t>
  </si>
  <si>
    <t>https://openalex.org/funders/f4320336024 || https://openalex.org/funders/f4320325627 || https://openalex.org/funders/f4320336350 || https://openalex.org/funders/f4320335777 || https://openalex.org/funders/f4320321543</t>
  </si>
  <si>
    <t>https://openalex.org/funders/f4320321001 || https://openalex.org/funders/f4320327014 || https://openalex.org/funders/f4320327518</t>
  </si>
  <si>
    <t>University of Akron; UA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</si>
</sst>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sz val="11.0"/>
      <color rgb="FF0A0A0A"/>
      <name val="Monospace"/>
    </font>
    <font>
      <u/>
      <color rgb="FF0000FF"/>
    </font>
    <font>
      <color theme="1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FFEBEB"/>
        <bgColor rgb="FFFFEBEB"/>
      </patternFill>
    </fill>
    <fill>
      <patternFill patternType="solid">
        <fgColor rgb="FFFFF2CC"/>
        <bgColor rgb="FFFFF2CC"/>
      </patternFill>
    </fill>
    <fill>
      <patternFill patternType="solid">
        <fgColor rgb="FFECF4FC"/>
        <bgColor rgb="FFECF4FC"/>
      </patternFill>
    </fill>
    <fill>
      <patternFill patternType="solid">
        <fgColor rgb="FFF3F5F6"/>
        <bgColor rgb="FFF3F5F6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2" fontId="2" numFmtId="0" xfId="0" applyAlignment="1" applyFill="1" applyFont="1">
      <alignment readingOrder="0" shrinkToFit="0" wrapText="0"/>
    </xf>
    <xf borderId="0" fillId="3" fontId="3" numFmtId="0" xfId="0" applyAlignment="1" applyFill="1" applyFont="1">
      <alignment readingOrder="0" vertical="bottom"/>
    </xf>
    <xf borderId="0" fillId="4" fontId="3" numFmtId="0" xfId="0" applyAlignment="1" applyFill="1" applyFont="1">
      <alignment readingOrder="0" vertical="bottom"/>
    </xf>
    <xf borderId="0" fillId="5" fontId="4" numFmtId="0" xfId="0" applyFill="1" applyFont="1"/>
    <xf borderId="0" fillId="0" fontId="5" numFmtId="0" xfId="0" applyAlignment="1" applyFont="1">
      <alignment readingOrder="0"/>
    </xf>
    <xf borderId="0" fillId="2" fontId="1" numFmtId="0" xfId="0" applyAlignment="1" applyFont="1">
      <alignment readingOrder="0" shrinkToFit="0" wrapText="0"/>
    </xf>
    <xf borderId="0" fillId="3" fontId="6" numFmtId="0" xfId="0" applyAlignment="1" applyFont="1">
      <alignment vertical="bottom"/>
    </xf>
    <xf borderId="0" fillId="4" fontId="6" numFmtId="0" xfId="0" applyAlignment="1" applyFont="1">
      <alignment horizontal="right" vertical="bottom"/>
    </xf>
    <xf borderId="0" fillId="4" fontId="3" numFmtId="0" xfId="0" applyAlignment="1" applyFont="1">
      <alignment vertical="bottom"/>
    </xf>
    <xf borderId="0" fillId="4" fontId="6" numFmtId="0" xfId="0" applyAlignment="1" applyFont="1">
      <alignment vertical="bottom"/>
    </xf>
    <xf borderId="0" fillId="0" fontId="1" numFmtId="0" xfId="0" applyAlignment="1" applyFont="1">
      <alignment readingOrder="0" shrinkToFit="0" wrapText="1"/>
    </xf>
    <xf borderId="0" fillId="3" fontId="6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2" fontId="1" numFmtId="0" xfId="0" applyAlignment="1" applyFont="1">
      <alignment shrinkToFit="0" wrapText="0"/>
    </xf>
    <xf borderId="0" fillId="0" fontId="6" numFmtId="0" xfId="0" applyAlignment="1" applyFont="1">
      <alignment vertical="bottom"/>
    </xf>
    <xf borderId="0" fillId="4" fontId="6" numFmtId="0" xfId="0" applyAlignment="1" applyFont="1">
      <alignment horizontal="center" vertical="bottom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bottom" wrapText="1"/>
    </xf>
    <xf borderId="0" fillId="2" fontId="3" numFmtId="0" xfId="0" applyAlignment="1" applyFont="1">
      <alignment shrinkToFit="0" vertical="bottom" wrapText="0"/>
    </xf>
    <xf borderId="0" fillId="3" fontId="1" numFmtId="0" xfId="0" applyAlignment="1" applyFont="1">
      <alignment readingOrder="0"/>
    </xf>
    <xf borderId="0" fillId="0" fontId="6" numFmtId="0" xfId="0" applyAlignment="1" applyFont="1">
      <alignment shrinkToFit="0" vertical="bottom" wrapText="1"/>
    </xf>
    <xf borderId="0" fillId="2" fontId="6" numFmtId="0" xfId="0" applyAlignment="1" applyFont="1">
      <alignment horizontal="right" shrinkToFit="0" vertical="bottom" wrapText="0"/>
    </xf>
    <xf borderId="0" fillId="2" fontId="6" numFmtId="0" xfId="0" applyAlignment="1" applyFont="1">
      <alignment horizontal="right" shrinkToFit="0" vertical="bottom" wrapText="0"/>
    </xf>
    <xf borderId="0" fillId="2" fontId="6" numFmtId="0" xfId="0" applyAlignment="1" applyFont="1">
      <alignment horizontal="right" readingOrder="0" shrinkToFit="0" vertical="bottom" wrapText="0"/>
    </xf>
    <xf borderId="0" fillId="3" fontId="1" numFmtId="0" xfId="0" applyFont="1"/>
    <xf borderId="0" fillId="2" fontId="6" numFmtId="0" xfId="0" applyAlignment="1" applyFont="1">
      <alignment horizontal="center" shrinkToFit="0" vertical="bottom" wrapText="0"/>
    </xf>
    <xf borderId="0" fillId="2" fontId="6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0"/>
    </xf>
    <xf borderId="0" fillId="4" fontId="2" numFmtId="0" xfId="0" applyAlignment="1" applyFont="1">
      <alignment readingOrder="0" shrinkToFit="0" wrapText="1"/>
    </xf>
    <xf borderId="0" fillId="4" fontId="2" numFmtId="0" xfId="0" applyAlignment="1" applyFont="1">
      <alignment readingOrder="0" shrinkToFit="0" wrapText="0"/>
    </xf>
    <xf borderId="0" fillId="4" fontId="2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8" numFmtId="0" xfId="0" applyAlignment="1" applyFont="1">
      <alignment readingOrder="0" shrinkToFit="0" wrapText="0"/>
    </xf>
    <xf borderId="0" fillId="4" fontId="1" numFmtId="0" xfId="0" applyAlignment="1" applyFont="1">
      <alignment readingOrder="0" shrinkToFit="0" wrapText="1"/>
    </xf>
    <xf borderId="0" fillId="4" fontId="9" numFmtId="0" xfId="0" applyAlignment="1" applyFont="1">
      <alignment readingOrder="0" shrinkToFit="0" wrapText="0"/>
    </xf>
    <xf borderId="0" fillId="4" fontId="1" numFmtId="0" xfId="0" applyAlignment="1" applyFont="1">
      <alignment readingOrder="0" shrinkToFit="0" wrapText="0"/>
    </xf>
    <xf borderId="0" fillId="4" fontId="1" numFmtId="0" xfId="0" applyAlignment="1" applyFont="1">
      <alignment readingOrder="0"/>
    </xf>
    <xf borderId="0" fillId="4" fontId="1" numFmtId="0" xfId="0" applyFont="1"/>
    <xf borderId="0" fillId="4" fontId="1" numFmtId="0" xfId="0" applyAlignment="1" applyFont="1">
      <alignment readingOrder="0" shrinkToFit="0" wrapText="1"/>
    </xf>
    <xf borderId="0" fillId="4" fontId="10" numFmtId="0" xfId="0" applyAlignment="1" applyFont="1">
      <alignment readingOrder="0" shrinkToFit="0" wrapText="0"/>
    </xf>
    <xf borderId="0" fillId="4" fontId="6" numFmtId="0" xfId="0" applyAlignment="1" applyFont="1">
      <alignment horizontal="right" shrinkToFit="0" vertical="bottom" wrapText="0"/>
    </xf>
    <xf borderId="0" fillId="4" fontId="6" numFmtId="0" xfId="0" applyAlignment="1" applyFont="1">
      <alignment horizontal="right" shrinkToFit="0" vertical="bottom" wrapText="0"/>
    </xf>
    <xf borderId="0" fillId="6" fontId="1" numFmtId="0" xfId="0" applyAlignment="1" applyFill="1" applyFont="1">
      <alignment readingOrder="0" shrinkToFit="0" wrapText="0"/>
    </xf>
    <xf borderId="0" fillId="6" fontId="11" numFmtId="0" xfId="0" applyAlignment="1" applyFont="1">
      <alignment readingOrder="0" shrinkToFit="0" wrapText="0"/>
    </xf>
    <xf borderId="0" fillId="4" fontId="1" numFmtId="0" xfId="0" applyAlignment="1" applyFont="1">
      <alignment shrinkToFit="0" wrapText="0"/>
    </xf>
    <xf borderId="0" fillId="0" fontId="12" numFmtId="0" xfId="0" applyAlignment="1" applyFont="1">
      <alignment readingOrder="0" shrinkToFit="0" wrapText="0"/>
    </xf>
    <xf quotePrefix="1"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4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oi.org/10.1093/jjco/hyq084" TargetMode="External"/><Relationship Id="rId194" Type="http://schemas.openxmlformats.org/officeDocument/2006/relationships/hyperlink" Target="https://doi.org/10.1002/esp.4964" TargetMode="External"/><Relationship Id="rId193" Type="http://schemas.openxmlformats.org/officeDocument/2006/relationships/hyperlink" Target="https://doi.org/10.1137/120870554" TargetMode="External"/><Relationship Id="rId192" Type="http://schemas.openxmlformats.org/officeDocument/2006/relationships/hyperlink" Target="https://doi.org/10.1016/j.jcp.2015.12.006" TargetMode="External"/><Relationship Id="rId191" Type="http://schemas.openxmlformats.org/officeDocument/2006/relationships/hyperlink" Target="https://doi.org/10.3389/fchem.2016.00049" TargetMode="External"/><Relationship Id="rId187" Type="http://schemas.openxmlformats.org/officeDocument/2006/relationships/hyperlink" Target="https://doi.org/10.1039/d1sc03774a" TargetMode="External"/><Relationship Id="rId186" Type="http://schemas.openxmlformats.org/officeDocument/2006/relationships/hyperlink" Target="https://doi.org/10.1016/j.neures.2014.02.004" TargetMode="External"/><Relationship Id="rId185" Type="http://schemas.openxmlformats.org/officeDocument/2006/relationships/hyperlink" Target="https://openalex.org/funders/f4320335777" TargetMode="External"/><Relationship Id="rId184" Type="http://schemas.openxmlformats.org/officeDocument/2006/relationships/hyperlink" Target="https://doi.org/10.1016/j.jid.2018.08.013" TargetMode="External"/><Relationship Id="rId189" Type="http://schemas.openxmlformats.org/officeDocument/2006/relationships/hyperlink" Target="https://openalex.org/funders/f4320321732" TargetMode="External"/><Relationship Id="rId188" Type="http://schemas.openxmlformats.org/officeDocument/2006/relationships/hyperlink" Target="https://doi.org/10.1111/jfd.12290" TargetMode="External"/><Relationship Id="rId183" Type="http://schemas.openxmlformats.org/officeDocument/2006/relationships/hyperlink" Target="https://openalex.org/funders/f4320320912" TargetMode="External"/><Relationship Id="rId182" Type="http://schemas.openxmlformats.org/officeDocument/2006/relationships/hyperlink" Target="https://doi.org/10.1016/j.apacoust.2009.10.007" TargetMode="External"/><Relationship Id="rId181" Type="http://schemas.openxmlformats.org/officeDocument/2006/relationships/hyperlink" Target="https://doi.org/10.1155/2020/3484568" TargetMode="External"/><Relationship Id="rId180" Type="http://schemas.openxmlformats.org/officeDocument/2006/relationships/hyperlink" Target="https://doi.org/10.1016/j.tibs.2017.01.004" TargetMode="External"/><Relationship Id="rId176" Type="http://schemas.openxmlformats.org/officeDocument/2006/relationships/hyperlink" Target="https://doi.org/10.1021/acs.est.2c00309" TargetMode="External"/><Relationship Id="rId175" Type="http://schemas.openxmlformats.org/officeDocument/2006/relationships/hyperlink" Target="https://openalex.org/funders/f4320338073" TargetMode="External"/><Relationship Id="rId174" Type="http://schemas.openxmlformats.org/officeDocument/2006/relationships/hyperlink" Target="https://doi.org/10.1016/j.patcog.2014.12.006" TargetMode="External"/><Relationship Id="rId173" Type="http://schemas.openxmlformats.org/officeDocument/2006/relationships/hyperlink" Target="https://openalex.org/funders/f4320321722" TargetMode="External"/><Relationship Id="rId179" Type="http://schemas.openxmlformats.org/officeDocument/2006/relationships/hyperlink" Target="https://doi.org/10.1186/2040-2392-5-27" TargetMode="External"/><Relationship Id="rId178" Type="http://schemas.openxmlformats.org/officeDocument/2006/relationships/hyperlink" Target="https://doi.org/10.3390/antibiotics11111572" TargetMode="External"/><Relationship Id="rId177" Type="http://schemas.openxmlformats.org/officeDocument/2006/relationships/hyperlink" Target="https://openalex.org/funders/f4320322928" TargetMode="External"/><Relationship Id="rId198" Type="http://schemas.openxmlformats.org/officeDocument/2006/relationships/hyperlink" Target="https://doi.org/10.1016/j.jhazmat.2008.07.003" TargetMode="External"/><Relationship Id="rId197" Type="http://schemas.openxmlformats.org/officeDocument/2006/relationships/hyperlink" Target="https://openalex.org/funders/f4320323421" TargetMode="External"/><Relationship Id="rId196" Type="http://schemas.openxmlformats.org/officeDocument/2006/relationships/hyperlink" Target="https://doi.org/10.1068/b39039" TargetMode="External"/><Relationship Id="rId195" Type="http://schemas.openxmlformats.org/officeDocument/2006/relationships/hyperlink" Target="https://openalex.org/funders/f4320320212" TargetMode="External"/><Relationship Id="rId199" Type="http://schemas.openxmlformats.org/officeDocument/2006/relationships/hyperlink" Target="https://doi.org/10.1016/j.femsyr.2005.06.001" TargetMode="External"/><Relationship Id="rId150" Type="http://schemas.openxmlformats.org/officeDocument/2006/relationships/hyperlink" Target="https://doi.org/10.1016/j.ijepes.2017.05.001" TargetMode="External"/><Relationship Id="rId392" Type="http://schemas.openxmlformats.org/officeDocument/2006/relationships/hyperlink" Target="https://openalex.org/funders/f4320321079" TargetMode="External"/><Relationship Id="rId391" Type="http://schemas.openxmlformats.org/officeDocument/2006/relationships/hyperlink" Target="https://doi.org/10.1134/S1062360421060047" TargetMode="External"/><Relationship Id="rId390" Type="http://schemas.openxmlformats.org/officeDocument/2006/relationships/hyperlink" Target="https://openalex.org/funders/f4320334789" TargetMode="External"/><Relationship Id="rId1" Type="http://schemas.openxmlformats.org/officeDocument/2006/relationships/hyperlink" Target="https://doi.org/10.1155/2021/9990439" TargetMode="External"/><Relationship Id="rId2" Type="http://schemas.openxmlformats.org/officeDocument/2006/relationships/hyperlink" Target="https://openalex.org/funders/f4320327702" TargetMode="External"/><Relationship Id="rId3" Type="http://schemas.openxmlformats.org/officeDocument/2006/relationships/hyperlink" Target="https://doi.org/10.1037/0022-006X.75.5.823" TargetMode="External"/><Relationship Id="rId149" Type="http://schemas.openxmlformats.org/officeDocument/2006/relationships/hyperlink" Target="https://doi.org/10.1016/j.combustflame.2014.09.022" TargetMode="External"/><Relationship Id="rId4" Type="http://schemas.openxmlformats.org/officeDocument/2006/relationships/hyperlink" Target="https://doi.org/10.1016/j.jvir.2008.10.030" TargetMode="External"/><Relationship Id="rId148" Type="http://schemas.openxmlformats.org/officeDocument/2006/relationships/hyperlink" Target="https://doi.org/10.1016/j.chom.2021.08.001" TargetMode="External"/><Relationship Id="rId1090" Type="http://schemas.openxmlformats.org/officeDocument/2006/relationships/hyperlink" Target="https://openalex.org/funders/f4320318614" TargetMode="External"/><Relationship Id="rId1091" Type="http://schemas.openxmlformats.org/officeDocument/2006/relationships/hyperlink" Target="https://doi.org/10.1134/S0031918X15040080" TargetMode="External"/><Relationship Id="rId1092" Type="http://schemas.openxmlformats.org/officeDocument/2006/relationships/hyperlink" Target="https://openalex.org/funders/f4320321079" TargetMode="External"/><Relationship Id="rId1093" Type="http://schemas.openxmlformats.org/officeDocument/2006/relationships/hyperlink" Target="https://doi.org/10.1016/j.msea.2016.07.085" TargetMode="External"/><Relationship Id="rId1094" Type="http://schemas.openxmlformats.org/officeDocument/2006/relationships/hyperlink" Target="https://doi.org/10.1186/1471-2334-13-48" TargetMode="External"/><Relationship Id="rId9" Type="http://schemas.openxmlformats.org/officeDocument/2006/relationships/hyperlink" Target="https://openalex.org/institutions/i4210095069" TargetMode="External"/><Relationship Id="rId143" Type="http://schemas.openxmlformats.org/officeDocument/2006/relationships/hyperlink" Target="https://openalex.org/funders/f4320336052" TargetMode="External"/><Relationship Id="rId385" Type="http://schemas.openxmlformats.org/officeDocument/2006/relationships/hyperlink" Target="https://openalex.org/funders/f4320321131" TargetMode="External"/><Relationship Id="rId1095" Type="http://schemas.openxmlformats.org/officeDocument/2006/relationships/hyperlink" Target="https://doi.org/10.1002/joc.4599" TargetMode="External"/><Relationship Id="rId142" Type="http://schemas.openxmlformats.org/officeDocument/2006/relationships/hyperlink" Target="https://doi.org/10.1002/mop.24748" TargetMode="External"/><Relationship Id="rId384" Type="http://schemas.openxmlformats.org/officeDocument/2006/relationships/hyperlink" Target="https://doi.org/10.1186/s13071-020-04509-0" TargetMode="External"/><Relationship Id="rId1096" Type="http://schemas.openxmlformats.org/officeDocument/2006/relationships/hyperlink" Target="https://doi.org/10.1038/NMAT3150" TargetMode="External"/><Relationship Id="rId141" Type="http://schemas.openxmlformats.org/officeDocument/2006/relationships/hyperlink" Target="https://openalex.org/funders/f4320335869" TargetMode="External"/><Relationship Id="rId383" Type="http://schemas.openxmlformats.org/officeDocument/2006/relationships/hyperlink" Target="https://doi.org/10.1002/qj.2603" TargetMode="External"/><Relationship Id="rId1097" Type="http://schemas.openxmlformats.org/officeDocument/2006/relationships/hyperlink" Target="https://doi.org/10.1016/j.envsoft.2020.104886" TargetMode="External"/><Relationship Id="rId140" Type="http://schemas.openxmlformats.org/officeDocument/2006/relationships/hyperlink" Target="https://doi.org/10.1080/10357823.2022.2111547" TargetMode="External"/><Relationship Id="rId382" Type="http://schemas.openxmlformats.org/officeDocument/2006/relationships/hyperlink" Target="https://openalex.org/funders/f4320324279" TargetMode="External"/><Relationship Id="rId1098" Type="http://schemas.openxmlformats.org/officeDocument/2006/relationships/hyperlink" Target="https://doi.org/10.1016/j.urolonc.2013.09.012" TargetMode="External"/><Relationship Id="rId5" Type="http://schemas.openxmlformats.org/officeDocument/2006/relationships/hyperlink" Target="https://doi.org/10.3390/catal10070775" TargetMode="External"/><Relationship Id="rId147" Type="http://schemas.openxmlformats.org/officeDocument/2006/relationships/hyperlink" Target="https://openalex.org/funders/f4320322120" TargetMode="External"/><Relationship Id="rId389" Type="http://schemas.openxmlformats.org/officeDocument/2006/relationships/hyperlink" Target="https://doi.org/10.1295/polymj.PJ2009143" TargetMode="External"/><Relationship Id="rId1099" Type="http://schemas.openxmlformats.org/officeDocument/2006/relationships/hyperlink" Target="https://openalex.org/funders/f4320337357" TargetMode="External"/><Relationship Id="rId6" Type="http://schemas.openxmlformats.org/officeDocument/2006/relationships/hyperlink" Target="https://doi.org/10.1088/1361-6528/ab8b91" TargetMode="External"/><Relationship Id="rId146" Type="http://schemas.openxmlformats.org/officeDocument/2006/relationships/hyperlink" Target="https://doi.org/10.3938/jkps.61.1994" TargetMode="External"/><Relationship Id="rId388" Type="http://schemas.openxmlformats.org/officeDocument/2006/relationships/hyperlink" Target="https://openalex.org/funders/f4320306076" TargetMode="External"/><Relationship Id="rId7" Type="http://schemas.openxmlformats.org/officeDocument/2006/relationships/hyperlink" Target="https://openalex.org/funders/f4320335777" TargetMode="External"/><Relationship Id="rId145" Type="http://schemas.openxmlformats.org/officeDocument/2006/relationships/hyperlink" Target="https://doi.org/10.1016/j.geoderma.2022.116026" TargetMode="External"/><Relationship Id="rId387" Type="http://schemas.openxmlformats.org/officeDocument/2006/relationships/hyperlink" Target="https://doi.org/10.1007/978-3-031-08679-3_5" TargetMode="External"/><Relationship Id="rId8" Type="http://schemas.openxmlformats.org/officeDocument/2006/relationships/hyperlink" Target="https://doi.org/10.1007/s11548-021-02401-5" TargetMode="External"/><Relationship Id="rId144" Type="http://schemas.openxmlformats.org/officeDocument/2006/relationships/hyperlink" Target="https://doi.org/10.1021/acs.orglett.2c00519" TargetMode="External"/><Relationship Id="rId386" Type="http://schemas.openxmlformats.org/officeDocument/2006/relationships/hyperlink" Target="https://doi.org/10.1073/pnas.0901194106" TargetMode="External"/><Relationship Id="rId381" Type="http://schemas.openxmlformats.org/officeDocument/2006/relationships/hyperlink" Target="https://doi.org/10.1016/j.jhazmat.2010.11.101" TargetMode="External"/><Relationship Id="rId380" Type="http://schemas.openxmlformats.org/officeDocument/2006/relationships/hyperlink" Target="https://openalex.org/funders/f4320334593" TargetMode="External"/><Relationship Id="rId139" Type="http://schemas.openxmlformats.org/officeDocument/2006/relationships/hyperlink" Target="https://doi.org/10.1016/j.astropartphys.2009.05.002" TargetMode="External"/><Relationship Id="rId138" Type="http://schemas.openxmlformats.org/officeDocument/2006/relationships/hyperlink" Target="https://openalex.org/funders/f4320323612" TargetMode="External"/><Relationship Id="rId137" Type="http://schemas.openxmlformats.org/officeDocument/2006/relationships/hyperlink" Target="https://doi.org/10.1136/bmjopen-2019-032351" TargetMode="External"/><Relationship Id="rId379" Type="http://schemas.openxmlformats.org/officeDocument/2006/relationships/hyperlink" Target="https://doi.org/10.1186/s12874-020-0899-1" TargetMode="External"/><Relationship Id="rId1080" Type="http://schemas.openxmlformats.org/officeDocument/2006/relationships/hyperlink" Target="https://openalex.org/funders/f4320310753" TargetMode="External"/><Relationship Id="rId1081" Type="http://schemas.openxmlformats.org/officeDocument/2006/relationships/hyperlink" Target="https://doi.org/10.1007/s13344-019-0023-7" TargetMode="External"/><Relationship Id="rId1082" Type="http://schemas.openxmlformats.org/officeDocument/2006/relationships/hyperlink" Target="https://doi.org/10.1007/s11029-018-9729-5" TargetMode="External"/><Relationship Id="rId1083" Type="http://schemas.openxmlformats.org/officeDocument/2006/relationships/hyperlink" Target="https://doi.org/10.14411/fp.2018.014" TargetMode="External"/><Relationship Id="rId132" Type="http://schemas.openxmlformats.org/officeDocument/2006/relationships/hyperlink" Target="https://doi.org/10.1007/978-3-642-38524-7_17" TargetMode="External"/><Relationship Id="rId374" Type="http://schemas.openxmlformats.org/officeDocument/2006/relationships/hyperlink" Target="https://doi.org/10.1007/s10967-011-1158-z" TargetMode="External"/><Relationship Id="rId1084" Type="http://schemas.openxmlformats.org/officeDocument/2006/relationships/hyperlink" Target="https://doi.org/10.1007/s11661-018-4975-7" TargetMode="External"/><Relationship Id="rId131" Type="http://schemas.openxmlformats.org/officeDocument/2006/relationships/hyperlink" Target="https://openalex.org/funders/f4320323380" TargetMode="External"/><Relationship Id="rId373" Type="http://schemas.openxmlformats.org/officeDocument/2006/relationships/hyperlink" Target="https://doi.org/10.1007/s10236-018-1170-8" TargetMode="External"/><Relationship Id="rId1085" Type="http://schemas.openxmlformats.org/officeDocument/2006/relationships/hyperlink" Target="https://doi.org/10.1161/CIRCRESAHA.109.194191" TargetMode="External"/><Relationship Id="rId130" Type="http://schemas.openxmlformats.org/officeDocument/2006/relationships/hyperlink" Target="https://doi.org/10.1016/j.polymdegradstab.2014.02.016" TargetMode="External"/><Relationship Id="rId372" Type="http://schemas.openxmlformats.org/officeDocument/2006/relationships/hyperlink" Target="https://openalex.org/funders/f4320321001" TargetMode="External"/><Relationship Id="rId1086" Type="http://schemas.openxmlformats.org/officeDocument/2006/relationships/hyperlink" Target="https://openalex.org/funders/f4320337338" TargetMode="External"/><Relationship Id="rId371" Type="http://schemas.openxmlformats.org/officeDocument/2006/relationships/hyperlink" Target="https://doi.org/10.1016/j.atherosclerosis.2018.08.031" TargetMode="External"/><Relationship Id="rId1087" Type="http://schemas.openxmlformats.org/officeDocument/2006/relationships/hyperlink" Target="https://doi.org/10.1111/j.1745-7254.2008.00893.x" TargetMode="External"/><Relationship Id="rId136" Type="http://schemas.openxmlformats.org/officeDocument/2006/relationships/hyperlink" Target="https://doi.org/10.1021/ja201841p" TargetMode="External"/><Relationship Id="rId378" Type="http://schemas.openxmlformats.org/officeDocument/2006/relationships/hyperlink" Target="https://doi.org/10.1016/j.amjsurg.2017.03.024" TargetMode="External"/><Relationship Id="rId1088" Type="http://schemas.openxmlformats.org/officeDocument/2006/relationships/hyperlink" Target="https://doi.org/10.1055/s-0031-1298592" TargetMode="External"/><Relationship Id="rId135" Type="http://schemas.openxmlformats.org/officeDocument/2006/relationships/hyperlink" Target="https://openalex.org/funders/f4320310371" TargetMode="External"/><Relationship Id="rId377" Type="http://schemas.openxmlformats.org/officeDocument/2006/relationships/hyperlink" Target="https://openalex.org/funders/f4320337338" TargetMode="External"/><Relationship Id="rId1089" Type="http://schemas.openxmlformats.org/officeDocument/2006/relationships/hyperlink" Target="https://doi.org/10.1016/j.renene.2022.07.154" TargetMode="External"/><Relationship Id="rId134" Type="http://schemas.openxmlformats.org/officeDocument/2006/relationships/hyperlink" Target="https://doi.org/10.1080/08164649.2015.1046305" TargetMode="External"/><Relationship Id="rId376" Type="http://schemas.openxmlformats.org/officeDocument/2006/relationships/hyperlink" Target="https://doi.org/10.1093/pan/mpp032" TargetMode="External"/><Relationship Id="rId133" Type="http://schemas.openxmlformats.org/officeDocument/2006/relationships/hyperlink" Target="https://doi.org/10.1021/ja3010896" TargetMode="External"/><Relationship Id="rId375" Type="http://schemas.openxmlformats.org/officeDocument/2006/relationships/hyperlink" Target="https://openalex.org/funders/f4320320767" TargetMode="External"/><Relationship Id="rId172" Type="http://schemas.openxmlformats.org/officeDocument/2006/relationships/hyperlink" Target="https://doi.org/10.1039/c4ra06913g" TargetMode="External"/><Relationship Id="rId171" Type="http://schemas.openxmlformats.org/officeDocument/2006/relationships/hyperlink" Target="https://openalex.org/funders/f4320337346" TargetMode="External"/><Relationship Id="rId170" Type="http://schemas.openxmlformats.org/officeDocument/2006/relationships/hyperlink" Target="https://doi.org/10.1016/j.brainres.2006.10.054" TargetMode="External"/><Relationship Id="rId165" Type="http://schemas.openxmlformats.org/officeDocument/2006/relationships/hyperlink" Target="https://doi.org/10.21638/11701/spbu02.2019.213" TargetMode="External"/><Relationship Id="rId164" Type="http://schemas.openxmlformats.org/officeDocument/2006/relationships/hyperlink" Target="https://openalex.org/funders/f4320323834" TargetMode="External"/><Relationship Id="rId163" Type="http://schemas.openxmlformats.org/officeDocument/2006/relationships/hyperlink" Target="https://doi.org/10.3390/su14074324" TargetMode="External"/><Relationship Id="rId162" Type="http://schemas.openxmlformats.org/officeDocument/2006/relationships/hyperlink" Target="https://doi.org/10.1523/JNEUROSCI.3116-12.2012" TargetMode="External"/><Relationship Id="rId169" Type="http://schemas.openxmlformats.org/officeDocument/2006/relationships/hyperlink" Target="https://doi.org/10.1021/acs.jproteome.1c00331" TargetMode="External"/><Relationship Id="rId168" Type="http://schemas.openxmlformats.org/officeDocument/2006/relationships/hyperlink" Target="https://doi.org/10.1038/ncomms4441" TargetMode="External"/><Relationship Id="rId167" Type="http://schemas.openxmlformats.org/officeDocument/2006/relationships/hyperlink" Target="https://doi.org/10.1111/aje.12084" TargetMode="External"/><Relationship Id="rId166" Type="http://schemas.openxmlformats.org/officeDocument/2006/relationships/hyperlink" Target="https://openalex.org/funders/f4320321090" TargetMode="External"/><Relationship Id="rId161" Type="http://schemas.openxmlformats.org/officeDocument/2006/relationships/hyperlink" Target="https://doi.org/10.1186/1476-4598-13-207" TargetMode="External"/><Relationship Id="rId160" Type="http://schemas.openxmlformats.org/officeDocument/2006/relationships/hyperlink" Target="https://openalex.org/funders/f4320306076" TargetMode="External"/><Relationship Id="rId159" Type="http://schemas.openxmlformats.org/officeDocument/2006/relationships/hyperlink" Target="https://doi.org/10.1039/c2lc21012f" TargetMode="External"/><Relationship Id="rId154" Type="http://schemas.openxmlformats.org/officeDocument/2006/relationships/hyperlink" Target="https://doi.org/10.1063/1.4823852" TargetMode="External"/><Relationship Id="rId396" Type="http://schemas.openxmlformats.org/officeDocument/2006/relationships/hyperlink" Target="https://openalex.org/institutions/i2803020280" TargetMode="External"/><Relationship Id="rId153" Type="http://schemas.openxmlformats.org/officeDocument/2006/relationships/hyperlink" Target="https://openalex.org/funders/f4320322983" TargetMode="External"/><Relationship Id="rId395" Type="http://schemas.openxmlformats.org/officeDocument/2006/relationships/hyperlink" Target="https://doi.org/10.4103/rcm.rcm_15_20" TargetMode="External"/><Relationship Id="rId152" Type="http://schemas.openxmlformats.org/officeDocument/2006/relationships/hyperlink" Target="https://doi.org/10.1016/j.ijmultiphaseflow.2018.05.027" TargetMode="External"/><Relationship Id="rId394" Type="http://schemas.openxmlformats.org/officeDocument/2006/relationships/hyperlink" Target="https://openalex.org/funders/f4320321018" TargetMode="External"/><Relationship Id="rId151" Type="http://schemas.openxmlformats.org/officeDocument/2006/relationships/hyperlink" Target="https://openalex.org/funders/f4320333065" TargetMode="External"/><Relationship Id="rId393" Type="http://schemas.openxmlformats.org/officeDocument/2006/relationships/hyperlink" Target="https://doi.org/10.1007/s00787-009-0079-7" TargetMode="External"/><Relationship Id="rId158" Type="http://schemas.openxmlformats.org/officeDocument/2006/relationships/hyperlink" Target="https://openalex.org/funders/f4320334678" TargetMode="External"/><Relationship Id="rId157" Type="http://schemas.openxmlformats.org/officeDocument/2006/relationships/hyperlink" Target="https://doi.org/10.1002/stem.2529" TargetMode="External"/><Relationship Id="rId399" Type="http://schemas.openxmlformats.org/officeDocument/2006/relationships/hyperlink" Target="https://doi.org/10.1016/j.foreco.2017.06.063" TargetMode="External"/><Relationship Id="rId156" Type="http://schemas.openxmlformats.org/officeDocument/2006/relationships/hyperlink" Target="https://openalex.org/funders/f4320334627" TargetMode="External"/><Relationship Id="rId398" Type="http://schemas.openxmlformats.org/officeDocument/2006/relationships/hyperlink" Target="https://doi.org/10.1007/s10714-014-1764-5" TargetMode="External"/><Relationship Id="rId155" Type="http://schemas.openxmlformats.org/officeDocument/2006/relationships/hyperlink" Target="https://doi.org/10.1098/rspa.2008.0489" TargetMode="External"/><Relationship Id="rId397" Type="http://schemas.openxmlformats.org/officeDocument/2006/relationships/hyperlink" Target="https://doi.org/10.3390/met11050844" TargetMode="External"/><Relationship Id="rId808" Type="http://schemas.openxmlformats.org/officeDocument/2006/relationships/hyperlink" Target="https://doi.org/10.1063/1.5091477" TargetMode="External"/><Relationship Id="rId807" Type="http://schemas.openxmlformats.org/officeDocument/2006/relationships/hyperlink" Target="https://doi.org/10.1109/ICDCS.2019.00059" TargetMode="External"/><Relationship Id="rId806" Type="http://schemas.openxmlformats.org/officeDocument/2006/relationships/hyperlink" Target="https://openalex.org/funders/f4320326089" TargetMode="External"/><Relationship Id="rId805" Type="http://schemas.openxmlformats.org/officeDocument/2006/relationships/hyperlink" Target="https://doi.org/10.1016/j.fluid.2010.07.012" TargetMode="External"/><Relationship Id="rId809" Type="http://schemas.openxmlformats.org/officeDocument/2006/relationships/hyperlink" Target="https://doi.org/10.1172/jci.insight.93688" TargetMode="External"/><Relationship Id="rId800" Type="http://schemas.openxmlformats.org/officeDocument/2006/relationships/hyperlink" Target="https://doi.org/10.1016/j.biortech.2016.10.080" TargetMode="External"/><Relationship Id="rId804" Type="http://schemas.openxmlformats.org/officeDocument/2006/relationships/hyperlink" Target="https://doi.org/10.1063/1.4944081" TargetMode="External"/><Relationship Id="rId803" Type="http://schemas.openxmlformats.org/officeDocument/2006/relationships/hyperlink" Target="https://doi.org/10.1016/j.snb.2010.10.010" TargetMode="External"/><Relationship Id="rId802" Type="http://schemas.openxmlformats.org/officeDocument/2006/relationships/hyperlink" Target="https://openalex.org/funders/f4320337362" TargetMode="External"/><Relationship Id="rId801" Type="http://schemas.openxmlformats.org/officeDocument/2006/relationships/hyperlink" Target="https://doi.org/10.1016/j.jneuroim.2005.01.014" TargetMode="External"/><Relationship Id="rId40" Type="http://schemas.openxmlformats.org/officeDocument/2006/relationships/hyperlink" Target="https://doi.org/10.1016/j.jad.2010.02.107" TargetMode="External"/><Relationship Id="rId1334" Type="http://schemas.openxmlformats.org/officeDocument/2006/relationships/hyperlink" Target="https://openalex.org/funders/f4320309617" TargetMode="External"/><Relationship Id="rId1335" Type="http://schemas.openxmlformats.org/officeDocument/2006/relationships/hyperlink" Target="https://doi.org/10.1016/S2214-109X(19)30309-2" TargetMode="External"/><Relationship Id="rId42" Type="http://schemas.openxmlformats.org/officeDocument/2006/relationships/hyperlink" Target="https://openalex.org/funders/f4320321001" TargetMode="External"/><Relationship Id="rId1336" Type="http://schemas.openxmlformats.org/officeDocument/2006/relationships/hyperlink" Target="https://openalex.org/funders/f4320307856" TargetMode="External"/><Relationship Id="rId41" Type="http://schemas.openxmlformats.org/officeDocument/2006/relationships/hyperlink" Target="https://doi.org/10.1016/j.seppur.2008.10.005" TargetMode="External"/><Relationship Id="rId1337" Type="http://schemas.openxmlformats.org/officeDocument/2006/relationships/hyperlink" Target="https://doi.org/10.3390/s22041532" TargetMode="External"/><Relationship Id="rId44" Type="http://schemas.openxmlformats.org/officeDocument/2006/relationships/hyperlink" Target="https://openalex.org/funders/f4320321147" TargetMode="External"/><Relationship Id="rId1338" Type="http://schemas.openxmlformats.org/officeDocument/2006/relationships/hyperlink" Target="https://openalex.org/funders/f4320321001" TargetMode="External"/><Relationship Id="rId43" Type="http://schemas.openxmlformats.org/officeDocument/2006/relationships/hyperlink" Target="https://doi.org/10.17221/128/2009-VETMED" TargetMode="External"/><Relationship Id="rId1339" Type="http://schemas.openxmlformats.org/officeDocument/2006/relationships/hyperlink" Target="https://doi.org/10.1063/1.5119500" TargetMode="External"/><Relationship Id="rId46" Type="http://schemas.openxmlformats.org/officeDocument/2006/relationships/hyperlink" Target="https://openalex.org/funders/f4320318963" TargetMode="External"/><Relationship Id="rId45" Type="http://schemas.openxmlformats.org/officeDocument/2006/relationships/hyperlink" Target="https://doi.org/10.1139/cjas-2018-0036" TargetMode="External"/><Relationship Id="rId509" Type="http://schemas.openxmlformats.org/officeDocument/2006/relationships/hyperlink" Target="https://openalex.org/funders/f4320319990" TargetMode="External"/><Relationship Id="rId508" Type="http://schemas.openxmlformats.org/officeDocument/2006/relationships/hyperlink" Target="https://doi.org/10.1037/a0020473" TargetMode="External"/><Relationship Id="rId503" Type="http://schemas.openxmlformats.org/officeDocument/2006/relationships/hyperlink" Target="https://openalex.org/funders/f4320334627" TargetMode="External"/><Relationship Id="rId745" Type="http://schemas.openxmlformats.org/officeDocument/2006/relationships/hyperlink" Target="https://doi.org/10.1007/s00198-011-1694-y" TargetMode="External"/><Relationship Id="rId987" Type="http://schemas.openxmlformats.org/officeDocument/2006/relationships/hyperlink" Target="https://doi.org/10.1097/QAI.0000000000000640" TargetMode="External"/><Relationship Id="rId502" Type="http://schemas.openxmlformats.org/officeDocument/2006/relationships/hyperlink" Target="https://doi.org/10.1016/j.apenergy.2016.07.081" TargetMode="External"/><Relationship Id="rId744" Type="http://schemas.openxmlformats.org/officeDocument/2006/relationships/hyperlink" Target="https://openalex.org/funders/f4320320879" TargetMode="External"/><Relationship Id="rId986" Type="http://schemas.openxmlformats.org/officeDocument/2006/relationships/hyperlink" Target="https://openalex.org/funders/f4320323016" TargetMode="External"/><Relationship Id="rId501" Type="http://schemas.openxmlformats.org/officeDocument/2006/relationships/hyperlink" Target="https://doi.org/10.37236/9604" TargetMode="External"/><Relationship Id="rId743" Type="http://schemas.openxmlformats.org/officeDocument/2006/relationships/hyperlink" Target="https://doi.org/10.1021/acsbiomaterials.5b00483" TargetMode="External"/><Relationship Id="rId985" Type="http://schemas.openxmlformats.org/officeDocument/2006/relationships/hyperlink" Target="https://doi.org/10.1016/j.ympev.2011.12.008" TargetMode="External"/><Relationship Id="rId500" Type="http://schemas.openxmlformats.org/officeDocument/2006/relationships/hyperlink" Target="https://doi.org/10.1038/srep44405" TargetMode="External"/><Relationship Id="rId742" Type="http://schemas.openxmlformats.org/officeDocument/2006/relationships/hyperlink" Target="https://doi.org/10.1109/TPAMI.2019.2914651" TargetMode="External"/><Relationship Id="rId984" Type="http://schemas.openxmlformats.org/officeDocument/2006/relationships/hyperlink" Target="https://openalex.org/funders/f4320306101" TargetMode="External"/><Relationship Id="rId507" Type="http://schemas.openxmlformats.org/officeDocument/2006/relationships/hyperlink" Target="https://openalex.org/funders/f4320320834" TargetMode="External"/><Relationship Id="rId749" Type="http://schemas.openxmlformats.org/officeDocument/2006/relationships/hyperlink" Target="https://doi.org/10.1109/TNNLS.2013.2262180" TargetMode="External"/><Relationship Id="rId506" Type="http://schemas.openxmlformats.org/officeDocument/2006/relationships/hyperlink" Target="https://doi.org/10.1109/JSEN.2016.2594135" TargetMode="External"/><Relationship Id="rId748" Type="http://schemas.openxmlformats.org/officeDocument/2006/relationships/hyperlink" Target="https://openalex.org/funders/f4320321001" TargetMode="External"/><Relationship Id="rId505" Type="http://schemas.openxmlformats.org/officeDocument/2006/relationships/hyperlink" Target="https://openalex.org/funders/f4320322025" TargetMode="External"/><Relationship Id="rId747" Type="http://schemas.openxmlformats.org/officeDocument/2006/relationships/hyperlink" Target="https://doi.org/10.1142/S0219498822500414" TargetMode="External"/><Relationship Id="rId989" Type="http://schemas.openxmlformats.org/officeDocument/2006/relationships/hyperlink" Target="https://doi.org/10.1186/s13287-020-1564-7" TargetMode="External"/><Relationship Id="rId504" Type="http://schemas.openxmlformats.org/officeDocument/2006/relationships/hyperlink" Target="https://doi.org/10.1016/j.aquaculture.2018.10.031" TargetMode="External"/><Relationship Id="rId746" Type="http://schemas.openxmlformats.org/officeDocument/2006/relationships/hyperlink" Target="https://openalex.org/funders/f4320332605" TargetMode="External"/><Relationship Id="rId988" Type="http://schemas.openxmlformats.org/officeDocument/2006/relationships/hyperlink" Target="https://openalex.org/funders/f4320306115" TargetMode="External"/><Relationship Id="rId48" Type="http://schemas.openxmlformats.org/officeDocument/2006/relationships/hyperlink" Target="https://openalex.org/funders/f4320337362" TargetMode="External"/><Relationship Id="rId47" Type="http://schemas.openxmlformats.org/officeDocument/2006/relationships/hyperlink" Target="https://doi.org/10.1152/ajpcell.00221.2007" TargetMode="External"/><Relationship Id="rId49" Type="http://schemas.openxmlformats.org/officeDocument/2006/relationships/hyperlink" Target="https://doi.org/10.1016/j.compstruct.2018.04.001" TargetMode="External"/><Relationship Id="rId741" Type="http://schemas.openxmlformats.org/officeDocument/2006/relationships/hyperlink" Target="https://doi.org/10.1007/s10107-020-01540-y" TargetMode="External"/><Relationship Id="rId983" Type="http://schemas.openxmlformats.org/officeDocument/2006/relationships/hyperlink" Target="https://doi.org/10.1785/0120150133" TargetMode="External"/><Relationship Id="rId1330" Type="http://schemas.openxmlformats.org/officeDocument/2006/relationships/hyperlink" Target="https://doi.org/10.1271/bbb.80346" TargetMode="External"/><Relationship Id="rId740" Type="http://schemas.openxmlformats.org/officeDocument/2006/relationships/hyperlink" Target="https://openalex.org/funders/f4320306193" TargetMode="External"/><Relationship Id="rId982" Type="http://schemas.openxmlformats.org/officeDocument/2006/relationships/hyperlink" Target="https://openalex.org/funders/f4320321001" TargetMode="External"/><Relationship Id="rId1331" Type="http://schemas.openxmlformats.org/officeDocument/2006/relationships/hyperlink" Target="https://openalex.org/funders/f4320322266" TargetMode="External"/><Relationship Id="rId981" Type="http://schemas.openxmlformats.org/officeDocument/2006/relationships/hyperlink" Target="https://doi.org/10.1016/j.placenta.2010.12.021" TargetMode="External"/><Relationship Id="rId1332" Type="http://schemas.openxmlformats.org/officeDocument/2006/relationships/hyperlink" Target="https://doi.org/10.1088/1674-1056/23/5/050508" TargetMode="External"/><Relationship Id="rId980" Type="http://schemas.openxmlformats.org/officeDocument/2006/relationships/hyperlink" Target="https://doi.org/10.2989/00306525.2017.1321049" TargetMode="External"/><Relationship Id="rId1333" Type="http://schemas.openxmlformats.org/officeDocument/2006/relationships/hyperlink" Target="https://doi.org/10.1016/j.amc.2016.07.038" TargetMode="External"/><Relationship Id="rId1323" Type="http://schemas.openxmlformats.org/officeDocument/2006/relationships/hyperlink" Target="https://doi.org/10.1002/rra.1174" TargetMode="External"/><Relationship Id="rId1324" Type="http://schemas.openxmlformats.org/officeDocument/2006/relationships/hyperlink" Target="https://doi.org/10.1021/jp400691a" TargetMode="External"/><Relationship Id="rId31" Type="http://schemas.openxmlformats.org/officeDocument/2006/relationships/hyperlink" Target="https://doi.org/10.1103/PhysRevLett.123.057403" TargetMode="External"/><Relationship Id="rId1325" Type="http://schemas.openxmlformats.org/officeDocument/2006/relationships/hyperlink" Target="https://doi.org/10.1111/j.1600-0625.2012.01441.x" TargetMode="External"/><Relationship Id="rId30" Type="http://schemas.openxmlformats.org/officeDocument/2006/relationships/hyperlink" Target="https://doi.org/10.1016/j.yexcr.2006.05.023" TargetMode="External"/><Relationship Id="rId1326" Type="http://schemas.openxmlformats.org/officeDocument/2006/relationships/hyperlink" Target="https://openalex.org/funders/f4320316381" TargetMode="External"/><Relationship Id="rId33" Type="http://schemas.openxmlformats.org/officeDocument/2006/relationships/hyperlink" Target="https://openalex.org/funders/f4320320879" TargetMode="External"/><Relationship Id="rId1327" Type="http://schemas.openxmlformats.org/officeDocument/2006/relationships/hyperlink" Target="https://doi.org/10.1016/j.forpol.2021.102570" TargetMode="External"/><Relationship Id="rId32" Type="http://schemas.openxmlformats.org/officeDocument/2006/relationships/hyperlink" Target="https://doi.org/10.1002/path.4418" TargetMode="External"/><Relationship Id="rId1328" Type="http://schemas.openxmlformats.org/officeDocument/2006/relationships/hyperlink" Target="https://openalex.org/funders/f4320332299" TargetMode="External"/><Relationship Id="rId35" Type="http://schemas.openxmlformats.org/officeDocument/2006/relationships/hyperlink" Target="https://openalex.org/funders/f4320321079" TargetMode="External"/><Relationship Id="rId1329" Type="http://schemas.openxmlformats.org/officeDocument/2006/relationships/hyperlink" Target="https://doi.org/10.1016/j.tet.2014.09.017" TargetMode="External"/><Relationship Id="rId34" Type="http://schemas.openxmlformats.org/officeDocument/2006/relationships/hyperlink" Target="https://doi.org/10.15405/epsbs.2019.03.02.216" TargetMode="External"/><Relationship Id="rId739" Type="http://schemas.openxmlformats.org/officeDocument/2006/relationships/hyperlink" Target="https://doi.org/10.1016/j.jesp.2019.103916" TargetMode="External"/><Relationship Id="rId734" Type="http://schemas.openxmlformats.org/officeDocument/2006/relationships/hyperlink" Target="https://doi.org/10.1088/2057-1976/ac1d88" TargetMode="External"/><Relationship Id="rId976" Type="http://schemas.openxmlformats.org/officeDocument/2006/relationships/hyperlink" Target="https://doi.org/10.2174/1389203717666160627083604" TargetMode="External"/><Relationship Id="rId733" Type="http://schemas.openxmlformats.org/officeDocument/2006/relationships/hyperlink" Target="https://openalex.org/funders/f4320321001" TargetMode="External"/><Relationship Id="rId975" Type="http://schemas.openxmlformats.org/officeDocument/2006/relationships/hyperlink" Target="https://doi.org/10.1007/s00604-022-05407-1" TargetMode="External"/><Relationship Id="rId732" Type="http://schemas.openxmlformats.org/officeDocument/2006/relationships/hyperlink" Target="https://doi.org/10.1088/1742-2132/13/1/11" TargetMode="External"/><Relationship Id="rId974" Type="http://schemas.openxmlformats.org/officeDocument/2006/relationships/hyperlink" Target="https://openalex.org/funders/f4320320879" TargetMode="External"/><Relationship Id="rId731" Type="http://schemas.openxmlformats.org/officeDocument/2006/relationships/hyperlink" Target="https://openalex.org/funders/f4320321001" TargetMode="External"/><Relationship Id="rId973" Type="http://schemas.openxmlformats.org/officeDocument/2006/relationships/hyperlink" Target="https://doi.org/10.1016/j.fuel.2016.09.076" TargetMode="External"/><Relationship Id="rId738" Type="http://schemas.openxmlformats.org/officeDocument/2006/relationships/hyperlink" Target="https://doi.org/10.1016/j.crhy.2009.10.001" TargetMode="External"/><Relationship Id="rId737" Type="http://schemas.openxmlformats.org/officeDocument/2006/relationships/hyperlink" Target="https://openalex.org/funders/f4320337355" TargetMode="External"/><Relationship Id="rId979" Type="http://schemas.openxmlformats.org/officeDocument/2006/relationships/hyperlink" Target="https://openalex.org/funders/f4320320879" TargetMode="External"/><Relationship Id="rId736" Type="http://schemas.openxmlformats.org/officeDocument/2006/relationships/hyperlink" Target="https://doi.org/10.1016/j.tim.2006.01.008" TargetMode="External"/><Relationship Id="rId978" Type="http://schemas.openxmlformats.org/officeDocument/2006/relationships/hyperlink" Target="https://doi.org/10.1088/0031-9155/55/7/018" TargetMode="External"/><Relationship Id="rId735" Type="http://schemas.openxmlformats.org/officeDocument/2006/relationships/hyperlink" Target="https://openalex.org/funders/f4320334779" TargetMode="External"/><Relationship Id="rId977" Type="http://schemas.openxmlformats.org/officeDocument/2006/relationships/hyperlink" Target="https://doi.org/10.1080/02626667.2018.1473580" TargetMode="External"/><Relationship Id="rId37" Type="http://schemas.openxmlformats.org/officeDocument/2006/relationships/hyperlink" Target="https://openalex.org/funders/f4320324096" TargetMode="External"/><Relationship Id="rId36" Type="http://schemas.openxmlformats.org/officeDocument/2006/relationships/hyperlink" Target="https://doi.org/10.1007/s10558-010-9093-0" TargetMode="External"/><Relationship Id="rId39" Type="http://schemas.openxmlformats.org/officeDocument/2006/relationships/hyperlink" Target="https://doi.org/10.1093/heapol/czv104" TargetMode="External"/><Relationship Id="rId38" Type="http://schemas.openxmlformats.org/officeDocument/2006/relationships/hyperlink" Target="https://doi.org/10.1021/acs.chemrestox.8b00225" TargetMode="External"/><Relationship Id="rId730" Type="http://schemas.openxmlformats.org/officeDocument/2006/relationships/hyperlink" Target="https://doi.org/10.1016/j.rbmo.2018.10.011" TargetMode="External"/><Relationship Id="rId972" Type="http://schemas.openxmlformats.org/officeDocument/2006/relationships/hyperlink" Target="https://doi.org/10.1155/2019/7581061" TargetMode="External"/><Relationship Id="rId971" Type="http://schemas.openxmlformats.org/officeDocument/2006/relationships/hyperlink" Target="https://doi.org/10.3390/toxins7030791" TargetMode="External"/><Relationship Id="rId1320" Type="http://schemas.openxmlformats.org/officeDocument/2006/relationships/hyperlink" Target="https://openalex.org/funders/f4320320719" TargetMode="External"/><Relationship Id="rId970" Type="http://schemas.openxmlformats.org/officeDocument/2006/relationships/hyperlink" Target="https://openalex.org/funders/f4320322348" TargetMode="External"/><Relationship Id="rId1321" Type="http://schemas.openxmlformats.org/officeDocument/2006/relationships/hyperlink" Target="https://doi.org/10.1007/s12559-020-09792-8" TargetMode="External"/><Relationship Id="rId1322" Type="http://schemas.openxmlformats.org/officeDocument/2006/relationships/hyperlink" Target="https://openalex.org/funders/f4320335777" TargetMode="External"/><Relationship Id="rId1114" Type="http://schemas.openxmlformats.org/officeDocument/2006/relationships/hyperlink" Target="https://openalex.org/funders/f4320321885" TargetMode="External"/><Relationship Id="rId1356" Type="http://schemas.openxmlformats.org/officeDocument/2006/relationships/hyperlink" Target="https://doi.org/10.1016/j.ejso.2018.01.240" TargetMode="External"/><Relationship Id="rId1115" Type="http://schemas.openxmlformats.org/officeDocument/2006/relationships/hyperlink" Target="https://doi.org/10.1109/TIT.2021.3112492" TargetMode="External"/><Relationship Id="rId1357" Type="http://schemas.openxmlformats.org/officeDocument/2006/relationships/hyperlink" Target="https://doi.org/10.1074/jbc.M110.187377" TargetMode="External"/><Relationship Id="rId20" Type="http://schemas.openxmlformats.org/officeDocument/2006/relationships/hyperlink" Target="https://doi.org/10.3390/brainsci9040074" TargetMode="External"/><Relationship Id="rId1116" Type="http://schemas.openxmlformats.org/officeDocument/2006/relationships/hyperlink" Target="https://doi.org/10.1021/acsnano.6b05429" TargetMode="External"/><Relationship Id="rId1358" Type="http://schemas.openxmlformats.org/officeDocument/2006/relationships/hyperlink" Target="https://doi.org/10.1111/pbr.12860" TargetMode="External"/><Relationship Id="rId1117" Type="http://schemas.openxmlformats.org/officeDocument/2006/relationships/hyperlink" Target="https://doi.org/10.1186/s12877-022-03407-7" TargetMode="External"/><Relationship Id="rId1359" Type="http://schemas.openxmlformats.org/officeDocument/2006/relationships/hyperlink" Target="https://doi.org/10.3390/nu13010140" TargetMode="External"/><Relationship Id="rId22" Type="http://schemas.openxmlformats.org/officeDocument/2006/relationships/hyperlink" Target="https://doi.org/10.1128/jvi.00624-22" TargetMode="External"/><Relationship Id="rId1118" Type="http://schemas.openxmlformats.org/officeDocument/2006/relationships/hyperlink" Target="https://openalex.org/funders/f4320322795" TargetMode="External"/><Relationship Id="rId21" Type="http://schemas.openxmlformats.org/officeDocument/2006/relationships/hyperlink" Target="https://openalex.org/funders/f4320306084" TargetMode="External"/><Relationship Id="rId1119" Type="http://schemas.openxmlformats.org/officeDocument/2006/relationships/hyperlink" Target="https://doi.org/10.1142/S0218127419500585" TargetMode="External"/><Relationship Id="rId24" Type="http://schemas.openxmlformats.org/officeDocument/2006/relationships/hyperlink" Target="https://doi.org/10.1093/sysbio/syaa076" TargetMode="External"/><Relationship Id="rId23" Type="http://schemas.openxmlformats.org/officeDocument/2006/relationships/hyperlink" Target="https://openalex.org/funders/f4320337357" TargetMode="External"/><Relationship Id="rId525" Type="http://schemas.openxmlformats.org/officeDocument/2006/relationships/hyperlink" Target="https://doi.org/10.1145/3527241" TargetMode="External"/><Relationship Id="rId767" Type="http://schemas.openxmlformats.org/officeDocument/2006/relationships/hyperlink" Target="https://doi.org/10.1016/j.ijheatmasstransfer.2019.03.002" TargetMode="External"/><Relationship Id="rId524" Type="http://schemas.openxmlformats.org/officeDocument/2006/relationships/hyperlink" Target="https://doi.org/10.1016/j.jacc.2018.05.052" TargetMode="External"/><Relationship Id="rId766" Type="http://schemas.openxmlformats.org/officeDocument/2006/relationships/hyperlink" Target="https://doi.org/10.1016/j.molcel.2007.11.020" TargetMode="External"/><Relationship Id="rId523" Type="http://schemas.openxmlformats.org/officeDocument/2006/relationships/hyperlink" Target="https://openalex.org/funders/f4320321202" TargetMode="External"/><Relationship Id="rId765" Type="http://schemas.openxmlformats.org/officeDocument/2006/relationships/hyperlink" Target="https://openalex.org/funders/f4320332161" TargetMode="External"/><Relationship Id="rId522" Type="http://schemas.openxmlformats.org/officeDocument/2006/relationships/hyperlink" Target="https://doi.org/10.1111/j.1524-4725.2011.01999.x" TargetMode="External"/><Relationship Id="rId764" Type="http://schemas.openxmlformats.org/officeDocument/2006/relationships/hyperlink" Target="https://doi.org/10.1093/cvr/cvac171" TargetMode="External"/><Relationship Id="rId529" Type="http://schemas.openxmlformats.org/officeDocument/2006/relationships/hyperlink" Target="https://doi.org/10.1111/str.12191" TargetMode="External"/><Relationship Id="rId528" Type="http://schemas.openxmlformats.org/officeDocument/2006/relationships/hyperlink" Target="https://openalex.org/funders/f4320321001" TargetMode="External"/><Relationship Id="rId527" Type="http://schemas.openxmlformats.org/officeDocument/2006/relationships/hyperlink" Target="https://doi.org/10.1016/j.ijrefrig.2014.12.001" TargetMode="External"/><Relationship Id="rId769" Type="http://schemas.openxmlformats.org/officeDocument/2006/relationships/hyperlink" Target="https://doi.org/10.1016/j.precamres.2022.106720" TargetMode="External"/><Relationship Id="rId526" Type="http://schemas.openxmlformats.org/officeDocument/2006/relationships/hyperlink" Target="https://doi.org/10.1016/j.ast.2020.106343" TargetMode="External"/><Relationship Id="rId768" Type="http://schemas.openxmlformats.org/officeDocument/2006/relationships/hyperlink" Target="https://openalex.org/funders/f4320321001" TargetMode="External"/><Relationship Id="rId26" Type="http://schemas.openxmlformats.org/officeDocument/2006/relationships/hyperlink" Target="https://doi.org/10.1021/ol502506g" TargetMode="External"/><Relationship Id="rId25" Type="http://schemas.openxmlformats.org/officeDocument/2006/relationships/hyperlink" Target="https://doi.org/10.1017/S0021875819000033" TargetMode="External"/><Relationship Id="rId28" Type="http://schemas.openxmlformats.org/officeDocument/2006/relationships/hyperlink" Target="https://openalex.org/funders/f4320319808" TargetMode="External"/><Relationship Id="rId1350" Type="http://schemas.openxmlformats.org/officeDocument/2006/relationships/hyperlink" Target="https://doi.org/10.3807/JOSK.2011.15.3.244" TargetMode="External"/><Relationship Id="rId27" Type="http://schemas.openxmlformats.org/officeDocument/2006/relationships/hyperlink" Target="https://doi.org/10.1016/j.jphotochem.2020.112802" TargetMode="External"/><Relationship Id="rId1351" Type="http://schemas.openxmlformats.org/officeDocument/2006/relationships/hyperlink" Target="https://openalex.org/funders/f4320321363" TargetMode="External"/><Relationship Id="rId521" Type="http://schemas.openxmlformats.org/officeDocument/2006/relationships/hyperlink" Target="https://doi.org/10.1016/j.biomaterials.2015.02.101" TargetMode="External"/><Relationship Id="rId763" Type="http://schemas.openxmlformats.org/officeDocument/2006/relationships/hyperlink" Target="https://openalex.org/funders/f4320320083" TargetMode="External"/><Relationship Id="rId1110" Type="http://schemas.openxmlformats.org/officeDocument/2006/relationships/hyperlink" Target="https://doi.org/10.1016/j.phycom.2018.01.001" TargetMode="External"/><Relationship Id="rId1352" Type="http://schemas.openxmlformats.org/officeDocument/2006/relationships/hyperlink" Target="https://doi.org/10.1080/00207411.2019.1649237" TargetMode="External"/><Relationship Id="rId29" Type="http://schemas.openxmlformats.org/officeDocument/2006/relationships/hyperlink" Target="https://doi.org/10.1200/JCO.2018.79.2259" TargetMode="External"/><Relationship Id="rId520" Type="http://schemas.openxmlformats.org/officeDocument/2006/relationships/hyperlink" Target="https://openalex.org/funders/f4320321001" TargetMode="External"/><Relationship Id="rId762" Type="http://schemas.openxmlformats.org/officeDocument/2006/relationships/hyperlink" Target="https://doi.org/10.1136/bmjopen-2019-029376" TargetMode="External"/><Relationship Id="rId1111" Type="http://schemas.openxmlformats.org/officeDocument/2006/relationships/hyperlink" Target="https://openalex.org/funders/f4320334764" TargetMode="External"/><Relationship Id="rId1353" Type="http://schemas.openxmlformats.org/officeDocument/2006/relationships/hyperlink" Target="https://openalex.org/institutions/i4210150538" TargetMode="External"/><Relationship Id="rId761" Type="http://schemas.openxmlformats.org/officeDocument/2006/relationships/hyperlink" Target="https://doi.org/10.1002/pmic.201400171" TargetMode="External"/><Relationship Id="rId1112" Type="http://schemas.openxmlformats.org/officeDocument/2006/relationships/hyperlink" Target="https://doi.org/10.1016/j.molmet.2014.11.003" TargetMode="External"/><Relationship Id="rId1354" Type="http://schemas.openxmlformats.org/officeDocument/2006/relationships/hyperlink" Target="https://doi.org/10.1680/jensu.17.00064" TargetMode="External"/><Relationship Id="rId760" Type="http://schemas.openxmlformats.org/officeDocument/2006/relationships/hyperlink" Target="https://doi.org/10.1038/srep21166" TargetMode="External"/><Relationship Id="rId1113" Type="http://schemas.openxmlformats.org/officeDocument/2006/relationships/hyperlink" Target="https://doi.org/10.1016/j.spa.2013.04.002" TargetMode="External"/><Relationship Id="rId1355" Type="http://schemas.openxmlformats.org/officeDocument/2006/relationships/hyperlink" Target="https://doi.org/10.1534/genetics.111.129569" TargetMode="External"/><Relationship Id="rId1103" Type="http://schemas.openxmlformats.org/officeDocument/2006/relationships/hyperlink" Target="https://doi.org/10.1371/journal.pone.0044843" TargetMode="External"/><Relationship Id="rId1345" Type="http://schemas.openxmlformats.org/officeDocument/2006/relationships/hyperlink" Target="https://doi.org/10.3109/02713683.2015.1050737" TargetMode="External"/><Relationship Id="rId1104" Type="http://schemas.openxmlformats.org/officeDocument/2006/relationships/hyperlink" Target="https://doi.org/10.1155/2022/2124462" TargetMode="External"/><Relationship Id="rId1346" Type="http://schemas.openxmlformats.org/officeDocument/2006/relationships/hyperlink" Target="https://openalex.org/institutions/i3130318847" TargetMode="External"/><Relationship Id="rId1105" Type="http://schemas.openxmlformats.org/officeDocument/2006/relationships/hyperlink" Target="https://openalex.org/funders/f4320325014" TargetMode="External"/><Relationship Id="rId1347" Type="http://schemas.openxmlformats.org/officeDocument/2006/relationships/hyperlink" Target="https://doi.org/10.1021/acsami.1c02314" TargetMode="External"/><Relationship Id="rId1106" Type="http://schemas.openxmlformats.org/officeDocument/2006/relationships/hyperlink" Target="https://doi.org/10.1080/03650340.2020.1795138" TargetMode="External"/><Relationship Id="rId1348" Type="http://schemas.openxmlformats.org/officeDocument/2006/relationships/hyperlink" Target="https://openalex.org/funders/f4320322120" TargetMode="External"/><Relationship Id="rId11" Type="http://schemas.openxmlformats.org/officeDocument/2006/relationships/hyperlink" Target="https://openalex.org/funders/f4320320300" TargetMode="External"/><Relationship Id="rId1107" Type="http://schemas.openxmlformats.org/officeDocument/2006/relationships/hyperlink" Target="https://openalex.org/institutions/i4210105427" TargetMode="External"/><Relationship Id="rId1349" Type="http://schemas.openxmlformats.org/officeDocument/2006/relationships/hyperlink" Target="https://doi.org/10.3390/cancers14133250" TargetMode="External"/><Relationship Id="rId10" Type="http://schemas.openxmlformats.org/officeDocument/2006/relationships/hyperlink" Target="https://doi.org/10.1016/j.ttbdis.2013.12.004" TargetMode="External"/><Relationship Id="rId1108" Type="http://schemas.openxmlformats.org/officeDocument/2006/relationships/hyperlink" Target="https://doi.org/10.1007/s10876-014-0779-0" TargetMode="External"/><Relationship Id="rId13" Type="http://schemas.openxmlformats.org/officeDocument/2006/relationships/hyperlink" Target="https://doi.org/10.1111/j.1440-1800.2011.00526.x" TargetMode="External"/><Relationship Id="rId1109" Type="http://schemas.openxmlformats.org/officeDocument/2006/relationships/hyperlink" Target="https://openalex.org/funders/f4320321739" TargetMode="External"/><Relationship Id="rId12" Type="http://schemas.openxmlformats.org/officeDocument/2006/relationships/hyperlink" Target="https://doi.org/10.1016/j.bmc.2007.08.015" TargetMode="External"/><Relationship Id="rId519" Type="http://schemas.openxmlformats.org/officeDocument/2006/relationships/hyperlink" Target="https://doi.org/10.1039/c6cp03293a" TargetMode="External"/><Relationship Id="rId514" Type="http://schemas.openxmlformats.org/officeDocument/2006/relationships/hyperlink" Target="https://doi.org/10.1111/j.1462-2920.2010.02351.x" TargetMode="External"/><Relationship Id="rId756" Type="http://schemas.openxmlformats.org/officeDocument/2006/relationships/hyperlink" Target="https://doi.org/10.1007/s12221-013-1953-y" TargetMode="External"/><Relationship Id="rId998" Type="http://schemas.openxmlformats.org/officeDocument/2006/relationships/hyperlink" Target="https://doi.org/10.1177/1687814020924893" TargetMode="External"/><Relationship Id="rId513" Type="http://schemas.openxmlformats.org/officeDocument/2006/relationships/hyperlink" Target="https://openalex.org/funders/f4320321837" TargetMode="External"/><Relationship Id="rId755" Type="http://schemas.openxmlformats.org/officeDocument/2006/relationships/hyperlink" Target="https://openalex.org/institutions/i4210116369" TargetMode="External"/><Relationship Id="rId997" Type="http://schemas.openxmlformats.org/officeDocument/2006/relationships/hyperlink" Target="https://openalex.org/funders/f4320306076" TargetMode="External"/><Relationship Id="rId512" Type="http://schemas.openxmlformats.org/officeDocument/2006/relationships/hyperlink" Target="https://doi.org/10.1021/acs.jpca.5b12374" TargetMode="External"/><Relationship Id="rId754" Type="http://schemas.openxmlformats.org/officeDocument/2006/relationships/hyperlink" Target="https://doi.org/10.1097/MJT.0000000000000345" TargetMode="External"/><Relationship Id="rId996" Type="http://schemas.openxmlformats.org/officeDocument/2006/relationships/hyperlink" Target="https://doi.org/10.1039/c5sc02435h" TargetMode="External"/><Relationship Id="rId511" Type="http://schemas.openxmlformats.org/officeDocument/2006/relationships/hyperlink" Target="https://openalex.org/funders/f4320317010" TargetMode="External"/><Relationship Id="rId753" Type="http://schemas.openxmlformats.org/officeDocument/2006/relationships/hyperlink" Target="https://openalex.org/funders/f4320321001" TargetMode="External"/><Relationship Id="rId995" Type="http://schemas.openxmlformats.org/officeDocument/2006/relationships/hyperlink" Target="https://doi.org/10.1016/j.expneurol.2016.07.021" TargetMode="External"/><Relationship Id="rId518" Type="http://schemas.openxmlformats.org/officeDocument/2006/relationships/hyperlink" Target="https://doi.org/10.1002/jcb.25032" TargetMode="External"/><Relationship Id="rId517" Type="http://schemas.openxmlformats.org/officeDocument/2006/relationships/hyperlink" Target="https://doi.org/10.1016/j.trd.2014.08.021" TargetMode="External"/><Relationship Id="rId759" Type="http://schemas.openxmlformats.org/officeDocument/2006/relationships/hyperlink" Target="https://doi.org/10.1016/j.scitotenv.2019.134704" TargetMode="External"/><Relationship Id="rId516" Type="http://schemas.openxmlformats.org/officeDocument/2006/relationships/hyperlink" Target="https://openalex.org/funders/f4320328515" TargetMode="External"/><Relationship Id="rId758" Type="http://schemas.openxmlformats.org/officeDocument/2006/relationships/hyperlink" Target="https://doi.org/10.1007/s00277-019-03888-4" TargetMode="External"/><Relationship Id="rId515" Type="http://schemas.openxmlformats.org/officeDocument/2006/relationships/hyperlink" Target="https://doi.org/10.5220/0011151900003283" TargetMode="External"/><Relationship Id="rId757" Type="http://schemas.openxmlformats.org/officeDocument/2006/relationships/hyperlink" Target="https://openalex.org/funders/f4320335961" TargetMode="External"/><Relationship Id="rId999" Type="http://schemas.openxmlformats.org/officeDocument/2006/relationships/hyperlink" Target="https://doi.org/10.1111/psyp.12350" TargetMode="External"/><Relationship Id="rId15" Type="http://schemas.openxmlformats.org/officeDocument/2006/relationships/hyperlink" Target="https://doi.org/10.1039/c7bm00162b" TargetMode="External"/><Relationship Id="rId990" Type="http://schemas.openxmlformats.org/officeDocument/2006/relationships/hyperlink" Target="https://doi.org/10.1039/c3ta00768e" TargetMode="External"/><Relationship Id="rId14" Type="http://schemas.openxmlformats.org/officeDocument/2006/relationships/hyperlink" Target="https://openalex.org/funders/f4320334506" TargetMode="External"/><Relationship Id="rId17" Type="http://schemas.openxmlformats.org/officeDocument/2006/relationships/hyperlink" Target="https://doi.org/10.1128/MCB.00019-15" TargetMode="External"/><Relationship Id="rId16" Type="http://schemas.openxmlformats.org/officeDocument/2006/relationships/hyperlink" Target="https://doi.org/10.1039/c5ra17015j" TargetMode="External"/><Relationship Id="rId1340" Type="http://schemas.openxmlformats.org/officeDocument/2006/relationships/hyperlink" Target="https://doi.org/10.1007/JHEP09(2018)092" TargetMode="External"/><Relationship Id="rId19" Type="http://schemas.openxmlformats.org/officeDocument/2006/relationships/hyperlink" Target="https://openalex.org/funders/f4320338464" TargetMode="External"/><Relationship Id="rId510" Type="http://schemas.openxmlformats.org/officeDocument/2006/relationships/hyperlink" Target="https://doi.org/10.1061/(ASCE)GM.1943-5622.0001138" TargetMode="External"/><Relationship Id="rId752" Type="http://schemas.openxmlformats.org/officeDocument/2006/relationships/hyperlink" Target="https://doi.org/10.1691/ph.2016.6012" TargetMode="External"/><Relationship Id="rId994" Type="http://schemas.openxmlformats.org/officeDocument/2006/relationships/hyperlink" Target="https://doi.org/10.1002/mas.21484" TargetMode="External"/><Relationship Id="rId1341" Type="http://schemas.openxmlformats.org/officeDocument/2006/relationships/hyperlink" Target="https://doi.org/10.1038/s41598-017-01686-4" TargetMode="External"/><Relationship Id="rId18" Type="http://schemas.openxmlformats.org/officeDocument/2006/relationships/hyperlink" Target="https://doi.org/10.1111/j.1745-4514.2010.00492.x" TargetMode="External"/><Relationship Id="rId751" Type="http://schemas.openxmlformats.org/officeDocument/2006/relationships/hyperlink" Target="https://openalex.org/funders/f4320310112" TargetMode="External"/><Relationship Id="rId993" Type="http://schemas.openxmlformats.org/officeDocument/2006/relationships/hyperlink" Target="https://doi.org/10.1007/s11760-022-02256-6" TargetMode="External"/><Relationship Id="rId1100" Type="http://schemas.openxmlformats.org/officeDocument/2006/relationships/hyperlink" Target="https://doi.org/10.1007/s12031-018-1240-x" TargetMode="External"/><Relationship Id="rId1342" Type="http://schemas.openxmlformats.org/officeDocument/2006/relationships/hyperlink" Target="https://openalex.org/funders/f4320321001" TargetMode="External"/><Relationship Id="rId750" Type="http://schemas.openxmlformats.org/officeDocument/2006/relationships/hyperlink" Target="https://doi.org/10.1088/1742-6596/995/1/012045" TargetMode="External"/><Relationship Id="rId992" Type="http://schemas.openxmlformats.org/officeDocument/2006/relationships/hyperlink" Target="https://doi.org/10.1080/13658816.2021.1942476" TargetMode="External"/><Relationship Id="rId1101" Type="http://schemas.openxmlformats.org/officeDocument/2006/relationships/hyperlink" Target="https://openalex.org/funders/f4320323457" TargetMode="External"/><Relationship Id="rId1343" Type="http://schemas.openxmlformats.org/officeDocument/2006/relationships/hyperlink" Target="https://doi.org/10.1007/s11274-019-2662-5" TargetMode="External"/><Relationship Id="rId991" Type="http://schemas.openxmlformats.org/officeDocument/2006/relationships/hyperlink" Target="https://openalex.org/institutions/i4210137149" TargetMode="External"/><Relationship Id="rId1102" Type="http://schemas.openxmlformats.org/officeDocument/2006/relationships/hyperlink" Target="https://doi.org/10.3389/fnagi.2017.00111" TargetMode="External"/><Relationship Id="rId1344" Type="http://schemas.openxmlformats.org/officeDocument/2006/relationships/hyperlink" Target="https://openalex.org/funders/f4320321543" TargetMode="External"/><Relationship Id="rId84" Type="http://schemas.openxmlformats.org/officeDocument/2006/relationships/hyperlink" Target="https://doi.org/10.1109/TAES.2021.3087836" TargetMode="External"/><Relationship Id="rId83" Type="http://schemas.openxmlformats.org/officeDocument/2006/relationships/hyperlink" Target="https://openalex.org/funders/f4320337347" TargetMode="External"/><Relationship Id="rId86" Type="http://schemas.openxmlformats.org/officeDocument/2006/relationships/hyperlink" Target="https://openalex.org/funders/f4320335366" TargetMode="External"/><Relationship Id="rId85" Type="http://schemas.openxmlformats.org/officeDocument/2006/relationships/hyperlink" Target="https://doi.org/10.2174/1385272821666170428123013" TargetMode="External"/><Relationship Id="rId88" Type="http://schemas.openxmlformats.org/officeDocument/2006/relationships/hyperlink" Target="https://doi.org/10.1155/2013/812120" TargetMode="External"/><Relationship Id="rId87" Type="http://schemas.openxmlformats.org/officeDocument/2006/relationships/hyperlink" Target="https://doi.org/10.1109/TCYB.2018.2876511" TargetMode="External"/><Relationship Id="rId89" Type="http://schemas.openxmlformats.org/officeDocument/2006/relationships/hyperlink" Target="https://openalex.org/funders/f4320321001" TargetMode="External"/><Relationship Id="rId709" Type="http://schemas.openxmlformats.org/officeDocument/2006/relationships/hyperlink" Target="https://doi.org/10.1088/0953-8984/22/49/495102" TargetMode="External"/><Relationship Id="rId708" Type="http://schemas.openxmlformats.org/officeDocument/2006/relationships/hyperlink" Target="https://openalex.org/funders/f4320337351" TargetMode="External"/><Relationship Id="rId707" Type="http://schemas.openxmlformats.org/officeDocument/2006/relationships/hyperlink" Target="https://doi.org/10.1186/s13578-016-0080-z" TargetMode="External"/><Relationship Id="rId949" Type="http://schemas.openxmlformats.org/officeDocument/2006/relationships/hyperlink" Target="https://openalex.org/funders/f4320334627" TargetMode="External"/><Relationship Id="rId706" Type="http://schemas.openxmlformats.org/officeDocument/2006/relationships/hyperlink" Target="https://openalex.org/funders/f4320322349" TargetMode="External"/><Relationship Id="rId948" Type="http://schemas.openxmlformats.org/officeDocument/2006/relationships/hyperlink" Target="https://doi.org/10.1007/s10586-015-0510-4" TargetMode="External"/><Relationship Id="rId80" Type="http://schemas.openxmlformats.org/officeDocument/2006/relationships/hyperlink" Target="https://doi.org/10.3389/fenrg.2021.752592" TargetMode="External"/><Relationship Id="rId82" Type="http://schemas.openxmlformats.org/officeDocument/2006/relationships/hyperlink" Target="https://doi.org/10.1093/bioinformatics/btl241" TargetMode="External"/><Relationship Id="rId81" Type="http://schemas.openxmlformats.org/officeDocument/2006/relationships/hyperlink" Target="https://openalex.org/funders/f4320326679" TargetMode="External"/><Relationship Id="rId701" Type="http://schemas.openxmlformats.org/officeDocument/2006/relationships/hyperlink" Target="https://openalex.org/funders/f4320337346" TargetMode="External"/><Relationship Id="rId943" Type="http://schemas.openxmlformats.org/officeDocument/2006/relationships/hyperlink" Target="https://doi.org/10.1007/s11107-014-0440-8" TargetMode="External"/><Relationship Id="rId700" Type="http://schemas.openxmlformats.org/officeDocument/2006/relationships/hyperlink" Target="https://doi.org/10.1002/dev.22057" TargetMode="External"/><Relationship Id="rId942" Type="http://schemas.openxmlformats.org/officeDocument/2006/relationships/hyperlink" Target="https://doi.org/10.1080/15476286.2017.1379645" TargetMode="External"/><Relationship Id="rId941" Type="http://schemas.openxmlformats.org/officeDocument/2006/relationships/hyperlink" Target="https://openalex.org/funders/f4320321837" TargetMode="External"/><Relationship Id="rId940" Type="http://schemas.openxmlformats.org/officeDocument/2006/relationships/hyperlink" Target="https://doi.org/10.1016/j.palaeo.2018.02.017" TargetMode="External"/><Relationship Id="rId705" Type="http://schemas.openxmlformats.org/officeDocument/2006/relationships/hyperlink" Target="https://doi.org/10.1007/s12540-015-4338-5" TargetMode="External"/><Relationship Id="rId947" Type="http://schemas.openxmlformats.org/officeDocument/2006/relationships/hyperlink" Target="https://doi.org/10.1017/jfm.2019.171" TargetMode="External"/><Relationship Id="rId704" Type="http://schemas.openxmlformats.org/officeDocument/2006/relationships/hyperlink" Target="https://doi.org/10.1371/journal.pone.0022901" TargetMode="External"/><Relationship Id="rId946" Type="http://schemas.openxmlformats.org/officeDocument/2006/relationships/hyperlink" Target="https://doi.org/10.1103/PhysRevA.91.022307" TargetMode="External"/><Relationship Id="rId703" Type="http://schemas.openxmlformats.org/officeDocument/2006/relationships/hyperlink" Target="https://openalex.org/funders/f4320321001" TargetMode="External"/><Relationship Id="rId945" Type="http://schemas.openxmlformats.org/officeDocument/2006/relationships/hyperlink" Target="https://openalex.org/funders/f4320319387" TargetMode="External"/><Relationship Id="rId702" Type="http://schemas.openxmlformats.org/officeDocument/2006/relationships/hyperlink" Target="https://doi.org/10.1016/j.phymed.2016.10.015" TargetMode="External"/><Relationship Id="rId944" Type="http://schemas.openxmlformats.org/officeDocument/2006/relationships/hyperlink" Target="https://doi.org/10.1111/j.1365-2621.2009.02006.x" TargetMode="External"/><Relationship Id="rId73" Type="http://schemas.openxmlformats.org/officeDocument/2006/relationships/hyperlink" Target="https://openalex.org/funders/f4320322120" TargetMode="External"/><Relationship Id="rId72" Type="http://schemas.openxmlformats.org/officeDocument/2006/relationships/hyperlink" Target="https://doi.org/10.1245/s10434-019-08102-3" TargetMode="External"/><Relationship Id="rId75" Type="http://schemas.openxmlformats.org/officeDocument/2006/relationships/hyperlink" Target="https://doi.org/10.1016/S1003-6326(20)65305-5" TargetMode="External"/><Relationship Id="rId74" Type="http://schemas.openxmlformats.org/officeDocument/2006/relationships/hyperlink" Target="https://doi.org/10.1007/s10459-022-10171-1" TargetMode="External"/><Relationship Id="rId77" Type="http://schemas.openxmlformats.org/officeDocument/2006/relationships/hyperlink" Target="https://openalex.org/funders/f4320335787" TargetMode="External"/><Relationship Id="rId76" Type="http://schemas.openxmlformats.org/officeDocument/2006/relationships/hyperlink" Target="https://doi.org/10.4208/eajam.100620.170920" TargetMode="External"/><Relationship Id="rId79" Type="http://schemas.openxmlformats.org/officeDocument/2006/relationships/hyperlink" Target="https://doi.org/10.1016/j.shaw.2020.05.003" TargetMode="External"/><Relationship Id="rId78" Type="http://schemas.openxmlformats.org/officeDocument/2006/relationships/hyperlink" Target="https://doi.org/10.1093/gerona/glab323" TargetMode="External"/><Relationship Id="rId939" Type="http://schemas.openxmlformats.org/officeDocument/2006/relationships/hyperlink" Target="https://doi.org/10.1007/s12274-015-0840-9" TargetMode="External"/><Relationship Id="rId938" Type="http://schemas.openxmlformats.org/officeDocument/2006/relationships/hyperlink" Target="https://openalex.org/funders/f4320322725" TargetMode="External"/><Relationship Id="rId937" Type="http://schemas.openxmlformats.org/officeDocument/2006/relationships/hyperlink" Target="https://doi.org/10.1016/j.scitotenv.2020.137040" TargetMode="External"/><Relationship Id="rId71" Type="http://schemas.openxmlformats.org/officeDocument/2006/relationships/hyperlink" Target="https://doi.org/10.1002/mrm.22850" TargetMode="External"/><Relationship Id="rId70" Type="http://schemas.openxmlformats.org/officeDocument/2006/relationships/hyperlink" Target="https://doi.org/10.1007/s11249-018-1127-6" TargetMode="External"/><Relationship Id="rId932" Type="http://schemas.openxmlformats.org/officeDocument/2006/relationships/hyperlink" Target="https://doi.org/10.1161/HYPERTENSIONAHA.111.188706" TargetMode="External"/><Relationship Id="rId931" Type="http://schemas.openxmlformats.org/officeDocument/2006/relationships/hyperlink" Target="https://doi.org/10.1109/PIERS53385.2021.9694841" TargetMode="External"/><Relationship Id="rId930" Type="http://schemas.openxmlformats.org/officeDocument/2006/relationships/hyperlink" Target="https://openalex.org/funders/f4320321001" TargetMode="External"/><Relationship Id="rId936" Type="http://schemas.openxmlformats.org/officeDocument/2006/relationships/hyperlink" Target="https://openalex.org/funders/f4320321145" TargetMode="External"/><Relationship Id="rId935" Type="http://schemas.openxmlformats.org/officeDocument/2006/relationships/hyperlink" Target="https://doi.org/10.1016/j.ecoenv.2022.114128" TargetMode="External"/><Relationship Id="rId934" Type="http://schemas.openxmlformats.org/officeDocument/2006/relationships/hyperlink" Target="https://doi.org/10.3390/en10121951" TargetMode="External"/><Relationship Id="rId933" Type="http://schemas.openxmlformats.org/officeDocument/2006/relationships/hyperlink" Target="https://doi.org/10.1089/acm.2011.0404" TargetMode="External"/><Relationship Id="rId62" Type="http://schemas.openxmlformats.org/officeDocument/2006/relationships/hyperlink" Target="https://openalex.org/funders/f4320321594" TargetMode="External"/><Relationship Id="rId1312" Type="http://schemas.openxmlformats.org/officeDocument/2006/relationships/hyperlink" Target="https://doi.org/10.1002/jhet.309" TargetMode="External"/><Relationship Id="rId61" Type="http://schemas.openxmlformats.org/officeDocument/2006/relationships/hyperlink" Target="https://doi.org/10.1080/17451000903478327" TargetMode="External"/><Relationship Id="rId1313" Type="http://schemas.openxmlformats.org/officeDocument/2006/relationships/hyperlink" Target="https://doi.org/10.3390/s21134309" TargetMode="External"/><Relationship Id="rId64" Type="http://schemas.openxmlformats.org/officeDocument/2006/relationships/hyperlink" Target="https://doi.org/10.1016/j.ijpharm.2015.07.033" TargetMode="External"/><Relationship Id="rId1314" Type="http://schemas.openxmlformats.org/officeDocument/2006/relationships/hyperlink" Target="https://openalex.org/funders/f4320320300" TargetMode="External"/><Relationship Id="rId63" Type="http://schemas.openxmlformats.org/officeDocument/2006/relationships/hyperlink" Target="https://doi.org/10.1016/j.ijleo.2016.03.064" TargetMode="External"/><Relationship Id="rId1315" Type="http://schemas.openxmlformats.org/officeDocument/2006/relationships/hyperlink" Target="https://doi.org/10.1021/acs.jpcc.8b11777" TargetMode="External"/><Relationship Id="rId66" Type="http://schemas.openxmlformats.org/officeDocument/2006/relationships/hyperlink" Target="https://doi.org/10.1016/j.fishres.2015.03.018" TargetMode="External"/><Relationship Id="rId1316" Type="http://schemas.openxmlformats.org/officeDocument/2006/relationships/hyperlink" Target="https://doi.org/10.1039/d1an00118c" TargetMode="External"/><Relationship Id="rId65" Type="http://schemas.openxmlformats.org/officeDocument/2006/relationships/hyperlink" Target="https://openalex.org/institutions/i2800982320" TargetMode="External"/><Relationship Id="rId1317" Type="http://schemas.openxmlformats.org/officeDocument/2006/relationships/hyperlink" Target="https://openalex.org/funders/f4320322091" TargetMode="External"/><Relationship Id="rId68" Type="http://schemas.openxmlformats.org/officeDocument/2006/relationships/hyperlink" Target="https://doi.org/10.3758/s13415-011-0039-9" TargetMode="External"/><Relationship Id="rId1318" Type="http://schemas.openxmlformats.org/officeDocument/2006/relationships/hyperlink" Target="https://doi.org/10.1007/s11571-016-9418-9" TargetMode="External"/><Relationship Id="rId67" Type="http://schemas.openxmlformats.org/officeDocument/2006/relationships/hyperlink" Target="https://doi.org/10.1021/acs.est.8b00462" TargetMode="External"/><Relationship Id="rId1319" Type="http://schemas.openxmlformats.org/officeDocument/2006/relationships/hyperlink" Target="https://doi.org/10.1177/1534735413503551" TargetMode="External"/><Relationship Id="rId729" Type="http://schemas.openxmlformats.org/officeDocument/2006/relationships/hyperlink" Target="https://doi.org/10.1016/j.urology.2016.02.003" TargetMode="External"/><Relationship Id="rId728" Type="http://schemas.openxmlformats.org/officeDocument/2006/relationships/hyperlink" Target="https://openalex.org/funders/f4320332171" TargetMode="External"/><Relationship Id="rId60" Type="http://schemas.openxmlformats.org/officeDocument/2006/relationships/hyperlink" Target="https://doi.org/10.3390/s21031011" TargetMode="External"/><Relationship Id="rId723" Type="http://schemas.openxmlformats.org/officeDocument/2006/relationships/hyperlink" Target="https://doi.org/10.1002/adts.202000022" TargetMode="External"/><Relationship Id="rId965" Type="http://schemas.openxmlformats.org/officeDocument/2006/relationships/hyperlink" Target="https://doi.org/10.1017/S0950268820000400" TargetMode="External"/><Relationship Id="rId722" Type="http://schemas.openxmlformats.org/officeDocument/2006/relationships/hyperlink" Target="https://openalex.org/funders/f4320311215" TargetMode="External"/><Relationship Id="rId964" Type="http://schemas.openxmlformats.org/officeDocument/2006/relationships/hyperlink" Target="https://doi.org/10.1109/TAP.2014.2330596" TargetMode="External"/><Relationship Id="rId721" Type="http://schemas.openxmlformats.org/officeDocument/2006/relationships/hyperlink" Target="https://doi.org/10.1371/journal.pone.0229600" TargetMode="External"/><Relationship Id="rId963" Type="http://schemas.openxmlformats.org/officeDocument/2006/relationships/hyperlink" Target="https://doi.org/10.1038/s41598-019-55006-z" TargetMode="External"/><Relationship Id="rId720" Type="http://schemas.openxmlformats.org/officeDocument/2006/relationships/hyperlink" Target="https://doi.org/10.1177/13623613211035936" TargetMode="External"/><Relationship Id="rId962" Type="http://schemas.openxmlformats.org/officeDocument/2006/relationships/hyperlink" Target="https://doi.org/10.1021/acsami.0c14802" TargetMode="External"/><Relationship Id="rId727" Type="http://schemas.openxmlformats.org/officeDocument/2006/relationships/hyperlink" Target="https://doi.org/10.1088/1742-6596/642/1/012030" TargetMode="External"/><Relationship Id="rId969" Type="http://schemas.openxmlformats.org/officeDocument/2006/relationships/hyperlink" Target="https://doi.org/10.1111/j.1474-9726.2009.00487.x" TargetMode="External"/><Relationship Id="rId726" Type="http://schemas.openxmlformats.org/officeDocument/2006/relationships/hyperlink" Target="https://doi.org/10.1121/1.1756615" TargetMode="External"/><Relationship Id="rId968" Type="http://schemas.openxmlformats.org/officeDocument/2006/relationships/hyperlink" Target="https://openalex.org/funders/f4320334771" TargetMode="External"/><Relationship Id="rId725" Type="http://schemas.openxmlformats.org/officeDocument/2006/relationships/hyperlink" Target="https://openalex.org/funders/f4320337359" TargetMode="External"/><Relationship Id="rId967" Type="http://schemas.openxmlformats.org/officeDocument/2006/relationships/hyperlink" Target="https://doi.org/10.1038/s41598-019-38707-3" TargetMode="External"/><Relationship Id="rId724" Type="http://schemas.openxmlformats.org/officeDocument/2006/relationships/hyperlink" Target="https://doi.org/10.1124/jpet.105.098467" TargetMode="External"/><Relationship Id="rId966" Type="http://schemas.openxmlformats.org/officeDocument/2006/relationships/hyperlink" Target="https://openalex.org/funders/f4320307765" TargetMode="External"/><Relationship Id="rId69" Type="http://schemas.openxmlformats.org/officeDocument/2006/relationships/hyperlink" Target="https://openalex.org/funders/f4320337337" TargetMode="External"/><Relationship Id="rId961" Type="http://schemas.openxmlformats.org/officeDocument/2006/relationships/hyperlink" Target="https://doi.org/10.1016/j.desal.2021.115445" TargetMode="External"/><Relationship Id="rId960" Type="http://schemas.openxmlformats.org/officeDocument/2006/relationships/hyperlink" Target="https://doi.org/10.1016/j.ijpharm.2015.11.038" TargetMode="External"/><Relationship Id="rId1310" Type="http://schemas.openxmlformats.org/officeDocument/2006/relationships/hyperlink" Target="https://doi.org/10.1007/s10681-014-1189-y" TargetMode="External"/><Relationship Id="rId1311" Type="http://schemas.openxmlformats.org/officeDocument/2006/relationships/hyperlink" Target="https://doi.org/10.1038/nature14254" TargetMode="External"/><Relationship Id="rId51" Type="http://schemas.openxmlformats.org/officeDocument/2006/relationships/hyperlink" Target="https://doi.org/10.1117/1.3494556" TargetMode="External"/><Relationship Id="rId1301" Type="http://schemas.openxmlformats.org/officeDocument/2006/relationships/hyperlink" Target="https://doi.org/10.1016/j.toxlet.2011.05.1021" TargetMode="External"/><Relationship Id="rId50" Type="http://schemas.openxmlformats.org/officeDocument/2006/relationships/hyperlink" Target="https://doi.org/10.1016/j.scitotenv.2022.157369" TargetMode="External"/><Relationship Id="rId1302" Type="http://schemas.openxmlformats.org/officeDocument/2006/relationships/hyperlink" Target="https://openalex.org/funders/f4320334631" TargetMode="External"/><Relationship Id="rId53" Type="http://schemas.openxmlformats.org/officeDocument/2006/relationships/hyperlink" Target="https://openalex.org/funders/f4320309209" TargetMode="External"/><Relationship Id="rId1303" Type="http://schemas.openxmlformats.org/officeDocument/2006/relationships/hyperlink" Target="https://doi.org/10.15376/biores.18.1.228-246" TargetMode="External"/><Relationship Id="rId52" Type="http://schemas.openxmlformats.org/officeDocument/2006/relationships/hyperlink" Target="https://doi.org/10.1007/s12098-015-1818-z" TargetMode="External"/><Relationship Id="rId1304" Type="http://schemas.openxmlformats.org/officeDocument/2006/relationships/hyperlink" Target="https://doi.org/10.1016/j.apsusc.2014.12.020" TargetMode="External"/><Relationship Id="rId55" Type="http://schemas.openxmlformats.org/officeDocument/2006/relationships/hyperlink" Target="https://openalex.org/funders/f4320334468" TargetMode="External"/><Relationship Id="rId1305" Type="http://schemas.openxmlformats.org/officeDocument/2006/relationships/hyperlink" Target="https://openalex.org/funders/f4320322120" TargetMode="External"/><Relationship Id="rId54" Type="http://schemas.openxmlformats.org/officeDocument/2006/relationships/hyperlink" Target="https://doi.org/10.1109/ACCESS.2021.3128399" TargetMode="External"/><Relationship Id="rId1306" Type="http://schemas.openxmlformats.org/officeDocument/2006/relationships/hyperlink" Target="https://doi.org/10.1177/2043808719838937" TargetMode="External"/><Relationship Id="rId57" Type="http://schemas.openxmlformats.org/officeDocument/2006/relationships/hyperlink" Target="https://openalex.org/funders/f4320322120" TargetMode="External"/><Relationship Id="rId1307" Type="http://schemas.openxmlformats.org/officeDocument/2006/relationships/hyperlink" Target="https://openalex.org/funders/f4320334593" TargetMode="External"/><Relationship Id="rId56" Type="http://schemas.openxmlformats.org/officeDocument/2006/relationships/hyperlink" Target="https://doi.org/10.1055/s-0043-104934" TargetMode="External"/><Relationship Id="rId1308" Type="http://schemas.openxmlformats.org/officeDocument/2006/relationships/hyperlink" Target="https://doi.org/10.3390/foods10122973" TargetMode="External"/><Relationship Id="rId1309" Type="http://schemas.openxmlformats.org/officeDocument/2006/relationships/hyperlink" Target="https://doi.org/10.1111/icad.12447" TargetMode="External"/><Relationship Id="rId719" Type="http://schemas.openxmlformats.org/officeDocument/2006/relationships/hyperlink" Target="https://doi.org/10.1515/jpem-2014-0242" TargetMode="External"/><Relationship Id="rId718" Type="http://schemas.openxmlformats.org/officeDocument/2006/relationships/hyperlink" Target="https://openalex.org/funders/f4320334627" TargetMode="External"/><Relationship Id="rId717" Type="http://schemas.openxmlformats.org/officeDocument/2006/relationships/hyperlink" Target="https://doi.org/10.1016/j.advwatres.2020.103693" TargetMode="External"/><Relationship Id="rId959" Type="http://schemas.openxmlformats.org/officeDocument/2006/relationships/hyperlink" Target="https://openalex.org/funders/f4320322622" TargetMode="External"/><Relationship Id="rId712" Type="http://schemas.openxmlformats.org/officeDocument/2006/relationships/hyperlink" Target="https://openalex.org/funders/f4320322030" TargetMode="External"/><Relationship Id="rId954" Type="http://schemas.openxmlformats.org/officeDocument/2006/relationships/hyperlink" Target="https://doi.org/10.1049/cit2.12090" TargetMode="External"/><Relationship Id="rId711" Type="http://schemas.openxmlformats.org/officeDocument/2006/relationships/hyperlink" Target="https://doi.org/10.1016/j.bmcl.2014.09.089" TargetMode="External"/><Relationship Id="rId953" Type="http://schemas.openxmlformats.org/officeDocument/2006/relationships/hyperlink" Target="https://openalex.org/funders/f4320322120" TargetMode="External"/><Relationship Id="rId710" Type="http://schemas.openxmlformats.org/officeDocument/2006/relationships/hyperlink" Target="https://openalex.org/institutions/i4210093762" TargetMode="External"/><Relationship Id="rId952" Type="http://schemas.openxmlformats.org/officeDocument/2006/relationships/hyperlink" Target="https://doi.org/10.1038/s41574-021-00554-6" TargetMode="External"/><Relationship Id="rId951" Type="http://schemas.openxmlformats.org/officeDocument/2006/relationships/hyperlink" Target="https://doi.org/10.1016/j.jct.2014.04.026" TargetMode="External"/><Relationship Id="rId716" Type="http://schemas.openxmlformats.org/officeDocument/2006/relationships/hyperlink" Target="https://openalex.org/funders/f4320337354" TargetMode="External"/><Relationship Id="rId958" Type="http://schemas.openxmlformats.org/officeDocument/2006/relationships/hyperlink" Target="https://doi.org/10.1016/j.jiec.2017.03.026" TargetMode="External"/><Relationship Id="rId715" Type="http://schemas.openxmlformats.org/officeDocument/2006/relationships/hyperlink" Target="https://doi.org/10.2217/pgs-2018-0047" TargetMode="External"/><Relationship Id="rId957" Type="http://schemas.openxmlformats.org/officeDocument/2006/relationships/hyperlink" Target="https://doi.org/10.1038/nature18273" TargetMode="External"/><Relationship Id="rId714" Type="http://schemas.openxmlformats.org/officeDocument/2006/relationships/hyperlink" Target="https://openalex.org/funders/f4320320767" TargetMode="External"/><Relationship Id="rId956" Type="http://schemas.openxmlformats.org/officeDocument/2006/relationships/hyperlink" Target="https://doi.org/10.1177/097542531100200206" TargetMode="External"/><Relationship Id="rId713" Type="http://schemas.openxmlformats.org/officeDocument/2006/relationships/hyperlink" Target="https://doi.org/10.1055/a-1777-2423" TargetMode="External"/><Relationship Id="rId955" Type="http://schemas.openxmlformats.org/officeDocument/2006/relationships/hyperlink" Target="https://doi.org/10.1038/s41598-021-82007-8" TargetMode="External"/><Relationship Id="rId59" Type="http://schemas.openxmlformats.org/officeDocument/2006/relationships/hyperlink" Target="https://openalex.org/funders/f4320322795" TargetMode="External"/><Relationship Id="rId58" Type="http://schemas.openxmlformats.org/officeDocument/2006/relationships/hyperlink" Target="https://doi.org/10.1080/09593330.2011.556670" TargetMode="External"/><Relationship Id="rId950" Type="http://schemas.openxmlformats.org/officeDocument/2006/relationships/hyperlink" Target="https://doi.org/10.1364/AO.451861" TargetMode="External"/><Relationship Id="rId1300" Type="http://schemas.openxmlformats.org/officeDocument/2006/relationships/hyperlink" Target="https://doi.org/10.1002/aenm.201803175" TargetMode="External"/><Relationship Id="rId590" Type="http://schemas.openxmlformats.org/officeDocument/2006/relationships/hyperlink" Target="https://doi.org/10.1016/j.pocean.2014.04.024" TargetMode="External"/><Relationship Id="rId107" Type="http://schemas.openxmlformats.org/officeDocument/2006/relationships/hyperlink" Target="https://openalex.org/funders/f4320321001" TargetMode="External"/><Relationship Id="rId349" Type="http://schemas.openxmlformats.org/officeDocument/2006/relationships/hyperlink" Target="https://doi.org/10.7554/eLife.18558" TargetMode="External"/><Relationship Id="rId106" Type="http://schemas.openxmlformats.org/officeDocument/2006/relationships/hyperlink" Target="https://doi.org/10.1109/LMWC.2020.3008494" TargetMode="External"/><Relationship Id="rId348" Type="http://schemas.openxmlformats.org/officeDocument/2006/relationships/hyperlink" Target="https://doi.org/10.1016/j.kjms.2011.05.008" TargetMode="External"/><Relationship Id="rId105" Type="http://schemas.openxmlformats.org/officeDocument/2006/relationships/hyperlink" Target="https://doi.org/10.3390/md20030188" TargetMode="External"/><Relationship Id="rId347" Type="http://schemas.openxmlformats.org/officeDocument/2006/relationships/hyperlink" Target="https://openalex.org/funders/f4320334627" TargetMode="External"/><Relationship Id="rId589" Type="http://schemas.openxmlformats.org/officeDocument/2006/relationships/hyperlink" Target="https://openalex.org/funders/f4320322725" TargetMode="External"/><Relationship Id="rId104" Type="http://schemas.openxmlformats.org/officeDocument/2006/relationships/hyperlink" Target="https://openalex.org/funders/f4320334627" TargetMode="External"/><Relationship Id="rId346" Type="http://schemas.openxmlformats.org/officeDocument/2006/relationships/hyperlink" Target="https://doi.org/10.3762/bjoc.13.179" TargetMode="External"/><Relationship Id="rId588" Type="http://schemas.openxmlformats.org/officeDocument/2006/relationships/hyperlink" Target="https://doi.org/10.1088/1674-1056/22/7/074302" TargetMode="External"/><Relationship Id="rId109" Type="http://schemas.openxmlformats.org/officeDocument/2006/relationships/hyperlink" Target="https://openalex.org/funders/f4320335199" TargetMode="External"/><Relationship Id="rId1170" Type="http://schemas.openxmlformats.org/officeDocument/2006/relationships/hyperlink" Target="https://doi.org/10.1007/s40194-022-01281-w" TargetMode="External"/><Relationship Id="rId108" Type="http://schemas.openxmlformats.org/officeDocument/2006/relationships/hyperlink" Target="https://doi.org/10.1016/j.cattod.2020.01.003" TargetMode="External"/><Relationship Id="rId1171" Type="http://schemas.openxmlformats.org/officeDocument/2006/relationships/hyperlink" Target="https://doi.org/10.1073/pnas.1502251112" TargetMode="External"/><Relationship Id="rId341" Type="http://schemas.openxmlformats.org/officeDocument/2006/relationships/hyperlink" Target="https://openalex.org/funders/f4320321001" TargetMode="External"/><Relationship Id="rId583" Type="http://schemas.openxmlformats.org/officeDocument/2006/relationships/hyperlink" Target="https://doi.org/10.1117/12.2288074" TargetMode="External"/><Relationship Id="rId1172" Type="http://schemas.openxmlformats.org/officeDocument/2006/relationships/hyperlink" Target="https://doi.org/10.1175/WCAS-D-19-0057.1" TargetMode="External"/><Relationship Id="rId340" Type="http://schemas.openxmlformats.org/officeDocument/2006/relationships/hyperlink" Target="https://doi.org/10.1080/17455030.2021.1879406" TargetMode="External"/><Relationship Id="rId582" Type="http://schemas.openxmlformats.org/officeDocument/2006/relationships/hyperlink" Target="https://openalex.org/funders/f4320321001" TargetMode="External"/><Relationship Id="rId1173" Type="http://schemas.openxmlformats.org/officeDocument/2006/relationships/hyperlink" Target="https://doi.org/10.1179/2045772314Y.0000000245" TargetMode="External"/><Relationship Id="rId581" Type="http://schemas.openxmlformats.org/officeDocument/2006/relationships/hyperlink" Target="https://doi.org/10.1002/mma.4355" TargetMode="External"/><Relationship Id="rId1174" Type="http://schemas.openxmlformats.org/officeDocument/2006/relationships/hyperlink" Target="https://openalex.org/funders/f4320306127" TargetMode="External"/><Relationship Id="rId580" Type="http://schemas.openxmlformats.org/officeDocument/2006/relationships/hyperlink" Target="https://openalex.org/funders/f4320321079" TargetMode="External"/><Relationship Id="rId1175" Type="http://schemas.openxmlformats.org/officeDocument/2006/relationships/hyperlink" Target="https://doi.org/10.1016/j.crvi.2011.11.005" TargetMode="External"/><Relationship Id="rId103" Type="http://schemas.openxmlformats.org/officeDocument/2006/relationships/hyperlink" Target="https://doi.org/10.1017/S0305004112000564" TargetMode="External"/><Relationship Id="rId345" Type="http://schemas.openxmlformats.org/officeDocument/2006/relationships/hyperlink" Target="https://openalex.org/funders/f4320337351" TargetMode="External"/><Relationship Id="rId587" Type="http://schemas.openxmlformats.org/officeDocument/2006/relationships/hyperlink" Target="https://openalex.org/funders/f4320321001" TargetMode="External"/><Relationship Id="rId1176" Type="http://schemas.openxmlformats.org/officeDocument/2006/relationships/hyperlink" Target="https://openalex.org/funders/f4320337220" TargetMode="External"/><Relationship Id="rId102" Type="http://schemas.openxmlformats.org/officeDocument/2006/relationships/hyperlink" Target="https://openalex.org/funders/f4320320847" TargetMode="External"/><Relationship Id="rId344" Type="http://schemas.openxmlformats.org/officeDocument/2006/relationships/hyperlink" Target="https://doi.org/10.1002/rcm.3154" TargetMode="External"/><Relationship Id="rId586" Type="http://schemas.openxmlformats.org/officeDocument/2006/relationships/hyperlink" Target="https://doi.org/10.4028/www.scientific.net/AMR.233-235.1171" TargetMode="External"/><Relationship Id="rId1177" Type="http://schemas.openxmlformats.org/officeDocument/2006/relationships/hyperlink" Target="https://doi.org/10.1016/j.optlaseng.2017.07.001" TargetMode="External"/><Relationship Id="rId101" Type="http://schemas.openxmlformats.org/officeDocument/2006/relationships/hyperlink" Target="https://doi.org/10.1016/j.animal.2021.100321" TargetMode="External"/><Relationship Id="rId343" Type="http://schemas.openxmlformats.org/officeDocument/2006/relationships/hyperlink" Target="https://doi.org/10.1007/s10854-022-08649-0" TargetMode="External"/><Relationship Id="rId585" Type="http://schemas.openxmlformats.org/officeDocument/2006/relationships/hyperlink" Target="https://openalex.org/funders/f4320325628" TargetMode="External"/><Relationship Id="rId1178" Type="http://schemas.openxmlformats.org/officeDocument/2006/relationships/hyperlink" Target="https://openalex.org/funders/f4320321001" TargetMode="External"/><Relationship Id="rId100" Type="http://schemas.openxmlformats.org/officeDocument/2006/relationships/hyperlink" Target="https://doi.org/10.1002/hep.29499" TargetMode="External"/><Relationship Id="rId342" Type="http://schemas.openxmlformats.org/officeDocument/2006/relationships/hyperlink" Target="https://doi.org/10.1080/00029157.2017.1335635" TargetMode="External"/><Relationship Id="rId584" Type="http://schemas.openxmlformats.org/officeDocument/2006/relationships/hyperlink" Target="https://doi.org/10.1088/1361-6560/abbdb7" TargetMode="External"/><Relationship Id="rId1179" Type="http://schemas.openxmlformats.org/officeDocument/2006/relationships/hyperlink" Target="https://doi.org/10.1016/j.solidstatesciences.2010.10.008" TargetMode="External"/><Relationship Id="rId1169" Type="http://schemas.openxmlformats.org/officeDocument/2006/relationships/hyperlink" Target="https://doi.org/10.1007/s10653-015-9716-x" TargetMode="External"/><Relationship Id="rId338" Type="http://schemas.openxmlformats.org/officeDocument/2006/relationships/hyperlink" Target="https://doi.org/10.1016/j.expthermflusci.2017.06.011" TargetMode="External"/><Relationship Id="rId337" Type="http://schemas.openxmlformats.org/officeDocument/2006/relationships/hyperlink" Target="https://openalex.org/funders/f4320320912" TargetMode="External"/><Relationship Id="rId579" Type="http://schemas.openxmlformats.org/officeDocument/2006/relationships/hyperlink" Target="https://doi.org/10.1134/S0081543811050099" TargetMode="External"/><Relationship Id="rId336" Type="http://schemas.openxmlformats.org/officeDocument/2006/relationships/hyperlink" Target="https://doi.org/10.1016/j.biortech.2015.03.127" TargetMode="External"/><Relationship Id="rId578" Type="http://schemas.openxmlformats.org/officeDocument/2006/relationships/hyperlink" Target="https://openalex.org/funders/f4320320300" TargetMode="External"/><Relationship Id="rId335" Type="http://schemas.openxmlformats.org/officeDocument/2006/relationships/hyperlink" Target="https://doi.org/10.1007/s00213-019-05341-w" TargetMode="External"/><Relationship Id="rId577" Type="http://schemas.openxmlformats.org/officeDocument/2006/relationships/hyperlink" Target="https://doi.org/10.1364/OE.23.029715" TargetMode="External"/><Relationship Id="rId339" Type="http://schemas.openxmlformats.org/officeDocument/2006/relationships/hyperlink" Target="https://doi.org/10.1016/j.ssc.2011.01.022" TargetMode="External"/><Relationship Id="rId1160" Type="http://schemas.openxmlformats.org/officeDocument/2006/relationships/hyperlink" Target="https://openalex.org/funders/f4320335787" TargetMode="External"/><Relationship Id="rId330" Type="http://schemas.openxmlformats.org/officeDocument/2006/relationships/hyperlink" Target="https://doi.org/10.1103/PhysRevA.97.013426" TargetMode="External"/><Relationship Id="rId572" Type="http://schemas.openxmlformats.org/officeDocument/2006/relationships/hyperlink" Target="https://doi.org/10.1039/d1ay02077c" TargetMode="External"/><Relationship Id="rId1161" Type="http://schemas.openxmlformats.org/officeDocument/2006/relationships/hyperlink" Target="https://doi.org/10.1016/j.neuroimage.2018.01.075" TargetMode="External"/><Relationship Id="rId571" Type="http://schemas.openxmlformats.org/officeDocument/2006/relationships/hyperlink" Target="https://openalex.org/funders/f4320321181" TargetMode="External"/><Relationship Id="rId1162" Type="http://schemas.openxmlformats.org/officeDocument/2006/relationships/hyperlink" Target="https://doi.org/10.1016/j.ajog.2014.09.035" TargetMode="External"/><Relationship Id="rId570" Type="http://schemas.openxmlformats.org/officeDocument/2006/relationships/hyperlink" Target="https://doi.org/10.1038/s41598-021-82613-6" TargetMode="External"/><Relationship Id="rId1163" Type="http://schemas.openxmlformats.org/officeDocument/2006/relationships/hyperlink" Target="https://openalex.org/funders/f4320337611" TargetMode="External"/><Relationship Id="rId1164" Type="http://schemas.openxmlformats.org/officeDocument/2006/relationships/hyperlink" Target="https://doi.org/10.1016/j.fitote.2017.07.018" TargetMode="External"/><Relationship Id="rId334" Type="http://schemas.openxmlformats.org/officeDocument/2006/relationships/hyperlink" Target="https://doi.org/10.1007/s11771-019-4111-x" TargetMode="External"/><Relationship Id="rId576" Type="http://schemas.openxmlformats.org/officeDocument/2006/relationships/hyperlink" Target="https://doi.org/10.1016/j.apor.2021.102836" TargetMode="External"/><Relationship Id="rId1165" Type="http://schemas.openxmlformats.org/officeDocument/2006/relationships/hyperlink" Target="https://openalex.org/funders/f4320324202" TargetMode="External"/><Relationship Id="rId333" Type="http://schemas.openxmlformats.org/officeDocument/2006/relationships/hyperlink" Target="https://openalex.org/funders/f4320312633" TargetMode="External"/><Relationship Id="rId575" Type="http://schemas.openxmlformats.org/officeDocument/2006/relationships/hyperlink" Target="https://openalex.org/funders/f4320321040" TargetMode="External"/><Relationship Id="rId1166" Type="http://schemas.openxmlformats.org/officeDocument/2006/relationships/hyperlink" Target="https://doi.org/10.1016/j.resmic.2016.06.009" TargetMode="External"/><Relationship Id="rId332" Type="http://schemas.openxmlformats.org/officeDocument/2006/relationships/hyperlink" Target="https://doi.org/10.1016/j.foreco.2022.120142" TargetMode="External"/><Relationship Id="rId574" Type="http://schemas.openxmlformats.org/officeDocument/2006/relationships/hyperlink" Target="https://doi.org/10.1109/TVLSI.2008.2005672" TargetMode="External"/><Relationship Id="rId1167" Type="http://schemas.openxmlformats.org/officeDocument/2006/relationships/hyperlink" Target="https://openalex.org/funders/f4320321006" TargetMode="External"/><Relationship Id="rId331" Type="http://schemas.openxmlformats.org/officeDocument/2006/relationships/hyperlink" Target="https://openalex.org/funders/f4320308269" TargetMode="External"/><Relationship Id="rId573" Type="http://schemas.openxmlformats.org/officeDocument/2006/relationships/hyperlink" Target="https://openalex.org/funders/f4320322120" TargetMode="External"/><Relationship Id="rId1168" Type="http://schemas.openxmlformats.org/officeDocument/2006/relationships/hyperlink" Target="https://doi.org/10.1038/ncomms3195" TargetMode="External"/><Relationship Id="rId370" Type="http://schemas.openxmlformats.org/officeDocument/2006/relationships/hyperlink" Target="https://openalex.org/funders/f4320321001" TargetMode="External"/><Relationship Id="rId129" Type="http://schemas.openxmlformats.org/officeDocument/2006/relationships/hyperlink" Target="https://doi.org/10.1029/2020EA001248" TargetMode="External"/><Relationship Id="rId128" Type="http://schemas.openxmlformats.org/officeDocument/2006/relationships/hyperlink" Target="https://doi.org/10.1111/cmi.12138" TargetMode="External"/><Relationship Id="rId127" Type="http://schemas.openxmlformats.org/officeDocument/2006/relationships/hyperlink" Target="https://openalex.org/funders/f4320338080" TargetMode="External"/><Relationship Id="rId369" Type="http://schemas.openxmlformats.org/officeDocument/2006/relationships/hyperlink" Target="https://doi.org/10.3390/su11215919" TargetMode="External"/><Relationship Id="rId126" Type="http://schemas.openxmlformats.org/officeDocument/2006/relationships/hyperlink" Target="https://doi.org/10.3390/su132111853" TargetMode="External"/><Relationship Id="rId368" Type="http://schemas.openxmlformats.org/officeDocument/2006/relationships/hyperlink" Target="https://openalex.org/funders/f4320321764" TargetMode="External"/><Relationship Id="rId1190" Type="http://schemas.openxmlformats.org/officeDocument/2006/relationships/hyperlink" Target="https://doi.org/10.1371/journal.pone.0020374" TargetMode="External"/><Relationship Id="rId1191" Type="http://schemas.openxmlformats.org/officeDocument/2006/relationships/hyperlink" Target="https://doi.org/10.1007/s10886-012-0100-3" TargetMode="External"/><Relationship Id="rId1192" Type="http://schemas.openxmlformats.org/officeDocument/2006/relationships/hyperlink" Target="https://doi.org/10.1093/eurjpc/zwac156" TargetMode="External"/><Relationship Id="rId1193" Type="http://schemas.openxmlformats.org/officeDocument/2006/relationships/hyperlink" Target="https://openalex.org/funders/f4320320912" TargetMode="External"/><Relationship Id="rId121" Type="http://schemas.openxmlformats.org/officeDocument/2006/relationships/hyperlink" Target="https://doi.org/10.1016/j.resmic.2016.10.008" TargetMode="External"/><Relationship Id="rId363" Type="http://schemas.openxmlformats.org/officeDocument/2006/relationships/hyperlink" Target="https://doi.org/10.1007/978-3-030-00934-2_19" TargetMode="External"/><Relationship Id="rId1194" Type="http://schemas.openxmlformats.org/officeDocument/2006/relationships/hyperlink" Target="https://doi.org/10.5194/bg-10-2105-2013" TargetMode="External"/><Relationship Id="rId120" Type="http://schemas.openxmlformats.org/officeDocument/2006/relationships/hyperlink" Target="https://doi.org/10.1016/j.matdes.2017.07.062" TargetMode="External"/><Relationship Id="rId362" Type="http://schemas.openxmlformats.org/officeDocument/2006/relationships/hyperlink" Target="https://doi.org/10.1103/PhysRevLett.126.125701" TargetMode="External"/><Relationship Id="rId1195" Type="http://schemas.openxmlformats.org/officeDocument/2006/relationships/hyperlink" Target="https://doi.org/10.1159/000371439" TargetMode="External"/><Relationship Id="rId361" Type="http://schemas.openxmlformats.org/officeDocument/2006/relationships/hyperlink" Target="https://doi.org/10.1007/s00202-020-00950-7" TargetMode="External"/><Relationship Id="rId1196" Type="http://schemas.openxmlformats.org/officeDocument/2006/relationships/hyperlink" Target="https://openalex.org/funders/f4320321001" TargetMode="External"/><Relationship Id="rId360" Type="http://schemas.openxmlformats.org/officeDocument/2006/relationships/hyperlink" Target="https://openalex.org/funders/f4320327853" TargetMode="External"/><Relationship Id="rId1197" Type="http://schemas.openxmlformats.org/officeDocument/2006/relationships/hyperlink" Target="https://doi.org/10.1103/PhysRevA.98.063414" TargetMode="External"/><Relationship Id="rId125" Type="http://schemas.openxmlformats.org/officeDocument/2006/relationships/hyperlink" Target="https://openalex.org/funders/f4320337509" TargetMode="External"/><Relationship Id="rId367" Type="http://schemas.openxmlformats.org/officeDocument/2006/relationships/hyperlink" Target="https://doi.org/10.1016/j.jclepro.2020.123367" TargetMode="External"/><Relationship Id="rId1198" Type="http://schemas.openxmlformats.org/officeDocument/2006/relationships/hyperlink" Target="https://openalex.org/funders/f4320322572" TargetMode="External"/><Relationship Id="rId124" Type="http://schemas.openxmlformats.org/officeDocument/2006/relationships/hyperlink" Target="https://doi.org/10.1016/j.jnucmat.2015.12.023" TargetMode="External"/><Relationship Id="rId366" Type="http://schemas.openxmlformats.org/officeDocument/2006/relationships/hyperlink" Target="https://openalex.org/funders/f4320321881" TargetMode="External"/><Relationship Id="rId1199" Type="http://schemas.openxmlformats.org/officeDocument/2006/relationships/hyperlink" Target="https://doi.org/10.1093/ofid/ofab121" TargetMode="External"/><Relationship Id="rId123" Type="http://schemas.openxmlformats.org/officeDocument/2006/relationships/hyperlink" Target="https://doi.org/10.1016/j.ijbiomac.2019.01.048" TargetMode="External"/><Relationship Id="rId365" Type="http://schemas.openxmlformats.org/officeDocument/2006/relationships/hyperlink" Target="https://doi.org/10.3750/AIP2008.38.2.12" TargetMode="External"/><Relationship Id="rId122" Type="http://schemas.openxmlformats.org/officeDocument/2006/relationships/hyperlink" Target="https://doi.org/10.1016/j.biortech.2017.04.009" TargetMode="External"/><Relationship Id="rId364" Type="http://schemas.openxmlformats.org/officeDocument/2006/relationships/hyperlink" Target="https://openalex.org/funders/f4320320879" TargetMode="External"/><Relationship Id="rId95" Type="http://schemas.openxmlformats.org/officeDocument/2006/relationships/hyperlink" Target="https://doi.org/10.3390/math9121345" TargetMode="External"/><Relationship Id="rId94" Type="http://schemas.openxmlformats.org/officeDocument/2006/relationships/hyperlink" Target="https://openalex.org/funders/f4320321001" TargetMode="External"/><Relationship Id="rId97" Type="http://schemas.openxmlformats.org/officeDocument/2006/relationships/hyperlink" Target="https://doi.org/10.1039/d2qo00057a" TargetMode="External"/><Relationship Id="rId96" Type="http://schemas.openxmlformats.org/officeDocument/2006/relationships/hyperlink" Target="https://doi.org/10.1371/journal.pone.0077355" TargetMode="External"/><Relationship Id="rId99" Type="http://schemas.openxmlformats.org/officeDocument/2006/relationships/hyperlink" Target="https://openalex.org/funders/f4320321040" TargetMode="External"/><Relationship Id="rId98" Type="http://schemas.openxmlformats.org/officeDocument/2006/relationships/hyperlink" Target="https://doi.org/10.1016/j.jinf.2013.07.029" TargetMode="External"/><Relationship Id="rId91" Type="http://schemas.openxmlformats.org/officeDocument/2006/relationships/hyperlink" Target="https://openalex.org/funders/f4320321837" TargetMode="External"/><Relationship Id="rId90" Type="http://schemas.openxmlformats.org/officeDocument/2006/relationships/hyperlink" Target="https://doi.org/10.1007/s10530-020-02427-x" TargetMode="External"/><Relationship Id="rId93" Type="http://schemas.openxmlformats.org/officeDocument/2006/relationships/hyperlink" Target="https://doi.org/10.1016/j.egyr.2021.11.131" TargetMode="External"/><Relationship Id="rId92" Type="http://schemas.openxmlformats.org/officeDocument/2006/relationships/hyperlink" Target="https://doi.org/10.1038/s41598-018-21349-2" TargetMode="External"/><Relationship Id="rId118" Type="http://schemas.openxmlformats.org/officeDocument/2006/relationships/hyperlink" Target="https://doi.org/10.1007/s10900-017-0463-z" TargetMode="External"/><Relationship Id="rId117" Type="http://schemas.openxmlformats.org/officeDocument/2006/relationships/hyperlink" Target="https://doi.org/10.1093/cercor/bhw353" TargetMode="External"/><Relationship Id="rId359" Type="http://schemas.openxmlformats.org/officeDocument/2006/relationships/hyperlink" Target="https://doi.org/10.1615/ICHMT.2012.ProcSevIntSympTurbHeatTransfPal.950" TargetMode="External"/><Relationship Id="rId116" Type="http://schemas.openxmlformats.org/officeDocument/2006/relationships/hyperlink" Target="https://doi.org/10.1186/1471-2180-10-210" TargetMode="External"/><Relationship Id="rId358" Type="http://schemas.openxmlformats.org/officeDocument/2006/relationships/hyperlink" Target="https://doi.org/10.1002/for.2354" TargetMode="External"/><Relationship Id="rId115" Type="http://schemas.openxmlformats.org/officeDocument/2006/relationships/hyperlink" Target="https://doi.org/10.1310/tsr1904-294" TargetMode="External"/><Relationship Id="rId357" Type="http://schemas.openxmlformats.org/officeDocument/2006/relationships/hyperlink" Target="https://doi.org/10.1016/j.msea.2020.139586" TargetMode="External"/><Relationship Id="rId599" Type="http://schemas.openxmlformats.org/officeDocument/2006/relationships/hyperlink" Target="https://doi.org/10.1016/j.yofte.2016.07.008" TargetMode="External"/><Relationship Id="rId1180" Type="http://schemas.openxmlformats.org/officeDocument/2006/relationships/hyperlink" Target="https://openalex.org/funders/f4320321001" TargetMode="External"/><Relationship Id="rId1181" Type="http://schemas.openxmlformats.org/officeDocument/2006/relationships/hyperlink" Target="https://doi.org/10.1016/j.foodchem.2021.129552" TargetMode="External"/><Relationship Id="rId119" Type="http://schemas.openxmlformats.org/officeDocument/2006/relationships/hyperlink" Target="https://openalex.org/institutions/i1291847170" TargetMode="External"/><Relationship Id="rId1182" Type="http://schemas.openxmlformats.org/officeDocument/2006/relationships/hyperlink" Target="https://openalex.org/funders/f4320335777" TargetMode="External"/><Relationship Id="rId110" Type="http://schemas.openxmlformats.org/officeDocument/2006/relationships/hyperlink" Target="https://doi.org/10.1109/ACCESS.2020.3046327" TargetMode="External"/><Relationship Id="rId352" Type="http://schemas.openxmlformats.org/officeDocument/2006/relationships/hyperlink" Target="https://openalex.org/funders/f4320322726" TargetMode="External"/><Relationship Id="rId594" Type="http://schemas.openxmlformats.org/officeDocument/2006/relationships/hyperlink" Target="https://openalex.org/funders/f4320322025" TargetMode="External"/><Relationship Id="rId1183" Type="http://schemas.openxmlformats.org/officeDocument/2006/relationships/hyperlink" Target="https://doi.org/10.1111/1365-2664.13075" TargetMode="External"/><Relationship Id="rId351" Type="http://schemas.openxmlformats.org/officeDocument/2006/relationships/hyperlink" Target="https://doi.org/10.1007/s42114-018-0059-9" TargetMode="External"/><Relationship Id="rId593" Type="http://schemas.openxmlformats.org/officeDocument/2006/relationships/hyperlink" Target="https://doi.org/10.2217/FVL.11.46" TargetMode="External"/><Relationship Id="rId1184" Type="http://schemas.openxmlformats.org/officeDocument/2006/relationships/hyperlink" Target="https://doi.org/10.1016/j.radonc.2017.10.032" TargetMode="External"/><Relationship Id="rId350" Type="http://schemas.openxmlformats.org/officeDocument/2006/relationships/hyperlink" Target="https://doi.org/10.1007/s00268-016-3477-2" TargetMode="External"/><Relationship Id="rId592" Type="http://schemas.openxmlformats.org/officeDocument/2006/relationships/hyperlink" Target="https://doi.org/10.1016/j.vascn.2019.106579" TargetMode="External"/><Relationship Id="rId1185" Type="http://schemas.openxmlformats.org/officeDocument/2006/relationships/hyperlink" Target="https://doi.org/10.1016/j.cep.2012.07.011" TargetMode="External"/><Relationship Id="rId591" Type="http://schemas.openxmlformats.org/officeDocument/2006/relationships/hyperlink" Target="https://openalex.org/funders/f4320334631" TargetMode="External"/><Relationship Id="rId1186" Type="http://schemas.openxmlformats.org/officeDocument/2006/relationships/hyperlink" Target="https://openalex.org/funders/f4320322930" TargetMode="External"/><Relationship Id="rId114" Type="http://schemas.openxmlformats.org/officeDocument/2006/relationships/hyperlink" Target="https://doi.org/10.1016/j.febslet.2008.10.049" TargetMode="External"/><Relationship Id="rId356" Type="http://schemas.openxmlformats.org/officeDocument/2006/relationships/hyperlink" Target="https://doi.org/10.1021/jp2009989" TargetMode="External"/><Relationship Id="rId598" Type="http://schemas.openxmlformats.org/officeDocument/2006/relationships/hyperlink" Target="https://openalex.org/funders/f4320321883" TargetMode="External"/><Relationship Id="rId1187" Type="http://schemas.openxmlformats.org/officeDocument/2006/relationships/hyperlink" Target="https://doi.org/10.1249/MSS.0b013e3181e054f0" TargetMode="External"/><Relationship Id="rId113" Type="http://schemas.openxmlformats.org/officeDocument/2006/relationships/hyperlink" Target="https://openalex.org/funders/f4320306084" TargetMode="External"/><Relationship Id="rId355" Type="http://schemas.openxmlformats.org/officeDocument/2006/relationships/hyperlink" Target="https://doi.org/10.1016/j.jssc.2016.03.010" TargetMode="External"/><Relationship Id="rId597" Type="http://schemas.openxmlformats.org/officeDocument/2006/relationships/hyperlink" Target="https://doi.org/10.1016/j.jenvman.2020.110140" TargetMode="External"/><Relationship Id="rId1188" Type="http://schemas.openxmlformats.org/officeDocument/2006/relationships/hyperlink" Target="https://doi.org/10.29202/phil-cosm/28/8" TargetMode="External"/><Relationship Id="rId112" Type="http://schemas.openxmlformats.org/officeDocument/2006/relationships/hyperlink" Target="https://doi.org/10.1103/PhysRevB.94.165114" TargetMode="External"/><Relationship Id="rId354" Type="http://schemas.openxmlformats.org/officeDocument/2006/relationships/hyperlink" Target="https://doi.org/10.1111/dom.12274" TargetMode="External"/><Relationship Id="rId596" Type="http://schemas.openxmlformats.org/officeDocument/2006/relationships/hyperlink" Target="https://openalex.org/funders/f4320334897" TargetMode="External"/><Relationship Id="rId1189" Type="http://schemas.openxmlformats.org/officeDocument/2006/relationships/hyperlink" Target="https://openalex.org/funders/f4320327494" TargetMode="External"/><Relationship Id="rId111" Type="http://schemas.openxmlformats.org/officeDocument/2006/relationships/hyperlink" Target="https://doi.org/10.3390/antibiotics10111294" TargetMode="External"/><Relationship Id="rId353" Type="http://schemas.openxmlformats.org/officeDocument/2006/relationships/hyperlink" Target="https://doi.org/10.7566/JPSJ.91.114004" TargetMode="External"/><Relationship Id="rId595" Type="http://schemas.openxmlformats.org/officeDocument/2006/relationships/hyperlink" Target="https://doi.org/10.1007/s10067-020-05220-2" TargetMode="External"/><Relationship Id="rId1136" Type="http://schemas.openxmlformats.org/officeDocument/2006/relationships/hyperlink" Target="https://doi.org/10.1002/cmdc.201700049" TargetMode="External"/><Relationship Id="rId1378" Type="http://schemas.openxmlformats.org/officeDocument/2006/relationships/hyperlink" Target="https://openalex.org/funders/f4320320912" TargetMode="External"/><Relationship Id="rId1137" Type="http://schemas.openxmlformats.org/officeDocument/2006/relationships/hyperlink" Target="https://openalex.org/funders/f4320315909" TargetMode="External"/><Relationship Id="rId1379" Type="http://schemas.openxmlformats.org/officeDocument/2006/relationships/hyperlink" Target="https://doi.org/10.1080/02723638.2020.1785202" TargetMode="External"/><Relationship Id="rId1138" Type="http://schemas.openxmlformats.org/officeDocument/2006/relationships/hyperlink" Target="https://doi.org/10.1016/j.fct.2022.113492" TargetMode="External"/><Relationship Id="rId1139" Type="http://schemas.openxmlformats.org/officeDocument/2006/relationships/hyperlink" Target="https://openalex.org/funders/f4320321739" TargetMode="External"/><Relationship Id="rId305" Type="http://schemas.openxmlformats.org/officeDocument/2006/relationships/hyperlink" Target="https://openalex.org/funders/f4320322971" TargetMode="External"/><Relationship Id="rId547" Type="http://schemas.openxmlformats.org/officeDocument/2006/relationships/hyperlink" Target="https://openalex.org/funders/f4320327494" TargetMode="External"/><Relationship Id="rId789" Type="http://schemas.openxmlformats.org/officeDocument/2006/relationships/hyperlink" Target="https://openalex.org/funders/f4320321091" TargetMode="External"/><Relationship Id="rId304" Type="http://schemas.openxmlformats.org/officeDocument/2006/relationships/hyperlink" Target="https://doi.org/10.1186/s12891-016-1328-9" TargetMode="External"/><Relationship Id="rId546" Type="http://schemas.openxmlformats.org/officeDocument/2006/relationships/hyperlink" Target="https://doi.org/10.3390/buildings11110537" TargetMode="External"/><Relationship Id="rId788" Type="http://schemas.openxmlformats.org/officeDocument/2006/relationships/hyperlink" Target="https://doi.org/10.1016/j.foodhyd.2018.09.012" TargetMode="External"/><Relationship Id="rId303" Type="http://schemas.openxmlformats.org/officeDocument/2006/relationships/hyperlink" Target="https://doi.org/10.1109/TGRS.2020.3012276" TargetMode="External"/><Relationship Id="rId545" Type="http://schemas.openxmlformats.org/officeDocument/2006/relationships/hyperlink" Target="https://openalex.org/funders/f4320321001" TargetMode="External"/><Relationship Id="rId787" Type="http://schemas.openxmlformats.org/officeDocument/2006/relationships/hyperlink" Target="https://doi.org/10.1016/j.snb.2012.12.121" TargetMode="External"/><Relationship Id="rId302" Type="http://schemas.openxmlformats.org/officeDocument/2006/relationships/hyperlink" Target="https://doi.org/10.1039/c7ee00777a" TargetMode="External"/><Relationship Id="rId544" Type="http://schemas.openxmlformats.org/officeDocument/2006/relationships/hyperlink" Target="https://doi.org/10.1063/1.5045829" TargetMode="External"/><Relationship Id="rId786" Type="http://schemas.openxmlformats.org/officeDocument/2006/relationships/hyperlink" Target="https://doi.org/10.1107/S2052252519001453" TargetMode="External"/><Relationship Id="rId309" Type="http://schemas.openxmlformats.org/officeDocument/2006/relationships/hyperlink" Target="https://doi.org/10.1063/1.4733319" TargetMode="External"/><Relationship Id="rId308" Type="http://schemas.openxmlformats.org/officeDocument/2006/relationships/hyperlink" Target="https://doi.org/10.3389/fmicb.2020.00852" TargetMode="External"/><Relationship Id="rId307" Type="http://schemas.openxmlformats.org/officeDocument/2006/relationships/hyperlink" Target="https://openalex.org/funders/f4320334705" TargetMode="External"/><Relationship Id="rId549" Type="http://schemas.openxmlformats.org/officeDocument/2006/relationships/hyperlink" Target="https://doi.org/10.1007/s11432-017-9185-6" TargetMode="External"/><Relationship Id="rId306" Type="http://schemas.openxmlformats.org/officeDocument/2006/relationships/hyperlink" Target="https://doi.org/10.1111/j.1365-2567.2011.03487.x" TargetMode="External"/><Relationship Id="rId548" Type="http://schemas.openxmlformats.org/officeDocument/2006/relationships/hyperlink" Target="https://doi.org/10.1116/1.3622621" TargetMode="External"/><Relationship Id="rId781" Type="http://schemas.openxmlformats.org/officeDocument/2006/relationships/hyperlink" Target="https://doi.org/10.3390/antiox7010016" TargetMode="External"/><Relationship Id="rId1370" Type="http://schemas.openxmlformats.org/officeDocument/2006/relationships/hyperlink" Target="https://doi.org/10.1016/j.jtice.2011.02.006" TargetMode="External"/><Relationship Id="rId780" Type="http://schemas.openxmlformats.org/officeDocument/2006/relationships/hyperlink" Target="https://doi.org/10.1128/JVI.00447-14" TargetMode="External"/><Relationship Id="rId1371" Type="http://schemas.openxmlformats.org/officeDocument/2006/relationships/hyperlink" Target="https://doi.org/10.1103/PhysRevE.81.031127" TargetMode="External"/><Relationship Id="rId1130" Type="http://schemas.openxmlformats.org/officeDocument/2006/relationships/hyperlink" Target="https://doi.org/10.1016/j.hrthm.2007.08.014" TargetMode="External"/><Relationship Id="rId1372" Type="http://schemas.openxmlformats.org/officeDocument/2006/relationships/hyperlink" Target="https://doi.org/10.1038/srep05757" TargetMode="External"/><Relationship Id="rId1131" Type="http://schemas.openxmlformats.org/officeDocument/2006/relationships/hyperlink" Target="https://openalex.org/funders/f4320337338" TargetMode="External"/><Relationship Id="rId1373" Type="http://schemas.openxmlformats.org/officeDocument/2006/relationships/hyperlink" Target="https://doi.org/10.2337/db20-248-LB" TargetMode="External"/><Relationship Id="rId301" Type="http://schemas.openxmlformats.org/officeDocument/2006/relationships/hyperlink" Target="https://openalex.org/funders/f4320337359" TargetMode="External"/><Relationship Id="rId543" Type="http://schemas.openxmlformats.org/officeDocument/2006/relationships/hyperlink" Target="https://doi.org/10.1186/s13018-018-0810-5" TargetMode="External"/><Relationship Id="rId785" Type="http://schemas.openxmlformats.org/officeDocument/2006/relationships/hyperlink" Target="https://doi.org/10.2174/1381612825666190312110836" TargetMode="External"/><Relationship Id="rId1132" Type="http://schemas.openxmlformats.org/officeDocument/2006/relationships/hyperlink" Target="https://doi.org/10.1111/imm.12582" TargetMode="External"/><Relationship Id="rId1374" Type="http://schemas.openxmlformats.org/officeDocument/2006/relationships/hyperlink" Target="https://openalex.org/funders/f4320321001" TargetMode="External"/><Relationship Id="rId300" Type="http://schemas.openxmlformats.org/officeDocument/2006/relationships/hyperlink" Target="https://doi.org/10.3791/50004" TargetMode="External"/><Relationship Id="rId542" Type="http://schemas.openxmlformats.org/officeDocument/2006/relationships/hyperlink" Target="https://doi.org/10.1002/jrs.2745" TargetMode="External"/><Relationship Id="rId784" Type="http://schemas.openxmlformats.org/officeDocument/2006/relationships/hyperlink" Target="https://openalex.org/funders/f4320321800" TargetMode="External"/><Relationship Id="rId1133" Type="http://schemas.openxmlformats.org/officeDocument/2006/relationships/hyperlink" Target="https://doi.org/10.1002/adma.201707122" TargetMode="External"/><Relationship Id="rId1375" Type="http://schemas.openxmlformats.org/officeDocument/2006/relationships/hyperlink" Target="https://doi.org/10.1039/c7cp00983f" TargetMode="External"/><Relationship Id="rId541" Type="http://schemas.openxmlformats.org/officeDocument/2006/relationships/hyperlink" Target="https://openalex.org/funders/f4320334627" TargetMode="External"/><Relationship Id="rId783" Type="http://schemas.openxmlformats.org/officeDocument/2006/relationships/hyperlink" Target="https://doi.org/10.3389/fnins.2019.00546" TargetMode="External"/><Relationship Id="rId1134" Type="http://schemas.openxmlformats.org/officeDocument/2006/relationships/hyperlink" Target="https://doi.org/10.1039/c2jm16896k" TargetMode="External"/><Relationship Id="rId1376" Type="http://schemas.openxmlformats.org/officeDocument/2006/relationships/hyperlink" Target="https://openalex.org/funders/f4320322727" TargetMode="External"/><Relationship Id="rId540" Type="http://schemas.openxmlformats.org/officeDocument/2006/relationships/hyperlink" Target="https://doi.org/10.1016/j.visres.2008.11.006" TargetMode="External"/><Relationship Id="rId782" Type="http://schemas.openxmlformats.org/officeDocument/2006/relationships/hyperlink" Target="https://openalex.org/funders/f4320337472" TargetMode="External"/><Relationship Id="rId1135" Type="http://schemas.openxmlformats.org/officeDocument/2006/relationships/hyperlink" Target="https://doi.org/10.1186/s12896-018-0417-2" TargetMode="External"/><Relationship Id="rId1377" Type="http://schemas.openxmlformats.org/officeDocument/2006/relationships/hyperlink" Target="https://doi.org/10.1016/j.gca.2018.08.020" TargetMode="External"/><Relationship Id="rId1125" Type="http://schemas.openxmlformats.org/officeDocument/2006/relationships/hyperlink" Target="https://openalex.org/institutions/i4210163058" TargetMode="External"/><Relationship Id="rId1367" Type="http://schemas.openxmlformats.org/officeDocument/2006/relationships/hyperlink" Target="https://doi.org/10.1029/2012JE004060" TargetMode="External"/><Relationship Id="rId1126" Type="http://schemas.openxmlformats.org/officeDocument/2006/relationships/hyperlink" Target="https://doi.org/10.1016/j.chemphys.2017.04.009" TargetMode="External"/><Relationship Id="rId1368" Type="http://schemas.openxmlformats.org/officeDocument/2006/relationships/hyperlink" Target="https://openalex.org/funders/f4320334593" TargetMode="External"/><Relationship Id="rId1127" Type="http://schemas.openxmlformats.org/officeDocument/2006/relationships/hyperlink" Target="https://doi.org/10.1016/j.apenergy.2016.10.035" TargetMode="External"/><Relationship Id="rId1369" Type="http://schemas.openxmlformats.org/officeDocument/2006/relationships/hyperlink" Target="https://doi.org/10.1016/j.anbehav.2011.02.016" TargetMode="External"/><Relationship Id="rId1128" Type="http://schemas.openxmlformats.org/officeDocument/2006/relationships/hyperlink" Target="https://doi.org/10.3390/v8070193" TargetMode="External"/><Relationship Id="rId1129" Type="http://schemas.openxmlformats.org/officeDocument/2006/relationships/hyperlink" Target="https://doi.org/10.1088/1674-4527/21/8/211" TargetMode="External"/><Relationship Id="rId536" Type="http://schemas.openxmlformats.org/officeDocument/2006/relationships/hyperlink" Target="https://doi.org/10.1016/j.scico.2011.11.003" TargetMode="External"/><Relationship Id="rId778" Type="http://schemas.openxmlformats.org/officeDocument/2006/relationships/hyperlink" Target="https://doi.org/10.1371/journal.pcbi.1008842" TargetMode="External"/><Relationship Id="rId535" Type="http://schemas.openxmlformats.org/officeDocument/2006/relationships/hyperlink" Target="https://doi.org/10.1016/j.virol.2018.01.031" TargetMode="External"/><Relationship Id="rId777" Type="http://schemas.openxmlformats.org/officeDocument/2006/relationships/hyperlink" Target="https://openalex.org/funders/f4320338080" TargetMode="External"/><Relationship Id="rId534" Type="http://schemas.openxmlformats.org/officeDocument/2006/relationships/hyperlink" Target="https://doi.org/10.1161/CIRCRESAHA.109.212530" TargetMode="External"/><Relationship Id="rId776" Type="http://schemas.openxmlformats.org/officeDocument/2006/relationships/hyperlink" Target="https://doi.org/10.1088/1367-2630/13/3/033014" TargetMode="External"/><Relationship Id="rId533" Type="http://schemas.openxmlformats.org/officeDocument/2006/relationships/hyperlink" Target="https://openalex.org/funders/f4320323299" TargetMode="External"/><Relationship Id="rId775" Type="http://schemas.openxmlformats.org/officeDocument/2006/relationships/hyperlink" Target="https://doi.org/10.3382/ps/pex395" TargetMode="External"/><Relationship Id="rId539" Type="http://schemas.openxmlformats.org/officeDocument/2006/relationships/hyperlink" Target="https://doi.org/10.1007/s00024-010-0096-y" TargetMode="External"/><Relationship Id="rId538" Type="http://schemas.openxmlformats.org/officeDocument/2006/relationships/hyperlink" Target="https://doi.org/10.1109/BIBM49941.2020.9313496" TargetMode="External"/><Relationship Id="rId537" Type="http://schemas.openxmlformats.org/officeDocument/2006/relationships/hyperlink" Target="https://doi.org/10.3733/ca.v067n03p128" TargetMode="External"/><Relationship Id="rId779" Type="http://schemas.openxmlformats.org/officeDocument/2006/relationships/hyperlink" Target="https://openalex.org/funders/f4320321001" TargetMode="External"/><Relationship Id="rId770" Type="http://schemas.openxmlformats.org/officeDocument/2006/relationships/hyperlink" Target="https://doi.org/10.1016/j.ijggc.2016.12.013" TargetMode="External"/><Relationship Id="rId1360" Type="http://schemas.openxmlformats.org/officeDocument/2006/relationships/hyperlink" Target="https://doi.org/10.1088/1674-1056/ab7d97" TargetMode="External"/><Relationship Id="rId1361" Type="http://schemas.openxmlformats.org/officeDocument/2006/relationships/hyperlink" Target="https://openalex.org/funders/f4320322667" TargetMode="External"/><Relationship Id="rId1120" Type="http://schemas.openxmlformats.org/officeDocument/2006/relationships/hyperlink" Target="https://openalex.org/funders/f4320321001" TargetMode="External"/><Relationship Id="rId1362" Type="http://schemas.openxmlformats.org/officeDocument/2006/relationships/hyperlink" Target="https://doi.org/10.1007/s00222-020-01023-z" TargetMode="External"/><Relationship Id="rId532" Type="http://schemas.openxmlformats.org/officeDocument/2006/relationships/hyperlink" Target="https://doi.org/10.1080/13691457.2021.2016650" TargetMode="External"/><Relationship Id="rId774" Type="http://schemas.openxmlformats.org/officeDocument/2006/relationships/hyperlink" Target="https://doi.org/10.1016/j.tet.2008.07.063" TargetMode="External"/><Relationship Id="rId1121" Type="http://schemas.openxmlformats.org/officeDocument/2006/relationships/hyperlink" Target="https://doi.org/10.1155/2017/6786270" TargetMode="External"/><Relationship Id="rId1363" Type="http://schemas.openxmlformats.org/officeDocument/2006/relationships/hyperlink" Target="https://doi.org/10.1021/acsomega.7b00753" TargetMode="External"/><Relationship Id="rId531" Type="http://schemas.openxmlformats.org/officeDocument/2006/relationships/hyperlink" Target="https://doi.org/10.3389/fmolb.2016.00023" TargetMode="External"/><Relationship Id="rId773" Type="http://schemas.openxmlformats.org/officeDocument/2006/relationships/hyperlink" Target="https://doi.org/10.3389/fmicb.2018.02760" TargetMode="External"/><Relationship Id="rId1122" Type="http://schemas.openxmlformats.org/officeDocument/2006/relationships/hyperlink" Target="https://doi.org/10.3389/fpls.2015.00200" TargetMode="External"/><Relationship Id="rId1364" Type="http://schemas.openxmlformats.org/officeDocument/2006/relationships/hyperlink" Target="https://doi.org/10.1364/OE.449884" TargetMode="External"/><Relationship Id="rId530" Type="http://schemas.openxmlformats.org/officeDocument/2006/relationships/hyperlink" Target="https://doi.org/10.3390/molecules201017929" TargetMode="External"/><Relationship Id="rId772" Type="http://schemas.openxmlformats.org/officeDocument/2006/relationships/hyperlink" Target="https://openalex.org/funders/f4320321001" TargetMode="External"/><Relationship Id="rId1123" Type="http://schemas.openxmlformats.org/officeDocument/2006/relationships/hyperlink" Target="https://openalex.org/funders/f4320332167" TargetMode="External"/><Relationship Id="rId1365" Type="http://schemas.openxmlformats.org/officeDocument/2006/relationships/hyperlink" Target="https://doi.org/10.1134/S0036024421120128" TargetMode="External"/><Relationship Id="rId771" Type="http://schemas.openxmlformats.org/officeDocument/2006/relationships/hyperlink" Target="https://doi.org/10.1007/s42154-018-0022-z" TargetMode="External"/><Relationship Id="rId1124" Type="http://schemas.openxmlformats.org/officeDocument/2006/relationships/hyperlink" Target="https://doi.org/10.1371/journal.pone.0201332" TargetMode="External"/><Relationship Id="rId1366" Type="http://schemas.openxmlformats.org/officeDocument/2006/relationships/hyperlink" Target="https://openalex.org/funders/f4320324099" TargetMode="External"/><Relationship Id="rId1158" Type="http://schemas.openxmlformats.org/officeDocument/2006/relationships/hyperlink" Target="https://doi.org/10.1016/j.enconman.2022.115557" TargetMode="External"/><Relationship Id="rId1159" Type="http://schemas.openxmlformats.org/officeDocument/2006/relationships/hyperlink" Target="https://doi.org/10.1002/ghg.1874" TargetMode="External"/><Relationship Id="rId327" Type="http://schemas.openxmlformats.org/officeDocument/2006/relationships/hyperlink" Target="https://doi.org/10.4028/www.scientific.net/AMR.382.396" TargetMode="External"/><Relationship Id="rId569" Type="http://schemas.openxmlformats.org/officeDocument/2006/relationships/hyperlink" Target="https://doi.org/10.1016/j.cclet.2022.01.013" TargetMode="External"/><Relationship Id="rId326" Type="http://schemas.openxmlformats.org/officeDocument/2006/relationships/hyperlink" Target="https://openalex.org/institutions/i1279684262" TargetMode="External"/><Relationship Id="rId568" Type="http://schemas.openxmlformats.org/officeDocument/2006/relationships/hyperlink" Target="https://doi.org/10.3390/molecules19068472" TargetMode="External"/><Relationship Id="rId325" Type="http://schemas.openxmlformats.org/officeDocument/2006/relationships/hyperlink" Target="https://doi.org/10.1016/j.hlpt.2016.07.004" TargetMode="External"/><Relationship Id="rId567" Type="http://schemas.openxmlformats.org/officeDocument/2006/relationships/hyperlink" Target="https://openalex.org/funders/f4320334764" TargetMode="External"/><Relationship Id="rId324" Type="http://schemas.openxmlformats.org/officeDocument/2006/relationships/hyperlink" Target="https://openalex.org/funders/f4320322674" TargetMode="External"/><Relationship Id="rId566" Type="http://schemas.openxmlformats.org/officeDocument/2006/relationships/hyperlink" Target="https://doi.org/10.1088/1361-6579/aac033" TargetMode="External"/><Relationship Id="rId329" Type="http://schemas.openxmlformats.org/officeDocument/2006/relationships/hyperlink" Target="https://openalex.org/funders/f4320337355" TargetMode="External"/><Relationship Id="rId1390" Type="http://schemas.openxmlformats.org/officeDocument/2006/relationships/hyperlink" Target="https://doi.org/10.1016/j.asr.2021.04.049" TargetMode="External"/><Relationship Id="rId328" Type="http://schemas.openxmlformats.org/officeDocument/2006/relationships/hyperlink" Target="https://doi.org/10.1086/650304" TargetMode="External"/><Relationship Id="rId1391" Type="http://schemas.openxmlformats.org/officeDocument/2006/relationships/hyperlink" Target="https://doi.org/10.1016/j.polymertesting.2022.107715" TargetMode="External"/><Relationship Id="rId561" Type="http://schemas.openxmlformats.org/officeDocument/2006/relationships/hyperlink" Target="https://openalex.org/funders/f4320321001" TargetMode="External"/><Relationship Id="rId1150" Type="http://schemas.openxmlformats.org/officeDocument/2006/relationships/hyperlink" Target="https://openalex.org/funders/f4320334764" TargetMode="External"/><Relationship Id="rId1392" Type="http://schemas.openxmlformats.org/officeDocument/2006/relationships/hyperlink" Target="https://openalex.org/funders/f4320329857" TargetMode="External"/><Relationship Id="rId560" Type="http://schemas.openxmlformats.org/officeDocument/2006/relationships/hyperlink" Target="https://doi.org/10.1007/s11085-009-9143-4" TargetMode="External"/><Relationship Id="rId1151" Type="http://schemas.openxmlformats.org/officeDocument/2006/relationships/hyperlink" Target="https://doi.org/10.1177/1043659611404424" TargetMode="External"/><Relationship Id="rId1393" Type="http://schemas.openxmlformats.org/officeDocument/2006/relationships/hyperlink" Target="https://doi.org/10.1007/s10514-020-09926-9" TargetMode="External"/><Relationship Id="rId1152" Type="http://schemas.openxmlformats.org/officeDocument/2006/relationships/hyperlink" Target="https://openalex.org/funders/f4320322716" TargetMode="External"/><Relationship Id="rId1394" Type="http://schemas.openxmlformats.org/officeDocument/2006/relationships/hyperlink" Target="https://openalex.org/funders/f4320325472" TargetMode="External"/><Relationship Id="rId1153" Type="http://schemas.openxmlformats.org/officeDocument/2006/relationships/hyperlink" Target="https://doi.org/10.1161/STROKEAHA.111.620187" TargetMode="External"/><Relationship Id="rId1395" Type="http://schemas.openxmlformats.org/officeDocument/2006/relationships/hyperlink" Target="https://doi.org/10.1007/s00011-010-0269-2" TargetMode="External"/><Relationship Id="rId323" Type="http://schemas.openxmlformats.org/officeDocument/2006/relationships/hyperlink" Target="https://doi.org/10.19195/0208-4147.38.2.11" TargetMode="External"/><Relationship Id="rId565" Type="http://schemas.openxmlformats.org/officeDocument/2006/relationships/hyperlink" Target="https://doi.org/10.1016/j.colsurfb.2017.01.045" TargetMode="External"/><Relationship Id="rId1154" Type="http://schemas.openxmlformats.org/officeDocument/2006/relationships/hyperlink" Target="https://doi.org/10.1515/cclm-2013-0209" TargetMode="External"/><Relationship Id="rId1396" Type="http://schemas.openxmlformats.org/officeDocument/2006/relationships/hyperlink" Target="https://openalex.org/funders/f4320332194" TargetMode="External"/><Relationship Id="rId322" Type="http://schemas.openxmlformats.org/officeDocument/2006/relationships/hyperlink" Target="https://doi.org/10.3201/eid1904.120117" TargetMode="External"/><Relationship Id="rId564" Type="http://schemas.openxmlformats.org/officeDocument/2006/relationships/hyperlink" Target="https://openalex.org/funders/f4320323563" TargetMode="External"/><Relationship Id="rId1155" Type="http://schemas.openxmlformats.org/officeDocument/2006/relationships/hyperlink" Target="https://openalex.org/funders/f4320322218" TargetMode="External"/><Relationship Id="rId1397" Type="http://schemas.openxmlformats.org/officeDocument/2006/relationships/hyperlink" Target="https://doi.org/10.1016/j.foodchem.2017.04.107" TargetMode="External"/><Relationship Id="rId321" Type="http://schemas.openxmlformats.org/officeDocument/2006/relationships/hyperlink" Target="https://doi.org/10.1090/jag/771" TargetMode="External"/><Relationship Id="rId563" Type="http://schemas.openxmlformats.org/officeDocument/2006/relationships/hyperlink" Target="https://doi.org/10.1186/s40100-022-00215-w" TargetMode="External"/><Relationship Id="rId1156" Type="http://schemas.openxmlformats.org/officeDocument/2006/relationships/hyperlink" Target="https://doi.org/10.1016/j.aml.2010.01.014" TargetMode="External"/><Relationship Id="rId1398" Type="http://schemas.openxmlformats.org/officeDocument/2006/relationships/hyperlink" Target="https://openalex.org/funders/f4320315989" TargetMode="External"/><Relationship Id="rId320" Type="http://schemas.openxmlformats.org/officeDocument/2006/relationships/hyperlink" Target="https://doi.org/10.1016/j.jbiomech.2020.109856" TargetMode="External"/><Relationship Id="rId562" Type="http://schemas.openxmlformats.org/officeDocument/2006/relationships/hyperlink" Target="https://doi.org/10.1088/0004-637X/770/1/57" TargetMode="External"/><Relationship Id="rId1157" Type="http://schemas.openxmlformats.org/officeDocument/2006/relationships/hyperlink" Target="https://openalex.org/funders/f4320326754" TargetMode="External"/><Relationship Id="rId1399" Type="http://schemas.openxmlformats.org/officeDocument/2006/relationships/hyperlink" Target="https://doi.org/10.1148/radiol.2015142059" TargetMode="External"/><Relationship Id="rId1147" Type="http://schemas.openxmlformats.org/officeDocument/2006/relationships/hyperlink" Target="https://doi.org/10.1016/j.bbadis.2021.166228" TargetMode="External"/><Relationship Id="rId1389" Type="http://schemas.openxmlformats.org/officeDocument/2006/relationships/hyperlink" Target="https://doi.org/10.2135/cropsci2011.06.0335" TargetMode="External"/><Relationship Id="rId1148" Type="http://schemas.openxmlformats.org/officeDocument/2006/relationships/hyperlink" Target="https://openalex.org/funders/f4320320717" TargetMode="External"/><Relationship Id="rId1149" Type="http://schemas.openxmlformats.org/officeDocument/2006/relationships/hyperlink" Target="https://doi.org/10.3109/01902148.2015.1044137" TargetMode="External"/><Relationship Id="rId316" Type="http://schemas.openxmlformats.org/officeDocument/2006/relationships/hyperlink" Target="https://openalex.org/funders/f4320321688" TargetMode="External"/><Relationship Id="rId558" Type="http://schemas.openxmlformats.org/officeDocument/2006/relationships/hyperlink" Target="https://doi.org/10.1097/SLA.0b013e318185a6b8" TargetMode="External"/><Relationship Id="rId315" Type="http://schemas.openxmlformats.org/officeDocument/2006/relationships/hyperlink" Target="https://doi.org/10.1007/s00521-018-3522-1" TargetMode="External"/><Relationship Id="rId557" Type="http://schemas.openxmlformats.org/officeDocument/2006/relationships/hyperlink" Target="https://doi.org/10.1016/j.celrep.2018.02.100" TargetMode="External"/><Relationship Id="rId799" Type="http://schemas.openxmlformats.org/officeDocument/2006/relationships/hyperlink" Target="https://openalex.org/funders/f4320311904" TargetMode="External"/><Relationship Id="rId314" Type="http://schemas.openxmlformats.org/officeDocument/2006/relationships/hyperlink" Target="https://doi.org/10.1016/j.carbon.2021.03.006" TargetMode="External"/><Relationship Id="rId556" Type="http://schemas.openxmlformats.org/officeDocument/2006/relationships/hyperlink" Target="https://doi.org/10.1155/2022/5806160" TargetMode="External"/><Relationship Id="rId798" Type="http://schemas.openxmlformats.org/officeDocument/2006/relationships/hyperlink" Target="https://doi.org/10.1136/ebmh.12.2.45" TargetMode="External"/><Relationship Id="rId313" Type="http://schemas.openxmlformats.org/officeDocument/2006/relationships/hyperlink" Target="https://doi.org/10.1083/jcb.201603081" TargetMode="External"/><Relationship Id="rId555" Type="http://schemas.openxmlformats.org/officeDocument/2006/relationships/hyperlink" Target="https://openalex.org/funders/f4320306095" TargetMode="External"/><Relationship Id="rId797" Type="http://schemas.openxmlformats.org/officeDocument/2006/relationships/hyperlink" Target="https://openalex.org/funders/f4320321001" TargetMode="External"/><Relationship Id="rId319" Type="http://schemas.openxmlformats.org/officeDocument/2006/relationships/hyperlink" Target="https://doi.org/10.1117/12.2273899" TargetMode="External"/><Relationship Id="rId318" Type="http://schemas.openxmlformats.org/officeDocument/2006/relationships/hyperlink" Target="https://doi.org/10.3382/ps.2009-00216" TargetMode="External"/><Relationship Id="rId317" Type="http://schemas.openxmlformats.org/officeDocument/2006/relationships/hyperlink" Target="https://doi.org/10.2500/ar.2011.2.0016" TargetMode="External"/><Relationship Id="rId559" Type="http://schemas.openxmlformats.org/officeDocument/2006/relationships/hyperlink" Target="https://doi.org/10.1103/PhysRevD.105.025024" TargetMode="External"/><Relationship Id="rId1380" Type="http://schemas.openxmlformats.org/officeDocument/2006/relationships/hyperlink" Target="https://openalex.org/funders/f4320306076" TargetMode="External"/><Relationship Id="rId550" Type="http://schemas.openxmlformats.org/officeDocument/2006/relationships/hyperlink" Target="https://openalex.org/funders/f4320321001" TargetMode="External"/><Relationship Id="rId792" Type="http://schemas.openxmlformats.org/officeDocument/2006/relationships/hyperlink" Target="https://doi.org/10.1016/j.neuroimage.2012.08.023" TargetMode="External"/><Relationship Id="rId1381" Type="http://schemas.openxmlformats.org/officeDocument/2006/relationships/hyperlink" Target="https://doi.org/10.1155/2020/5947802" TargetMode="External"/><Relationship Id="rId791" Type="http://schemas.openxmlformats.org/officeDocument/2006/relationships/hyperlink" Target="https://openalex.org/funders/f4320337351" TargetMode="External"/><Relationship Id="rId1140" Type="http://schemas.openxmlformats.org/officeDocument/2006/relationships/hyperlink" Target="https://doi.org/10.1155/2020/1237281" TargetMode="External"/><Relationship Id="rId1382" Type="http://schemas.openxmlformats.org/officeDocument/2006/relationships/hyperlink" Target="https://doi.org/10.2140/jomms.2017.12.219" TargetMode="External"/><Relationship Id="rId790" Type="http://schemas.openxmlformats.org/officeDocument/2006/relationships/hyperlink" Target="https://doi.org/10.1002/ajim.23214" TargetMode="External"/><Relationship Id="rId1141" Type="http://schemas.openxmlformats.org/officeDocument/2006/relationships/hyperlink" Target="https://doi.org/10.1021/jp108669f" TargetMode="External"/><Relationship Id="rId1383" Type="http://schemas.openxmlformats.org/officeDocument/2006/relationships/hyperlink" Target="https://doi.org/10.1016/j.ymssp.2021.108164" TargetMode="External"/><Relationship Id="rId1142" Type="http://schemas.openxmlformats.org/officeDocument/2006/relationships/hyperlink" Target="https://doi.org/10.1080/17476930801919025" TargetMode="External"/><Relationship Id="rId1384" Type="http://schemas.openxmlformats.org/officeDocument/2006/relationships/hyperlink" Target="https://doi.org/10.1371/journal.pcbi.1003753" TargetMode="External"/><Relationship Id="rId312" Type="http://schemas.openxmlformats.org/officeDocument/2006/relationships/hyperlink" Target="https://openalex.org/funders/f4320332161" TargetMode="External"/><Relationship Id="rId554" Type="http://schemas.openxmlformats.org/officeDocument/2006/relationships/hyperlink" Target="https://doi.org/10.1053/j.gastro.2010.06.072" TargetMode="External"/><Relationship Id="rId796" Type="http://schemas.openxmlformats.org/officeDocument/2006/relationships/hyperlink" Target="https://doi.org/10.1002/advs.202204689" TargetMode="External"/><Relationship Id="rId1143" Type="http://schemas.openxmlformats.org/officeDocument/2006/relationships/hyperlink" Target="https://openalex.org/funders/f4320338080" TargetMode="External"/><Relationship Id="rId1385" Type="http://schemas.openxmlformats.org/officeDocument/2006/relationships/hyperlink" Target="https://openalex.org/funders/f4320322025" TargetMode="External"/><Relationship Id="rId311" Type="http://schemas.openxmlformats.org/officeDocument/2006/relationships/hyperlink" Target="https://doi.org/10.1007/s12016-022-08944-y" TargetMode="External"/><Relationship Id="rId553" Type="http://schemas.openxmlformats.org/officeDocument/2006/relationships/hyperlink" Target="https://openalex.org/funders/f4320321001" TargetMode="External"/><Relationship Id="rId795" Type="http://schemas.openxmlformats.org/officeDocument/2006/relationships/hyperlink" Target="https://doi.org/10.1002/sec.326" TargetMode="External"/><Relationship Id="rId1144" Type="http://schemas.openxmlformats.org/officeDocument/2006/relationships/hyperlink" Target="https://doi.org/10.1016/j.tecto.2016.05.006" TargetMode="External"/><Relationship Id="rId1386" Type="http://schemas.openxmlformats.org/officeDocument/2006/relationships/hyperlink" Target="https://doi.org/10.1109/JBHI.2022.3157722" TargetMode="External"/><Relationship Id="rId310" Type="http://schemas.openxmlformats.org/officeDocument/2006/relationships/hyperlink" Target="https://doi.org/10.1007/s00259-022-05724-w" TargetMode="External"/><Relationship Id="rId552" Type="http://schemas.openxmlformats.org/officeDocument/2006/relationships/hyperlink" Target="https://doi.org/10.1016/j.ress.2021.108172" TargetMode="External"/><Relationship Id="rId794" Type="http://schemas.openxmlformats.org/officeDocument/2006/relationships/hyperlink" Target="https://openalex.org/funders/f4320321001" TargetMode="External"/><Relationship Id="rId1145" Type="http://schemas.openxmlformats.org/officeDocument/2006/relationships/hyperlink" Target="https://doi.org/10.1136/jnnp-2021-328164" TargetMode="External"/><Relationship Id="rId1387" Type="http://schemas.openxmlformats.org/officeDocument/2006/relationships/hyperlink" Target="https://doi.org/10.1111/acel.12639" TargetMode="External"/><Relationship Id="rId551" Type="http://schemas.openxmlformats.org/officeDocument/2006/relationships/hyperlink" Target="https://doi.org/10.1016/j.physe.2012.07.003" TargetMode="External"/><Relationship Id="rId793" Type="http://schemas.openxmlformats.org/officeDocument/2006/relationships/hyperlink" Target="https://doi.org/10.1016/j.watres.2020.115841" TargetMode="External"/><Relationship Id="rId1146" Type="http://schemas.openxmlformats.org/officeDocument/2006/relationships/hyperlink" Target="https://openalex.org/funders/f4320332161" TargetMode="External"/><Relationship Id="rId1388" Type="http://schemas.openxmlformats.org/officeDocument/2006/relationships/hyperlink" Target="https://openalex.org/funders/f4320322120" TargetMode="External"/><Relationship Id="rId297" Type="http://schemas.openxmlformats.org/officeDocument/2006/relationships/hyperlink" Target="https://doi.org/10.1155/2015/321781" TargetMode="External"/><Relationship Id="rId296" Type="http://schemas.openxmlformats.org/officeDocument/2006/relationships/hyperlink" Target="https://doi.org/10.1093/bib/bbaa006" TargetMode="External"/><Relationship Id="rId295" Type="http://schemas.openxmlformats.org/officeDocument/2006/relationships/hyperlink" Target="https://openalex.org/funders/f4320337861" TargetMode="External"/><Relationship Id="rId294" Type="http://schemas.openxmlformats.org/officeDocument/2006/relationships/hyperlink" Target="https://doi.org/10.1002/mop.32149" TargetMode="External"/><Relationship Id="rId299" Type="http://schemas.openxmlformats.org/officeDocument/2006/relationships/hyperlink" Target="https://doi.org/10.1007/7854_2014_314" TargetMode="External"/><Relationship Id="rId298" Type="http://schemas.openxmlformats.org/officeDocument/2006/relationships/hyperlink" Target="https://openalex.org/funders/f4320321001" TargetMode="External"/><Relationship Id="rId271" Type="http://schemas.openxmlformats.org/officeDocument/2006/relationships/hyperlink" Target="https://doi.org/10.21037/jtd.2019.08.19" TargetMode="External"/><Relationship Id="rId270" Type="http://schemas.openxmlformats.org/officeDocument/2006/relationships/hyperlink" Target="https://openalex.org/funders/f4320324593" TargetMode="External"/><Relationship Id="rId269" Type="http://schemas.openxmlformats.org/officeDocument/2006/relationships/hyperlink" Target="https://doi.org/10.1002/14651858.CD008870.pub2" TargetMode="External"/><Relationship Id="rId264" Type="http://schemas.openxmlformats.org/officeDocument/2006/relationships/hyperlink" Target="https://doi.org/10.1126/sciadv.aaq0919" TargetMode="External"/><Relationship Id="rId263" Type="http://schemas.openxmlformats.org/officeDocument/2006/relationships/hyperlink" Target="https://doi.org/10.1523/JNEUROSCI.1651-20.2020" TargetMode="External"/><Relationship Id="rId262" Type="http://schemas.openxmlformats.org/officeDocument/2006/relationships/hyperlink" Target="https://openalex.org/funders/f4320334764" TargetMode="External"/><Relationship Id="rId261" Type="http://schemas.openxmlformats.org/officeDocument/2006/relationships/hyperlink" Target="https://doi.org/10.3390/s120608405" TargetMode="External"/><Relationship Id="rId268" Type="http://schemas.openxmlformats.org/officeDocument/2006/relationships/hyperlink" Target="https://doi.org/10.1016/j.talanta.2019.120541" TargetMode="External"/><Relationship Id="rId267" Type="http://schemas.openxmlformats.org/officeDocument/2006/relationships/hyperlink" Target="https://doi.org/10.1155/2016/4079210" TargetMode="External"/><Relationship Id="rId266" Type="http://schemas.openxmlformats.org/officeDocument/2006/relationships/hyperlink" Target="https://openalex.org/funders/f4320316854" TargetMode="External"/><Relationship Id="rId265" Type="http://schemas.openxmlformats.org/officeDocument/2006/relationships/hyperlink" Target="https://doi.org/10.1007/s00419-018-1476-5" TargetMode="External"/><Relationship Id="rId260" Type="http://schemas.openxmlformats.org/officeDocument/2006/relationships/hyperlink" Target="https://doi.org/10.1038/sj.jhh.1002052" TargetMode="External"/><Relationship Id="rId259" Type="http://schemas.openxmlformats.org/officeDocument/2006/relationships/hyperlink" Target="https://openalex.org/funders/f4320308573" TargetMode="External"/><Relationship Id="rId258" Type="http://schemas.openxmlformats.org/officeDocument/2006/relationships/hyperlink" Target="https://doi.org/10.1053/j.gastro.2013.12.028" TargetMode="External"/><Relationship Id="rId253" Type="http://schemas.openxmlformats.org/officeDocument/2006/relationships/hyperlink" Target="https://doi.org/10.1002/jgra.50416" TargetMode="External"/><Relationship Id="rId495" Type="http://schemas.openxmlformats.org/officeDocument/2006/relationships/hyperlink" Target="https://doi.org/10.1155/2020/8899299" TargetMode="External"/><Relationship Id="rId252" Type="http://schemas.openxmlformats.org/officeDocument/2006/relationships/hyperlink" Target="https://doi.org/10.29271/jcpsp.2020.4.407" TargetMode="External"/><Relationship Id="rId494" Type="http://schemas.openxmlformats.org/officeDocument/2006/relationships/hyperlink" Target="https://doi.org/10.1039/d0fo02122a" TargetMode="External"/><Relationship Id="rId251" Type="http://schemas.openxmlformats.org/officeDocument/2006/relationships/hyperlink" Target="https://doi.org/10.1016/j.physletb.2018.05.076" TargetMode="External"/><Relationship Id="rId493" Type="http://schemas.openxmlformats.org/officeDocument/2006/relationships/hyperlink" Target="https://doi.org/10.1246/bcsj.20180181" TargetMode="External"/><Relationship Id="rId250" Type="http://schemas.openxmlformats.org/officeDocument/2006/relationships/hyperlink" Target="https://doi.org/10.1155/2022/6509981" TargetMode="External"/><Relationship Id="rId492" Type="http://schemas.openxmlformats.org/officeDocument/2006/relationships/hyperlink" Target="https://doi.org/10.1021/ol401514s" TargetMode="External"/><Relationship Id="rId257" Type="http://schemas.openxmlformats.org/officeDocument/2006/relationships/hyperlink" Target="https://doi.org/10.3390/polym8030102" TargetMode="External"/><Relationship Id="rId499" Type="http://schemas.openxmlformats.org/officeDocument/2006/relationships/hyperlink" Target="https://doi.org/10.1097/MBP.0000000000000376" TargetMode="External"/><Relationship Id="rId256" Type="http://schemas.openxmlformats.org/officeDocument/2006/relationships/hyperlink" Target="https://doi.org/10.1021/cm502939r" TargetMode="External"/><Relationship Id="rId498" Type="http://schemas.openxmlformats.org/officeDocument/2006/relationships/hyperlink" Target="https://doi.org/10.1097/JGP.0b013e3181c534b5" TargetMode="External"/><Relationship Id="rId255" Type="http://schemas.openxmlformats.org/officeDocument/2006/relationships/hyperlink" Target="https://doi.org/10.1021/acs.inorgchem.9b02611" TargetMode="External"/><Relationship Id="rId497" Type="http://schemas.openxmlformats.org/officeDocument/2006/relationships/hyperlink" Target="https://openalex.org/funders/f4320322120" TargetMode="External"/><Relationship Id="rId254" Type="http://schemas.openxmlformats.org/officeDocument/2006/relationships/hyperlink" Target="https://openalex.org/funders/f4320306076" TargetMode="External"/><Relationship Id="rId496" Type="http://schemas.openxmlformats.org/officeDocument/2006/relationships/hyperlink" Target="https://doi.org/10.1109/ICOIN53446.2022.9687251" TargetMode="External"/><Relationship Id="rId293" Type="http://schemas.openxmlformats.org/officeDocument/2006/relationships/hyperlink" Target="https://doi.org/10.1039/c1nr11238d" TargetMode="External"/><Relationship Id="rId292" Type="http://schemas.openxmlformats.org/officeDocument/2006/relationships/hyperlink" Target="https://doi.org/10.22883/kjda.2022.34.3.003" TargetMode="External"/><Relationship Id="rId291" Type="http://schemas.openxmlformats.org/officeDocument/2006/relationships/hyperlink" Target="https://openalex.org/funders/f4320322252" TargetMode="External"/><Relationship Id="rId290" Type="http://schemas.openxmlformats.org/officeDocument/2006/relationships/hyperlink" Target="https://doi.org/10.1016/j.ssi.2016.11.012" TargetMode="External"/><Relationship Id="rId286" Type="http://schemas.openxmlformats.org/officeDocument/2006/relationships/hyperlink" Target="https://doi.org/10.1109/ACCESS.2020.3040573" TargetMode="External"/><Relationship Id="rId285" Type="http://schemas.openxmlformats.org/officeDocument/2006/relationships/hyperlink" Target="https://openalex.org/funders/f4320321945" TargetMode="External"/><Relationship Id="rId284" Type="http://schemas.openxmlformats.org/officeDocument/2006/relationships/hyperlink" Target="https://doi.org/10.1111/j.1349-7006.2010.01521.x" TargetMode="External"/><Relationship Id="rId283" Type="http://schemas.openxmlformats.org/officeDocument/2006/relationships/hyperlink" Target="https://doi.org/10.1016/j.sigpro.2019.107434" TargetMode="External"/><Relationship Id="rId289" Type="http://schemas.openxmlformats.org/officeDocument/2006/relationships/hyperlink" Target="https://doi.org/10.1117/12.2644374" TargetMode="External"/><Relationship Id="rId288" Type="http://schemas.openxmlformats.org/officeDocument/2006/relationships/hyperlink" Target="https://openalex.org/funders/f4320328535" TargetMode="External"/><Relationship Id="rId287" Type="http://schemas.openxmlformats.org/officeDocument/2006/relationships/hyperlink" Target="https://doi.org/10.1002/mc.22871" TargetMode="External"/><Relationship Id="rId282" Type="http://schemas.openxmlformats.org/officeDocument/2006/relationships/hyperlink" Target="https://doi.org/10.1103/PhysRevLett.112.057001" TargetMode="External"/><Relationship Id="rId281" Type="http://schemas.openxmlformats.org/officeDocument/2006/relationships/hyperlink" Target="https://openalex.org/funders/f4320322795" TargetMode="External"/><Relationship Id="rId280" Type="http://schemas.openxmlformats.org/officeDocument/2006/relationships/hyperlink" Target="https://doi.org/10.1364/OE.23.010266" TargetMode="External"/><Relationship Id="rId275" Type="http://schemas.openxmlformats.org/officeDocument/2006/relationships/hyperlink" Target="https://doi.org/10.1021/ja510695g" TargetMode="External"/><Relationship Id="rId274" Type="http://schemas.openxmlformats.org/officeDocument/2006/relationships/hyperlink" Target="https://openalex.org/funders/f4320322650" TargetMode="External"/><Relationship Id="rId273" Type="http://schemas.openxmlformats.org/officeDocument/2006/relationships/hyperlink" Target="https://doi.org/10.1088/1752-7163/aa820f" TargetMode="External"/><Relationship Id="rId272" Type="http://schemas.openxmlformats.org/officeDocument/2006/relationships/hyperlink" Target="https://doi.org/10.1016/j.ijbiomac.2017.11.152" TargetMode="External"/><Relationship Id="rId279" Type="http://schemas.openxmlformats.org/officeDocument/2006/relationships/hyperlink" Target="https://openalex.org/funders/f4320317377" TargetMode="External"/><Relationship Id="rId278" Type="http://schemas.openxmlformats.org/officeDocument/2006/relationships/hyperlink" Target="https://doi.org/10.3390/nano11051112" TargetMode="External"/><Relationship Id="rId277" Type="http://schemas.openxmlformats.org/officeDocument/2006/relationships/hyperlink" Target="https://doi.org/10.1007/s10922-015-9361-9" TargetMode="External"/><Relationship Id="rId276" Type="http://schemas.openxmlformats.org/officeDocument/2006/relationships/hyperlink" Target="https://doi.org/10.1242/dev.175778" TargetMode="External"/><Relationship Id="rId907" Type="http://schemas.openxmlformats.org/officeDocument/2006/relationships/hyperlink" Target="https://doi.org/10.1175/2010JHM1288.1" TargetMode="External"/><Relationship Id="rId906" Type="http://schemas.openxmlformats.org/officeDocument/2006/relationships/hyperlink" Target="https://openalex.org/funders/f4320317552" TargetMode="External"/><Relationship Id="rId905" Type="http://schemas.openxmlformats.org/officeDocument/2006/relationships/hyperlink" Target="https://doi.org/10.1016/j.cej.2020.124147" TargetMode="External"/><Relationship Id="rId904" Type="http://schemas.openxmlformats.org/officeDocument/2006/relationships/hyperlink" Target="https://openalex.org/funders/f4320321040" TargetMode="External"/><Relationship Id="rId909" Type="http://schemas.openxmlformats.org/officeDocument/2006/relationships/hyperlink" Target="https://openalex.org/funders/f4320323832" TargetMode="External"/><Relationship Id="rId908" Type="http://schemas.openxmlformats.org/officeDocument/2006/relationships/hyperlink" Target="https://doi.org/10.1007/s10548-013-0303-0" TargetMode="External"/><Relationship Id="rId903" Type="http://schemas.openxmlformats.org/officeDocument/2006/relationships/hyperlink" Target="https://doi.org/10.1002/adfm.201200344" TargetMode="External"/><Relationship Id="rId902" Type="http://schemas.openxmlformats.org/officeDocument/2006/relationships/hyperlink" Target="https://doi.org/10.3390/su12229403" TargetMode="External"/><Relationship Id="rId901" Type="http://schemas.openxmlformats.org/officeDocument/2006/relationships/hyperlink" Target="https://doi.org/10.4161/epi.25522" TargetMode="External"/><Relationship Id="rId900" Type="http://schemas.openxmlformats.org/officeDocument/2006/relationships/hyperlink" Target="https://openalex.org/funders/f4320322729" TargetMode="External"/><Relationship Id="rId929" Type="http://schemas.openxmlformats.org/officeDocument/2006/relationships/hyperlink" Target="https://doi.org/10.1039/d2cc04868j" TargetMode="External"/><Relationship Id="rId928" Type="http://schemas.openxmlformats.org/officeDocument/2006/relationships/hyperlink" Target="https://openalex.org/funders/f4320321800" TargetMode="External"/><Relationship Id="rId927" Type="http://schemas.openxmlformats.org/officeDocument/2006/relationships/hyperlink" Target="https://doi.org/10.1111/fwb.12089" TargetMode="External"/><Relationship Id="rId926" Type="http://schemas.openxmlformats.org/officeDocument/2006/relationships/hyperlink" Target="https://openalex.org/funders/f4320322025" TargetMode="External"/><Relationship Id="rId921" Type="http://schemas.openxmlformats.org/officeDocument/2006/relationships/hyperlink" Target="https://openalex.org/funders/f4320332161" TargetMode="External"/><Relationship Id="rId920" Type="http://schemas.openxmlformats.org/officeDocument/2006/relationships/hyperlink" Target="https://doi.org/10.1021/acsbiomaterials.6b00328" TargetMode="External"/><Relationship Id="rId925" Type="http://schemas.openxmlformats.org/officeDocument/2006/relationships/hyperlink" Target="https://doi.org/10.4081/reumatismo.2021.1357" TargetMode="External"/><Relationship Id="rId924" Type="http://schemas.openxmlformats.org/officeDocument/2006/relationships/hyperlink" Target="https://doi.org/10.1103/PhysRevA.97.053838" TargetMode="External"/><Relationship Id="rId923" Type="http://schemas.openxmlformats.org/officeDocument/2006/relationships/hyperlink" Target="https://doi.org/10.1038/s41524-022-00797-5" TargetMode="External"/><Relationship Id="rId922" Type="http://schemas.openxmlformats.org/officeDocument/2006/relationships/hyperlink" Target="https://doi.org/10.1016/j.combustflame.2022.112051" TargetMode="External"/><Relationship Id="rId918" Type="http://schemas.openxmlformats.org/officeDocument/2006/relationships/hyperlink" Target="https://doi.org/10.3390/atmos8100206" TargetMode="External"/><Relationship Id="rId917" Type="http://schemas.openxmlformats.org/officeDocument/2006/relationships/hyperlink" Target="https://openalex.org/funders/f4320322855" TargetMode="External"/><Relationship Id="rId916" Type="http://schemas.openxmlformats.org/officeDocument/2006/relationships/hyperlink" Target="https://doi.org/10.3109/10799893.2015.1086884" TargetMode="External"/><Relationship Id="rId915" Type="http://schemas.openxmlformats.org/officeDocument/2006/relationships/hyperlink" Target="https://doi.org/10.1111/tops.12192" TargetMode="External"/><Relationship Id="rId919" Type="http://schemas.openxmlformats.org/officeDocument/2006/relationships/hyperlink" Target="https://openalex.org/funders/f4320306076" TargetMode="External"/><Relationship Id="rId910" Type="http://schemas.openxmlformats.org/officeDocument/2006/relationships/hyperlink" Target="https://doi.org/10.1371/journal.pone.0107454" TargetMode="External"/><Relationship Id="rId914" Type="http://schemas.openxmlformats.org/officeDocument/2006/relationships/hyperlink" Target="https://openalex.org/funders/f4320321001" TargetMode="External"/><Relationship Id="rId913" Type="http://schemas.openxmlformats.org/officeDocument/2006/relationships/hyperlink" Target="https://doi.org/10.1029/2008JB006175" TargetMode="External"/><Relationship Id="rId912" Type="http://schemas.openxmlformats.org/officeDocument/2006/relationships/hyperlink" Target="https://openalex.org/funders/f4320334626" TargetMode="External"/><Relationship Id="rId911" Type="http://schemas.openxmlformats.org/officeDocument/2006/relationships/hyperlink" Target="https://doi.org/10.1016/j.sbi.2006.04.003" TargetMode="External"/><Relationship Id="rId1213" Type="http://schemas.openxmlformats.org/officeDocument/2006/relationships/hyperlink" Target="https://openalex.org/funders/f4320337338" TargetMode="External"/><Relationship Id="rId1455" Type="http://schemas.openxmlformats.org/officeDocument/2006/relationships/hyperlink" Target="https://doi.org/10.1016/j.matlet.2021.129592" TargetMode="External"/><Relationship Id="rId1214" Type="http://schemas.openxmlformats.org/officeDocument/2006/relationships/hyperlink" Target="https://doi.org/10.1088/1367-2630/18/9/093023" TargetMode="External"/><Relationship Id="rId1456" Type="http://schemas.openxmlformats.org/officeDocument/2006/relationships/hyperlink" Target="https://doi.org/10.1093/cdj/bsv051" TargetMode="External"/><Relationship Id="rId1215" Type="http://schemas.openxmlformats.org/officeDocument/2006/relationships/hyperlink" Target="https://doi.org/10.1111/bjhp.12240" TargetMode="External"/><Relationship Id="rId1457" Type="http://schemas.openxmlformats.org/officeDocument/2006/relationships/hyperlink" Target="https://doi.org/10.1371/journal.pone.0238080" TargetMode="External"/><Relationship Id="rId1216" Type="http://schemas.openxmlformats.org/officeDocument/2006/relationships/hyperlink" Target="https://openalex.org/funders/f4320331723" TargetMode="External"/><Relationship Id="rId1458" Type="http://schemas.openxmlformats.org/officeDocument/2006/relationships/hyperlink" Target="https://doi.org/10.3390/ijms21020397" TargetMode="External"/><Relationship Id="rId1217" Type="http://schemas.openxmlformats.org/officeDocument/2006/relationships/hyperlink" Target="https://doi.org/10.1007/s40262-016-0473-5" TargetMode="External"/><Relationship Id="rId1459" Type="http://schemas.openxmlformats.org/officeDocument/2006/relationships/hyperlink" Target="https://openalex.org/funders/f4320322650" TargetMode="External"/><Relationship Id="rId1218" Type="http://schemas.openxmlformats.org/officeDocument/2006/relationships/hyperlink" Target="https://openalex.org/funders/f4320322436" TargetMode="External"/><Relationship Id="rId1219" Type="http://schemas.openxmlformats.org/officeDocument/2006/relationships/hyperlink" Target="https://doi.org/10.1016/j.ijthermalsci.2022.107542" TargetMode="External"/><Relationship Id="rId629" Type="http://schemas.openxmlformats.org/officeDocument/2006/relationships/hyperlink" Target="https://doi.org/10.1359/JBMR.050909" TargetMode="External"/><Relationship Id="rId624" Type="http://schemas.openxmlformats.org/officeDocument/2006/relationships/hyperlink" Target="https://openalex.org/funders/f4320327494" TargetMode="External"/><Relationship Id="rId866" Type="http://schemas.openxmlformats.org/officeDocument/2006/relationships/hyperlink" Target="https://doi.org/10.1016/j.jpubeco.2020.104326" TargetMode="External"/><Relationship Id="rId623" Type="http://schemas.openxmlformats.org/officeDocument/2006/relationships/hyperlink" Target="https://doi.org/10.1016/j.apsusc.2019.144048" TargetMode="External"/><Relationship Id="rId865" Type="http://schemas.openxmlformats.org/officeDocument/2006/relationships/hyperlink" Target="https://doi.org/10.1016/j.vetmic.2017.05.020" TargetMode="External"/><Relationship Id="rId622" Type="http://schemas.openxmlformats.org/officeDocument/2006/relationships/hyperlink" Target="https://openalex.org/funders/f4320322795" TargetMode="External"/><Relationship Id="rId864" Type="http://schemas.openxmlformats.org/officeDocument/2006/relationships/hyperlink" Target="https://openalex.org/funders/f4320320879" TargetMode="External"/><Relationship Id="rId621" Type="http://schemas.openxmlformats.org/officeDocument/2006/relationships/hyperlink" Target="https://doi.org/10.1063/1.4923165" TargetMode="External"/><Relationship Id="rId863" Type="http://schemas.openxmlformats.org/officeDocument/2006/relationships/hyperlink" Target="https://doi.org/10.1016/j.margeo.2016.03.013" TargetMode="External"/><Relationship Id="rId628" Type="http://schemas.openxmlformats.org/officeDocument/2006/relationships/hyperlink" Target="https://doi.org/10.1192/bjp.bp.108.055459" TargetMode="External"/><Relationship Id="rId627" Type="http://schemas.openxmlformats.org/officeDocument/2006/relationships/hyperlink" Target="https://openalex.org/funders/f4320321001" TargetMode="External"/><Relationship Id="rId869" Type="http://schemas.openxmlformats.org/officeDocument/2006/relationships/hyperlink" Target="https://openalex.org/funders/f4320321001" TargetMode="External"/><Relationship Id="rId626" Type="http://schemas.openxmlformats.org/officeDocument/2006/relationships/hyperlink" Target="https://doi.org/10.1155/2014/143415" TargetMode="External"/><Relationship Id="rId868" Type="http://schemas.openxmlformats.org/officeDocument/2006/relationships/hyperlink" Target="https://doi.org/10.3390/cancers14164009" TargetMode="External"/><Relationship Id="rId625" Type="http://schemas.openxmlformats.org/officeDocument/2006/relationships/hyperlink" Target="https://doi.org/10.1097/FBP.0000000000000443" TargetMode="External"/><Relationship Id="rId867" Type="http://schemas.openxmlformats.org/officeDocument/2006/relationships/hyperlink" Target="https://openalex.org/funders/f4320320879" TargetMode="External"/><Relationship Id="rId1450" Type="http://schemas.openxmlformats.org/officeDocument/2006/relationships/hyperlink" Target="https://openalex.org/funders/f4320321592" TargetMode="External"/><Relationship Id="rId620" Type="http://schemas.openxmlformats.org/officeDocument/2006/relationships/hyperlink" Target="https://openalex.org/funders/f4320320300" TargetMode="External"/><Relationship Id="rId862" Type="http://schemas.openxmlformats.org/officeDocument/2006/relationships/hyperlink" Target="https://doi.org/10.1007/s42243-021-00622-1" TargetMode="External"/><Relationship Id="rId1451" Type="http://schemas.openxmlformats.org/officeDocument/2006/relationships/hyperlink" Target="https://doi.org/10.1007/s10103-018-2614-6" TargetMode="External"/><Relationship Id="rId861" Type="http://schemas.openxmlformats.org/officeDocument/2006/relationships/hyperlink" Target="https://openalex.org/funders/f4320321001" TargetMode="External"/><Relationship Id="rId1210" Type="http://schemas.openxmlformats.org/officeDocument/2006/relationships/hyperlink" Target="https://openalex.org/funders/f4320320751" TargetMode="External"/><Relationship Id="rId1452" Type="http://schemas.openxmlformats.org/officeDocument/2006/relationships/hyperlink" Target="https://openalex.org/funders/f4320323457" TargetMode="External"/><Relationship Id="rId860" Type="http://schemas.openxmlformats.org/officeDocument/2006/relationships/hyperlink" Target="https://doi.org/10.1049/itr2.12183" TargetMode="External"/><Relationship Id="rId1211" Type="http://schemas.openxmlformats.org/officeDocument/2006/relationships/hyperlink" Target="https://doi.org/10.1021/acs.jcim.8b00765" TargetMode="External"/><Relationship Id="rId1453" Type="http://schemas.openxmlformats.org/officeDocument/2006/relationships/hyperlink" Target="https://doi.org/10.1016/j.vaccine.2012.06.028" TargetMode="External"/><Relationship Id="rId1212" Type="http://schemas.openxmlformats.org/officeDocument/2006/relationships/hyperlink" Target="https://doi.org/10.1016/j.jtcvs.2004.12.046" TargetMode="External"/><Relationship Id="rId1454" Type="http://schemas.openxmlformats.org/officeDocument/2006/relationships/hyperlink" Target="https://openalex.org/institutions/i4210095529" TargetMode="External"/><Relationship Id="rId1202" Type="http://schemas.openxmlformats.org/officeDocument/2006/relationships/hyperlink" Target="https://doi.org/10.14802/jmd.16017" TargetMode="External"/><Relationship Id="rId1444" Type="http://schemas.openxmlformats.org/officeDocument/2006/relationships/hyperlink" Target="https://doi.org/10.1088/1367-2630/aae172" TargetMode="External"/><Relationship Id="rId1203" Type="http://schemas.openxmlformats.org/officeDocument/2006/relationships/hyperlink" Target="https://openalex.org/funders/f4320322120" TargetMode="External"/><Relationship Id="rId1445" Type="http://schemas.openxmlformats.org/officeDocument/2006/relationships/hyperlink" Target="https://openalex.org/funders/f4320322120" TargetMode="External"/><Relationship Id="rId1204" Type="http://schemas.openxmlformats.org/officeDocument/2006/relationships/hyperlink" Target="https://doi.org/10.1061/(ASCE)AS.1943-5525.0000791" TargetMode="External"/><Relationship Id="rId1446" Type="http://schemas.openxmlformats.org/officeDocument/2006/relationships/hyperlink" Target="https://doi.org/10.1016/j.aca.2012.10.054" TargetMode="External"/><Relationship Id="rId1205" Type="http://schemas.openxmlformats.org/officeDocument/2006/relationships/hyperlink" Target="https://openalex.org/funders/f4320322626" TargetMode="External"/><Relationship Id="rId1447" Type="http://schemas.openxmlformats.org/officeDocument/2006/relationships/hyperlink" Target="https://doi.org/10.1111/j.1365-2648.2010.05569.x" TargetMode="External"/><Relationship Id="rId1206" Type="http://schemas.openxmlformats.org/officeDocument/2006/relationships/hyperlink" Target="https://doi.org/10.1177/0040517513495950" TargetMode="External"/><Relationship Id="rId1448" Type="http://schemas.openxmlformats.org/officeDocument/2006/relationships/hyperlink" Target="https://doi.org/10.1016/j.cej.2014.01.071" TargetMode="External"/><Relationship Id="rId1207" Type="http://schemas.openxmlformats.org/officeDocument/2006/relationships/hyperlink" Target="https://openalex.org/funders/f4320335787" TargetMode="External"/><Relationship Id="rId1449" Type="http://schemas.openxmlformats.org/officeDocument/2006/relationships/hyperlink" Target="https://doi.org/10.1038/srep07828" TargetMode="External"/><Relationship Id="rId1208" Type="http://schemas.openxmlformats.org/officeDocument/2006/relationships/hyperlink" Target="https://doi.org/10.1123/jab.2017-0181" TargetMode="External"/><Relationship Id="rId1209" Type="http://schemas.openxmlformats.org/officeDocument/2006/relationships/hyperlink" Target="https://doi.org/10.3389/fpsyt.2021.780542" TargetMode="External"/><Relationship Id="rId619" Type="http://schemas.openxmlformats.org/officeDocument/2006/relationships/hyperlink" Target="https://doi.org/10.3382/japr.2006-00058" TargetMode="External"/><Relationship Id="rId618" Type="http://schemas.openxmlformats.org/officeDocument/2006/relationships/hyperlink" Target="https://openalex.org/funders/f4320320720" TargetMode="External"/><Relationship Id="rId613" Type="http://schemas.openxmlformats.org/officeDocument/2006/relationships/hyperlink" Target="https://doi.org/10.1016/j.ecresq.2011.09.001" TargetMode="External"/><Relationship Id="rId855" Type="http://schemas.openxmlformats.org/officeDocument/2006/relationships/hyperlink" Target="https://doi.org/10.1111/j.1551-2916.2010.03901.x" TargetMode="External"/><Relationship Id="rId612" Type="http://schemas.openxmlformats.org/officeDocument/2006/relationships/hyperlink" Target="https://openalex.org/funders/f4320306076" TargetMode="External"/><Relationship Id="rId854" Type="http://schemas.openxmlformats.org/officeDocument/2006/relationships/hyperlink" Target="https://doi.org/10.1002/bies.201900231" TargetMode="External"/><Relationship Id="rId611" Type="http://schemas.openxmlformats.org/officeDocument/2006/relationships/hyperlink" Target="https://doi.org/10.1007/s00220-017-2934-6" TargetMode="External"/><Relationship Id="rId853" Type="http://schemas.openxmlformats.org/officeDocument/2006/relationships/hyperlink" Target="https://doi.org/10.1007/s00023-017-0611-0" TargetMode="External"/><Relationship Id="rId610" Type="http://schemas.openxmlformats.org/officeDocument/2006/relationships/hyperlink" Target="https://doi.org/10.3892/etm.2021.10423" TargetMode="External"/><Relationship Id="rId852" Type="http://schemas.openxmlformats.org/officeDocument/2006/relationships/hyperlink" Target="https://openalex.org/funders/f4320321408" TargetMode="External"/><Relationship Id="rId617" Type="http://schemas.openxmlformats.org/officeDocument/2006/relationships/hyperlink" Target="https://doi.org/10.1007/s13312-014-0399-7" TargetMode="External"/><Relationship Id="rId859" Type="http://schemas.openxmlformats.org/officeDocument/2006/relationships/hyperlink" Target="https://doi.org/10.1186/s12938-018-0615-0" TargetMode="External"/><Relationship Id="rId616" Type="http://schemas.openxmlformats.org/officeDocument/2006/relationships/hyperlink" Target="https://openalex.org/funders/f4320320912" TargetMode="External"/><Relationship Id="rId858" Type="http://schemas.openxmlformats.org/officeDocument/2006/relationships/hyperlink" Target="https://openalex.org/funders/f4320309568" TargetMode="External"/><Relationship Id="rId615" Type="http://schemas.openxmlformats.org/officeDocument/2006/relationships/hyperlink" Target="https://doi.org/10.1253/circj.CJ-10-0079" TargetMode="External"/><Relationship Id="rId857" Type="http://schemas.openxmlformats.org/officeDocument/2006/relationships/hyperlink" Target="https://doi.org/10.1155/2012/245103" TargetMode="External"/><Relationship Id="rId614" Type="http://schemas.openxmlformats.org/officeDocument/2006/relationships/hyperlink" Target="https://doi.org/10.5194/acp-18-8491-2018" TargetMode="External"/><Relationship Id="rId856" Type="http://schemas.openxmlformats.org/officeDocument/2006/relationships/hyperlink" Target="https://openalex.org/funders/f4320311808" TargetMode="External"/><Relationship Id="rId851" Type="http://schemas.openxmlformats.org/officeDocument/2006/relationships/hyperlink" Target="https://doi.org/10.3390/s20216022" TargetMode="External"/><Relationship Id="rId1440" Type="http://schemas.openxmlformats.org/officeDocument/2006/relationships/hyperlink" Target="https://openalex.org/funders/f4320321001" TargetMode="External"/><Relationship Id="rId850" Type="http://schemas.openxmlformats.org/officeDocument/2006/relationships/hyperlink" Target="https://doi.org/10.1007/s12289-013-1159-2" TargetMode="External"/><Relationship Id="rId1441" Type="http://schemas.openxmlformats.org/officeDocument/2006/relationships/hyperlink" Target="https://doi.org/10.1177/09544089211004724" TargetMode="External"/><Relationship Id="rId1200" Type="http://schemas.openxmlformats.org/officeDocument/2006/relationships/hyperlink" Target="https://doi.org/10.1016/j.ijrmhm.2015.04.008" TargetMode="External"/><Relationship Id="rId1442" Type="http://schemas.openxmlformats.org/officeDocument/2006/relationships/hyperlink" Target="https://doi.org/10.1186/s12909-021-02737-1" TargetMode="External"/><Relationship Id="rId1201" Type="http://schemas.openxmlformats.org/officeDocument/2006/relationships/hyperlink" Target="https://doi.org/10.1016/j.schres.2017.11.014" TargetMode="External"/><Relationship Id="rId1443" Type="http://schemas.openxmlformats.org/officeDocument/2006/relationships/hyperlink" Target="https://openalex.org/institutions/i4210095069" TargetMode="External"/><Relationship Id="rId1235" Type="http://schemas.openxmlformats.org/officeDocument/2006/relationships/hyperlink" Target="https://doi.org/10.1109/ACCESS.2019.2906261" TargetMode="External"/><Relationship Id="rId1477" Type="http://schemas.openxmlformats.org/officeDocument/2006/relationships/hyperlink" Target="https://openalex.org/funders/f4320322120" TargetMode="External"/><Relationship Id="rId1236" Type="http://schemas.openxmlformats.org/officeDocument/2006/relationships/hyperlink" Target="https://doi.org/10.1523/JNEUROSCI.2176-13.2013" TargetMode="External"/><Relationship Id="rId1478" Type="http://schemas.openxmlformats.org/officeDocument/2006/relationships/hyperlink" Target="https://doi.org/10.5012/bkcs.2013.34.11.3179" TargetMode="External"/><Relationship Id="rId1237" Type="http://schemas.openxmlformats.org/officeDocument/2006/relationships/hyperlink" Target="https://doi.org/10.1016/j.apsusc.2020.148272" TargetMode="External"/><Relationship Id="rId1479" Type="http://schemas.openxmlformats.org/officeDocument/2006/relationships/hyperlink" Target="https://openalex.org/institutions/i4210105001" TargetMode="External"/><Relationship Id="rId1238" Type="http://schemas.openxmlformats.org/officeDocument/2006/relationships/hyperlink" Target="https://doi.org/10.1371/journal.pone.0218204" TargetMode="External"/><Relationship Id="rId1239" Type="http://schemas.openxmlformats.org/officeDocument/2006/relationships/hyperlink" Target="https://doi.org/10.1016/j.tics.2016.12.001" TargetMode="External"/><Relationship Id="rId409" Type="http://schemas.openxmlformats.org/officeDocument/2006/relationships/hyperlink" Target="https://openalex.org/funders/f4320334704" TargetMode="External"/><Relationship Id="rId404" Type="http://schemas.openxmlformats.org/officeDocument/2006/relationships/hyperlink" Target="https://doi.org/10.1016/j.vaccine.2022.03.069" TargetMode="External"/><Relationship Id="rId646" Type="http://schemas.openxmlformats.org/officeDocument/2006/relationships/hyperlink" Target="https://doi.org/10.1007/s10764-021-00200-y" TargetMode="External"/><Relationship Id="rId888" Type="http://schemas.openxmlformats.org/officeDocument/2006/relationships/hyperlink" Target="https://doi.org/10.1016/j.quaint.2016.02.050" TargetMode="External"/><Relationship Id="rId403" Type="http://schemas.openxmlformats.org/officeDocument/2006/relationships/hyperlink" Target="https://doi.org/10.1371/journal.pone.0210817" TargetMode="External"/><Relationship Id="rId645" Type="http://schemas.openxmlformats.org/officeDocument/2006/relationships/hyperlink" Target="https://doi.org/10.1016/j.snb.2017.09.082" TargetMode="External"/><Relationship Id="rId887" Type="http://schemas.openxmlformats.org/officeDocument/2006/relationships/hyperlink" Target="https://doi.org/10.1021/ph4000357" TargetMode="External"/><Relationship Id="rId402" Type="http://schemas.openxmlformats.org/officeDocument/2006/relationships/hyperlink" Target="https://openalex.org/funders/f4320323641" TargetMode="External"/><Relationship Id="rId644" Type="http://schemas.openxmlformats.org/officeDocument/2006/relationships/hyperlink" Target="https://doi.org/10.1016/j.jinorgbio.2012.09.019" TargetMode="External"/><Relationship Id="rId886" Type="http://schemas.openxmlformats.org/officeDocument/2006/relationships/hyperlink" Target="https://doi.org/10.1016/j.nanoen.2020.105309" TargetMode="External"/><Relationship Id="rId401" Type="http://schemas.openxmlformats.org/officeDocument/2006/relationships/hyperlink" Target="https://doi.org/10.1016/j.clay.2016.10.024" TargetMode="External"/><Relationship Id="rId643" Type="http://schemas.openxmlformats.org/officeDocument/2006/relationships/hyperlink" Target="https://doi.org/10.1039/d0nr09068a" TargetMode="External"/><Relationship Id="rId885" Type="http://schemas.openxmlformats.org/officeDocument/2006/relationships/hyperlink" Target="https://doi.org/10.1016/j.ica.2022.120850" TargetMode="External"/><Relationship Id="rId408" Type="http://schemas.openxmlformats.org/officeDocument/2006/relationships/hyperlink" Target="https://doi.org/10.1007/s00221-011-2944-0" TargetMode="External"/><Relationship Id="rId407" Type="http://schemas.openxmlformats.org/officeDocument/2006/relationships/hyperlink" Target="https://doi.org/10.3390/s21196444" TargetMode="External"/><Relationship Id="rId649" Type="http://schemas.openxmlformats.org/officeDocument/2006/relationships/hyperlink" Target="https://openalex.org/funders/f4320320879" TargetMode="External"/><Relationship Id="rId406" Type="http://schemas.openxmlformats.org/officeDocument/2006/relationships/hyperlink" Target="https://doi.org/10.1016/j.jphotochem.2008.11.009" TargetMode="External"/><Relationship Id="rId648" Type="http://schemas.openxmlformats.org/officeDocument/2006/relationships/hyperlink" Target="https://doi.org/10.1080/14783363.2017.1309128" TargetMode="External"/><Relationship Id="rId405" Type="http://schemas.openxmlformats.org/officeDocument/2006/relationships/hyperlink" Target="https://openalex.org/funders/f4320329905" TargetMode="External"/><Relationship Id="rId647" Type="http://schemas.openxmlformats.org/officeDocument/2006/relationships/hyperlink" Target="https://openalex.org/institutions/i4210095069" TargetMode="External"/><Relationship Id="rId889" Type="http://schemas.openxmlformats.org/officeDocument/2006/relationships/hyperlink" Target="https://openalex.org/funders/f4320334764" TargetMode="External"/><Relationship Id="rId880" Type="http://schemas.openxmlformats.org/officeDocument/2006/relationships/hyperlink" Target="https://doi.org/10.1166/jnn.2020.17454" TargetMode="External"/><Relationship Id="rId1470" Type="http://schemas.openxmlformats.org/officeDocument/2006/relationships/hyperlink" Target="https://doi.org/10.1111/j.1365-3164.2010.00935.x" TargetMode="External"/><Relationship Id="rId1471" Type="http://schemas.openxmlformats.org/officeDocument/2006/relationships/hyperlink" Target="https://openalex.org/funders/f4320311268" TargetMode="External"/><Relationship Id="rId1230" Type="http://schemas.openxmlformats.org/officeDocument/2006/relationships/hyperlink" Target="https://doi.org/10.1080/19475705.2018.1536080" TargetMode="External"/><Relationship Id="rId1472" Type="http://schemas.openxmlformats.org/officeDocument/2006/relationships/hyperlink" Target="https://doi.org/10.3892/ol.2018.8861" TargetMode="External"/><Relationship Id="rId400" Type="http://schemas.openxmlformats.org/officeDocument/2006/relationships/hyperlink" Target="https://doi.org/10.1016/j.hydromet.2015.05.013" TargetMode="External"/><Relationship Id="rId642" Type="http://schemas.openxmlformats.org/officeDocument/2006/relationships/hyperlink" Target="https://doi.org/10.1371/journal.pone.0135063" TargetMode="External"/><Relationship Id="rId884" Type="http://schemas.openxmlformats.org/officeDocument/2006/relationships/hyperlink" Target="https://doi.org/10.1021/acs.jpcc.7b01019" TargetMode="External"/><Relationship Id="rId1231" Type="http://schemas.openxmlformats.org/officeDocument/2006/relationships/hyperlink" Target="https://doi.org/10.7508/jns.2013.03.001" TargetMode="External"/><Relationship Id="rId1473" Type="http://schemas.openxmlformats.org/officeDocument/2006/relationships/hyperlink" Target="https://openalex.org/funders/f4320321739" TargetMode="External"/><Relationship Id="rId641" Type="http://schemas.openxmlformats.org/officeDocument/2006/relationships/hyperlink" Target="https://openalex.org/funders/f4320320879" TargetMode="External"/><Relationship Id="rId883" Type="http://schemas.openxmlformats.org/officeDocument/2006/relationships/hyperlink" Target="https://openalex.org/funders/f4320317508" TargetMode="External"/><Relationship Id="rId1232" Type="http://schemas.openxmlformats.org/officeDocument/2006/relationships/hyperlink" Target="https://openalex.org/funders/f4320322887" TargetMode="External"/><Relationship Id="rId1474" Type="http://schemas.openxmlformats.org/officeDocument/2006/relationships/hyperlink" Target="https://doi.org/10.1016/j.aquabot.2012.08.006" TargetMode="External"/><Relationship Id="rId640" Type="http://schemas.openxmlformats.org/officeDocument/2006/relationships/hyperlink" Target="https://doi.org/10.1111/brv.12098" TargetMode="External"/><Relationship Id="rId882" Type="http://schemas.openxmlformats.org/officeDocument/2006/relationships/hyperlink" Target="https://doi.org/10.14411/eje.2020.046" TargetMode="External"/><Relationship Id="rId1233" Type="http://schemas.openxmlformats.org/officeDocument/2006/relationships/hyperlink" Target="https://doi.org/10.1007/s12257-020-0181-8" TargetMode="External"/><Relationship Id="rId1475" Type="http://schemas.openxmlformats.org/officeDocument/2006/relationships/hyperlink" Target="https://openalex.org/funders/f4320334593" TargetMode="External"/><Relationship Id="rId881" Type="http://schemas.openxmlformats.org/officeDocument/2006/relationships/hyperlink" Target="https://openalex.org/funders/f4320322795" TargetMode="External"/><Relationship Id="rId1234" Type="http://schemas.openxmlformats.org/officeDocument/2006/relationships/hyperlink" Target="https://openalex.org/funders/f4320321292" TargetMode="External"/><Relationship Id="rId1476" Type="http://schemas.openxmlformats.org/officeDocument/2006/relationships/hyperlink" Target="https://doi.org/10.1038/s43017-021-00223-2" TargetMode="External"/><Relationship Id="rId1224" Type="http://schemas.openxmlformats.org/officeDocument/2006/relationships/hyperlink" Target="https://openalex.org/funders/f4320334593" TargetMode="External"/><Relationship Id="rId1466" Type="http://schemas.openxmlformats.org/officeDocument/2006/relationships/hyperlink" Target="https://doi.org/10.1016/j.euroneuro.2019.09.720" TargetMode="External"/><Relationship Id="rId1225" Type="http://schemas.openxmlformats.org/officeDocument/2006/relationships/hyperlink" Target="https://doi.org/10.1242/dev.01857" TargetMode="External"/><Relationship Id="rId1467" Type="http://schemas.openxmlformats.org/officeDocument/2006/relationships/hyperlink" Target="https://openalex.org/funders/f4320338413" TargetMode="External"/><Relationship Id="rId1226" Type="http://schemas.openxmlformats.org/officeDocument/2006/relationships/hyperlink" Target="https://openalex.org/funders/f4320334626" TargetMode="External"/><Relationship Id="rId1468" Type="http://schemas.openxmlformats.org/officeDocument/2006/relationships/hyperlink" Target="https://doi.org/10.1002/mop.29109" TargetMode="External"/><Relationship Id="rId1227" Type="http://schemas.openxmlformats.org/officeDocument/2006/relationships/hyperlink" Target="https://doi.org/10.1063/1.4753845" TargetMode="External"/><Relationship Id="rId1469" Type="http://schemas.openxmlformats.org/officeDocument/2006/relationships/hyperlink" Target="https://openalex.org/funders/f4320322120" TargetMode="External"/><Relationship Id="rId1228" Type="http://schemas.openxmlformats.org/officeDocument/2006/relationships/hyperlink" Target="https://openalex.org/funders/f4320334627" TargetMode="External"/><Relationship Id="rId1229" Type="http://schemas.openxmlformats.org/officeDocument/2006/relationships/hyperlink" Target="https://doi.org/10.3791/61285" TargetMode="External"/><Relationship Id="rId635" Type="http://schemas.openxmlformats.org/officeDocument/2006/relationships/hyperlink" Target="https://doi.org/10.1016/j.bbr.2018.06.014" TargetMode="External"/><Relationship Id="rId877" Type="http://schemas.openxmlformats.org/officeDocument/2006/relationships/hyperlink" Target="https://doi.org/10.1016/j.geotexmem.2022.06.006" TargetMode="External"/><Relationship Id="rId634" Type="http://schemas.openxmlformats.org/officeDocument/2006/relationships/hyperlink" Target="https://openalex.org/funders/f4320322451" TargetMode="External"/><Relationship Id="rId876" Type="http://schemas.openxmlformats.org/officeDocument/2006/relationships/hyperlink" Target="https://openalex.org/funders/f4320320719" TargetMode="External"/><Relationship Id="rId633" Type="http://schemas.openxmlformats.org/officeDocument/2006/relationships/hyperlink" Target="https://doi.org/10.1016/j.numecd.2013.01.002" TargetMode="External"/><Relationship Id="rId875" Type="http://schemas.openxmlformats.org/officeDocument/2006/relationships/hyperlink" Target="https://doi.org/10.1016/j.chemphys.2019.110604" TargetMode="External"/><Relationship Id="rId632" Type="http://schemas.openxmlformats.org/officeDocument/2006/relationships/hyperlink" Target="https://openalex.org/funders/f4320335777" TargetMode="External"/><Relationship Id="rId874" Type="http://schemas.openxmlformats.org/officeDocument/2006/relationships/hyperlink" Target="https://doi.org/10.1016/j.scs.2017.11.026" TargetMode="External"/><Relationship Id="rId639" Type="http://schemas.openxmlformats.org/officeDocument/2006/relationships/hyperlink" Target="https://doi.org/10.5220/0007690401140118" TargetMode="External"/><Relationship Id="rId638" Type="http://schemas.openxmlformats.org/officeDocument/2006/relationships/hyperlink" Target="https://openalex.org/funders/f4320322733" TargetMode="External"/><Relationship Id="rId637" Type="http://schemas.openxmlformats.org/officeDocument/2006/relationships/hyperlink" Target="https://doi.org/10.1515/amm-2015-0332" TargetMode="External"/><Relationship Id="rId879" Type="http://schemas.openxmlformats.org/officeDocument/2006/relationships/hyperlink" Target="https://doi.org/10.1016/j.compstruct.2020.112824" TargetMode="External"/><Relationship Id="rId636" Type="http://schemas.openxmlformats.org/officeDocument/2006/relationships/hyperlink" Target="https://openalex.org/funders/f4320337346" TargetMode="External"/><Relationship Id="rId878" Type="http://schemas.openxmlformats.org/officeDocument/2006/relationships/hyperlink" Target="https://openalex.org/funders/f4320321001" TargetMode="External"/><Relationship Id="rId1460" Type="http://schemas.openxmlformats.org/officeDocument/2006/relationships/hyperlink" Target="https://doi.org/10.1007/978-3-030-29207-2_12" TargetMode="External"/><Relationship Id="rId1461" Type="http://schemas.openxmlformats.org/officeDocument/2006/relationships/hyperlink" Target="https://openalex.org/funders/f4320321655" TargetMode="External"/><Relationship Id="rId631" Type="http://schemas.openxmlformats.org/officeDocument/2006/relationships/hyperlink" Target="https://doi.org/10.1016/j.palaeo.2020.109694" TargetMode="External"/><Relationship Id="rId873" Type="http://schemas.openxmlformats.org/officeDocument/2006/relationships/hyperlink" Target="https://doi.org/10.1016/j.cjph.2017.04.008" TargetMode="External"/><Relationship Id="rId1220" Type="http://schemas.openxmlformats.org/officeDocument/2006/relationships/hyperlink" Target="https://openalex.org/funders/f4320321001" TargetMode="External"/><Relationship Id="rId1462" Type="http://schemas.openxmlformats.org/officeDocument/2006/relationships/hyperlink" Target="https://doi.org/10.7554/eLife.58541" TargetMode="External"/><Relationship Id="rId630" Type="http://schemas.openxmlformats.org/officeDocument/2006/relationships/hyperlink" Target="https://openalex.org/funders/f4320337362" TargetMode="External"/><Relationship Id="rId872" Type="http://schemas.openxmlformats.org/officeDocument/2006/relationships/hyperlink" Target="https://openalex.org/funders/f4320322120" TargetMode="External"/><Relationship Id="rId1221" Type="http://schemas.openxmlformats.org/officeDocument/2006/relationships/hyperlink" Target="https://doi.org/10.5194/os-12-379-2016" TargetMode="External"/><Relationship Id="rId1463" Type="http://schemas.openxmlformats.org/officeDocument/2006/relationships/hyperlink" Target="https://doi.org/10.1016/j.oregeorev.2020.103943" TargetMode="External"/><Relationship Id="rId871" Type="http://schemas.openxmlformats.org/officeDocument/2006/relationships/hyperlink" Target="https://doi.org/10.1002/adma.202200172" TargetMode="External"/><Relationship Id="rId1222" Type="http://schemas.openxmlformats.org/officeDocument/2006/relationships/hyperlink" Target="https://openalex.org/funders/f4320334960" TargetMode="External"/><Relationship Id="rId1464" Type="http://schemas.openxmlformats.org/officeDocument/2006/relationships/hyperlink" Target="https://doi.org/10.1016/j.procbio.2017.11.003" TargetMode="External"/><Relationship Id="rId870" Type="http://schemas.openxmlformats.org/officeDocument/2006/relationships/hyperlink" Target="https://doi.org/10.1093/aob/mct212" TargetMode="External"/><Relationship Id="rId1223" Type="http://schemas.openxmlformats.org/officeDocument/2006/relationships/hyperlink" Target="https://doi.org/10.1016/j.energy.2011.10.037" TargetMode="External"/><Relationship Id="rId1465" Type="http://schemas.openxmlformats.org/officeDocument/2006/relationships/hyperlink" Target="https://openalex.org/funders/f4320321722" TargetMode="External"/><Relationship Id="rId1411" Type="http://schemas.openxmlformats.org/officeDocument/2006/relationships/hyperlink" Target="https://openalex.org/funders/f4320306087" TargetMode="External"/><Relationship Id="rId1412" Type="http://schemas.openxmlformats.org/officeDocument/2006/relationships/hyperlink" Target="https://doi.org/10.1007/s10876-018-1442-y" TargetMode="External"/><Relationship Id="rId1413" Type="http://schemas.openxmlformats.org/officeDocument/2006/relationships/hyperlink" Target="https://openalex.org/funders/f4320321001" TargetMode="External"/><Relationship Id="rId1414" Type="http://schemas.openxmlformats.org/officeDocument/2006/relationships/hyperlink" Target="https://doi.org/10.1103/PhysRevC.92.065802" TargetMode="External"/><Relationship Id="rId1415" Type="http://schemas.openxmlformats.org/officeDocument/2006/relationships/hyperlink" Target="https://openalex.org/funders/f4320320366" TargetMode="External"/><Relationship Id="rId1416" Type="http://schemas.openxmlformats.org/officeDocument/2006/relationships/hyperlink" Target="https://doi.org/10.1242/jeb.033050" TargetMode="External"/><Relationship Id="rId1417" Type="http://schemas.openxmlformats.org/officeDocument/2006/relationships/hyperlink" Target="https://openalex.org/institutions/i4210096236" TargetMode="External"/><Relationship Id="rId1418" Type="http://schemas.openxmlformats.org/officeDocument/2006/relationships/hyperlink" Target="https://doi.org/10.1039/d2cp03073j" TargetMode="External"/><Relationship Id="rId1419" Type="http://schemas.openxmlformats.org/officeDocument/2006/relationships/hyperlink" Target="https://openalex.org/funders/f4320321001" TargetMode="External"/><Relationship Id="rId829" Type="http://schemas.openxmlformats.org/officeDocument/2006/relationships/hyperlink" Target="https://openalex.org/funders/f4320321557" TargetMode="External"/><Relationship Id="rId828" Type="http://schemas.openxmlformats.org/officeDocument/2006/relationships/hyperlink" Target="https://doi.org/10.1089/ten.teb.2020.0149" TargetMode="External"/><Relationship Id="rId827" Type="http://schemas.openxmlformats.org/officeDocument/2006/relationships/hyperlink" Target="https://doi.org/10.1097/MD.0000000000007879" TargetMode="External"/><Relationship Id="rId822" Type="http://schemas.openxmlformats.org/officeDocument/2006/relationships/hyperlink" Target="https://doi.org/10.1080/08916934.2016.1214822" TargetMode="External"/><Relationship Id="rId821" Type="http://schemas.openxmlformats.org/officeDocument/2006/relationships/hyperlink" Target="https://doi.org/10.1093/beheco/arab108" TargetMode="External"/><Relationship Id="rId820" Type="http://schemas.openxmlformats.org/officeDocument/2006/relationships/hyperlink" Target="https://openalex.org/funders/f4320337338" TargetMode="External"/><Relationship Id="rId826" Type="http://schemas.openxmlformats.org/officeDocument/2006/relationships/hyperlink" Target="https://doi.org/10.1016/j.neuroimage.2004.06.019" TargetMode="External"/><Relationship Id="rId825" Type="http://schemas.openxmlformats.org/officeDocument/2006/relationships/hyperlink" Target="https://doi.org/10.1186/s12859-016-1299-8" TargetMode="External"/><Relationship Id="rId824" Type="http://schemas.openxmlformats.org/officeDocument/2006/relationships/hyperlink" Target="https://doi.org/10.1016/j.celrep.2016.12.035" TargetMode="External"/><Relationship Id="rId823" Type="http://schemas.openxmlformats.org/officeDocument/2006/relationships/hyperlink" Target="https://doi.org/10.1371/journal.pone.0184047" TargetMode="External"/><Relationship Id="rId1410" Type="http://schemas.openxmlformats.org/officeDocument/2006/relationships/hyperlink" Target="https://doi.org/10.1007/s11664-013-2667-z" TargetMode="External"/><Relationship Id="rId1400" Type="http://schemas.openxmlformats.org/officeDocument/2006/relationships/hyperlink" Target="https://doi.org/10.1002/ceat.201400681" TargetMode="External"/><Relationship Id="rId1401" Type="http://schemas.openxmlformats.org/officeDocument/2006/relationships/hyperlink" Target="https://openalex.org/funders/f4320306104" TargetMode="External"/><Relationship Id="rId1402" Type="http://schemas.openxmlformats.org/officeDocument/2006/relationships/hyperlink" Target="https://doi.org/10.1364/OE.463220" TargetMode="External"/><Relationship Id="rId1403" Type="http://schemas.openxmlformats.org/officeDocument/2006/relationships/hyperlink" Target="https://doi.org/10.1152/japplphysiol.01085.2009" TargetMode="External"/><Relationship Id="rId1404" Type="http://schemas.openxmlformats.org/officeDocument/2006/relationships/hyperlink" Target="https://doi.org/10.1098/rsif.2020.0783" TargetMode="External"/><Relationship Id="rId1405" Type="http://schemas.openxmlformats.org/officeDocument/2006/relationships/hyperlink" Target="https://openalex.org/funders/f4320322434" TargetMode="External"/><Relationship Id="rId1406" Type="http://schemas.openxmlformats.org/officeDocument/2006/relationships/hyperlink" Target="https://doi.org/10.1088/1674-1137/39/5/057003" TargetMode="External"/><Relationship Id="rId1407" Type="http://schemas.openxmlformats.org/officeDocument/2006/relationships/hyperlink" Target="https://openalex.org/funders/f4320326701" TargetMode="External"/><Relationship Id="rId819" Type="http://schemas.openxmlformats.org/officeDocument/2006/relationships/hyperlink" Target="https://doi.org/10.1378/chest.08-1339" TargetMode="External"/><Relationship Id="rId1408" Type="http://schemas.openxmlformats.org/officeDocument/2006/relationships/hyperlink" Target="https://doi.org/10.1039/c2sc21458j" TargetMode="External"/><Relationship Id="rId818" Type="http://schemas.openxmlformats.org/officeDocument/2006/relationships/hyperlink" Target="https://doi.org/10.1021/jacs.7b02063" TargetMode="External"/><Relationship Id="rId1409" Type="http://schemas.openxmlformats.org/officeDocument/2006/relationships/hyperlink" Target="https://doi.org/10.1111/ajo.13316" TargetMode="External"/><Relationship Id="rId817" Type="http://schemas.openxmlformats.org/officeDocument/2006/relationships/hyperlink" Target="https://doi.org/10.1038/s41598-022-10991-6" TargetMode="External"/><Relationship Id="rId816" Type="http://schemas.openxmlformats.org/officeDocument/2006/relationships/hyperlink" Target="https://openalex.org/funders/f4320323484" TargetMode="External"/><Relationship Id="rId811" Type="http://schemas.openxmlformats.org/officeDocument/2006/relationships/hyperlink" Target="https://openalex.org/institutions/i4210095713" TargetMode="External"/><Relationship Id="rId810" Type="http://schemas.openxmlformats.org/officeDocument/2006/relationships/hyperlink" Target="https://doi.org/10.1016/j.fertnstert.2012.01.097" TargetMode="External"/><Relationship Id="rId815" Type="http://schemas.openxmlformats.org/officeDocument/2006/relationships/hyperlink" Target="https://doi.org/10.1155/2021/6690095" TargetMode="External"/><Relationship Id="rId814" Type="http://schemas.openxmlformats.org/officeDocument/2006/relationships/hyperlink" Target="https://openalex.org/funders/f4320322729" TargetMode="External"/><Relationship Id="rId813" Type="http://schemas.openxmlformats.org/officeDocument/2006/relationships/hyperlink" Target="https://doi.org/10.1080/10916466.2018.1465972" TargetMode="External"/><Relationship Id="rId812" Type="http://schemas.openxmlformats.org/officeDocument/2006/relationships/hyperlink" Target="https://doi.org/10.1007/978-3-030-15986-3_14" TargetMode="External"/><Relationship Id="rId1433" Type="http://schemas.openxmlformats.org/officeDocument/2006/relationships/hyperlink" Target="https://doi.org/10.1109/ACCESS.2020.2980767" TargetMode="External"/><Relationship Id="rId1434" Type="http://schemas.openxmlformats.org/officeDocument/2006/relationships/hyperlink" Target="https://openalex.org/funders/f4320318240" TargetMode="External"/><Relationship Id="rId1435" Type="http://schemas.openxmlformats.org/officeDocument/2006/relationships/hyperlink" Target="https://doi.org/10.1111/j.1582-4934.2008.00540.x" TargetMode="External"/><Relationship Id="rId1436" Type="http://schemas.openxmlformats.org/officeDocument/2006/relationships/hyperlink" Target="https://doi.org/10.1039/c5ob01885d" TargetMode="External"/><Relationship Id="rId1437" Type="http://schemas.openxmlformats.org/officeDocument/2006/relationships/hyperlink" Target="https://doi.org/10.1007/s11011-022-00953-2" TargetMode="External"/><Relationship Id="rId1438" Type="http://schemas.openxmlformats.org/officeDocument/2006/relationships/hyperlink" Target="https://openalex.org/funders/f4320321091" TargetMode="External"/><Relationship Id="rId1439" Type="http://schemas.openxmlformats.org/officeDocument/2006/relationships/hyperlink" Target="https://doi.org/10.1016/j.cja.2020.12.024" TargetMode="External"/><Relationship Id="rId609" Type="http://schemas.openxmlformats.org/officeDocument/2006/relationships/hyperlink" Target="https://openalex.org/funders/f4320321499" TargetMode="External"/><Relationship Id="rId608" Type="http://schemas.openxmlformats.org/officeDocument/2006/relationships/hyperlink" Target="https://doi.org/10.1557/jmr.2012.158" TargetMode="External"/><Relationship Id="rId607" Type="http://schemas.openxmlformats.org/officeDocument/2006/relationships/hyperlink" Target="https://doi.org/10.1039/c2em30091e" TargetMode="External"/><Relationship Id="rId849" Type="http://schemas.openxmlformats.org/officeDocument/2006/relationships/hyperlink" Target="https://openalex.org/funders/f4320321114" TargetMode="External"/><Relationship Id="rId602" Type="http://schemas.openxmlformats.org/officeDocument/2006/relationships/hyperlink" Target="https://doi.org/10.1016/j.oceaneng.2021.109639" TargetMode="External"/><Relationship Id="rId844" Type="http://schemas.openxmlformats.org/officeDocument/2006/relationships/hyperlink" Target="https://doi.org/10.1556/1846.2017.00030" TargetMode="External"/><Relationship Id="rId601" Type="http://schemas.openxmlformats.org/officeDocument/2006/relationships/hyperlink" Target="https://openalex.org/funders/f4320321739" TargetMode="External"/><Relationship Id="rId843" Type="http://schemas.openxmlformats.org/officeDocument/2006/relationships/hyperlink" Target="https://openalex.org/funders/f4320334627" TargetMode="External"/><Relationship Id="rId600" Type="http://schemas.openxmlformats.org/officeDocument/2006/relationships/hyperlink" Target="https://doi.org/10.1080/10807039.2015.1064760" TargetMode="External"/><Relationship Id="rId842" Type="http://schemas.openxmlformats.org/officeDocument/2006/relationships/hyperlink" Target="https://doi.org/10.1090/conm/577/11463" TargetMode="External"/><Relationship Id="rId841" Type="http://schemas.openxmlformats.org/officeDocument/2006/relationships/hyperlink" Target="https://openalex.org/funders/f4320334779" TargetMode="External"/><Relationship Id="rId606" Type="http://schemas.openxmlformats.org/officeDocument/2006/relationships/hyperlink" Target="https://openalex.org/funders/f4320307856" TargetMode="External"/><Relationship Id="rId848" Type="http://schemas.openxmlformats.org/officeDocument/2006/relationships/hyperlink" Target="https://doi.org/10.1002/pmic.201200177" TargetMode="External"/><Relationship Id="rId605" Type="http://schemas.openxmlformats.org/officeDocument/2006/relationships/hyperlink" Target="https://doi.org/10.4103/0971-5916.286224" TargetMode="External"/><Relationship Id="rId847" Type="http://schemas.openxmlformats.org/officeDocument/2006/relationships/hyperlink" Target="https://openalex.org/funders/f4320337347" TargetMode="External"/><Relationship Id="rId604" Type="http://schemas.openxmlformats.org/officeDocument/2006/relationships/hyperlink" Target="https://openalex.org/funders/f4320325076" TargetMode="External"/><Relationship Id="rId846" Type="http://schemas.openxmlformats.org/officeDocument/2006/relationships/hyperlink" Target="https://doi.org/10.1111/adb.12345" TargetMode="External"/><Relationship Id="rId603" Type="http://schemas.openxmlformats.org/officeDocument/2006/relationships/hyperlink" Target="https://doi.org/10.1007/s00420-009-0477-7" TargetMode="External"/><Relationship Id="rId845" Type="http://schemas.openxmlformats.org/officeDocument/2006/relationships/hyperlink" Target="https://openalex.org/funders/f4320321730" TargetMode="External"/><Relationship Id="rId840" Type="http://schemas.openxmlformats.org/officeDocument/2006/relationships/hyperlink" Target="https://doi.org/10.1145/3137133.3137139" TargetMode="External"/><Relationship Id="rId1430" Type="http://schemas.openxmlformats.org/officeDocument/2006/relationships/hyperlink" Target="https://openalex.org/funders/f4320321001" TargetMode="External"/><Relationship Id="rId1431" Type="http://schemas.openxmlformats.org/officeDocument/2006/relationships/hyperlink" Target="https://doi.org/10.1177/1747021817739257" TargetMode="External"/><Relationship Id="rId1432" Type="http://schemas.openxmlformats.org/officeDocument/2006/relationships/hyperlink" Target="https://openalex.org/funders/f4320306076" TargetMode="External"/><Relationship Id="rId1422" Type="http://schemas.openxmlformats.org/officeDocument/2006/relationships/hyperlink" Target="https://doi.org/10.5115/acb.2015.48.4.235" TargetMode="External"/><Relationship Id="rId1423" Type="http://schemas.openxmlformats.org/officeDocument/2006/relationships/hyperlink" Target="https://openalex.org/funders/f4320322120" TargetMode="External"/><Relationship Id="rId1424" Type="http://schemas.openxmlformats.org/officeDocument/2006/relationships/hyperlink" Target="https://doi.org/10.1002/lpor.202100423" TargetMode="External"/><Relationship Id="rId1425" Type="http://schemas.openxmlformats.org/officeDocument/2006/relationships/hyperlink" Target="https://doi.org/10.1111/iju.13702" TargetMode="External"/><Relationship Id="rId1426" Type="http://schemas.openxmlformats.org/officeDocument/2006/relationships/hyperlink" Target="https://doi.org/10.1111/jbi.12194" TargetMode="External"/><Relationship Id="rId1427" Type="http://schemas.openxmlformats.org/officeDocument/2006/relationships/hyperlink" Target="https://doi.org/10.1007/s12600-022-01005-2" TargetMode="External"/><Relationship Id="rId1428" Type="http://schemas.openxmlformats.org/officeDocument/2006/relationships/hyperlink" Target="https://openalex.org/funders/f4320321091" TargetMode="External"/><Relationship Id="rId1429" Type="http://schemas.openxmlformats.org/officeDocument/2006/relationships/hyperlink" Target="https://doi.org/10.1007/s11760-017-1090-y" TargetMode="External"/><Relationship Id="rId839" Type="http://schemas.openxmlformats.org/officeDocument/2006/relationships/hyperlink" Target="https://openalex.org/funders/f4320320767" TargetMode="External"/><Relationship Id="rId838" Type="http://schemas.openxmlformats.org/officeDocument/2006/relationships/hyperlink" Target="https://doi.org/10.3109/03639045.2010.513984" TargetMode="External"/><Relationship Id="rId833" Type="http://schemas.openxmlformats.org/officeDocument/2006/relationships/hyperlink" Target="https://doi.org/10.1007/s11926-012-0303-1" TargetMode="External"/><Relationship Id="rId832" Type="http://schemas.openxmlformats.org/officeDocument/2006/relationships/hyperlink" Target="https://doi.org/10.1016/j.gr.2022.01.013" TargetMode="External"/><Relationship Id="rId831" Type="http://schemas.openxmlformats.org/officeDocument/2006/relationships/hyperlink" Target="https://openalex.org/funders/f4320306076" TargetMode="External"/><Relationship Id="rId830" Type="http://schemas.openxmlformats.org/officeDocument/2006/relationships/hyperlink" Target="https://doi.org/10.1007/s10514-019-09856-1" TargetMode="External"/><Relationship Id="rId837" Type="http://schemas.openxmlformats.org/officeDocument/2006/relationships/hyperlink" Target="https://doi.org/10.1038/s41598-021-95190-5" TargetMode="External"/><Relationship Id="rId836" Type="http://schemas.openxmlformats.org/officeDocument/2006/relationships/hyperlink" Target="https://openalex.org/funders/f4320334678" TargetMode="External"/><Relationship Id="rId835" Type="http://schemas.openxmlformats.org/officeDocument/2006/relationships/hyperlink" Target="https://doi.org/10.1117/12.2608160" TargetMode="External"/><Relationship Id="rId834" Type="http://schemas.openxmlformats.org/officeDocument/2006/relationships/hyperlink" Target="https://doi.org/10.1016/j.engstruct.2017.10.063" TargetMode="External"/><Relationship Id="rId1420" Type="http://schemas.openxmlformats.org/officeDocument/2006/relationships/hyperlink" Target="https://doi.org/10.1021/acssuschemeng.0c02813" TargetMode="External"/><Relationship Id="rId1421" Type="http://schemas.openxmlformats.org/officeDocument/2006/relationships/hyperlink" Target="https://openalex.org/funders/f4320322795" TargetMode="External"/><Relationship Id="rId1059" Type="http://schemas.openxmlformats.org/officeDocument/2006/relationships/hyperlink" Target="https://openalex.org/funders/f4320334764" TargetMode="External"/><Relationship Id="rId228" Type="http://schemas.openxmlformats.org/officeDocument/2006/relationships/hyperlink" Target="https://doi.org/10.1149/2.1281712jes" TargetMode="External"/><Relationship Id="rId227" Type="http://schemas.openxmlformats.org/officeDocument/2006/relationships/hyperlink" Target="https://openalex.org/funders/f4320306862" TargetMode="External"/><Relationship Id="rId469" Type="http://schemas.openxmlformats.org/officeDocument/2006/relationships/hyperlink" Target="https://doi.org/10.32604/cmes.2019.06158" TargetMode="External"/><Relationship Id="rId226" Type="http://schemas.openxmlformats.org/officeDocument/2006/relationships/hyperlink" Target="https://doi.org/10.1016/j.jadohealth.2020.08.021" TargetMode="External"/><Relationship Id="rId468" Type="http://schemas.openxmlformats.org/officeDocument/2006/relationships/hyperlink" Target="https://doi.org/10.1371/journal.pone.0128245" TargetMode="External"/><Relationship Id="rId225" Type="http://schemas.openxmlformats.org/officeDocument/2006/relationships/hyperlink" Target="https://doi.org/10.1109/ASDAM50306.2020.9393836" TargetMode="External"/><Relationship Id="rId467" Type="http://schemas.openxmlformats.org/officeDocument/2006/relationships/hyperlink" Target="https://openalex.org/funders/f4320332161" TargetMode="External"/><Relationship Id="rId1290" Type="http://schemas.openxmlformats.org/officeDocument/2006/relationships/hyperlink" Target="https://openalex.org/funders/f4320306114" TargetMode="External"/><Relationship Id="rId1291" Type="http://schemas.openxmlformats.org/officeDocument/2006/relationships/hyperlink" Target="https://doi.org/10.1109/LPT.2014.2325935" TargetMode="External"/><Relationship Id="rId229" Type="http://schemas.openxmlformats.org/officeDocument/2006/relationships/hyperlink" Target="https://openalex.org/funders/f4320321001" TargetMode="External"/><Relationship Id="rId1050" Type="http://schemas.openxmlformats.org/officeDocument/2006/relationships/hyperlink" Target="https://doi.org/10.1007/s00125-018-4658-3" TargetMode="External"/><Relationship Id="rId1292" Type="http://schemas.openxmlformats.org/officeDocument/2006/relationships/hyperlink" Target="https://doi.org/10.1108/17440081111165875" TargetMode="External"/><Relationship Id="rId220" Type="http://schemas.openxmlformats.org/officeDocument/2006/relationships/hyperlink" Target="https://doi.org/10.1016/j.colsurfa.2010.02.005" TargetMode="External"/><Relationship Id="rId462" Type="http://schemas.openxmlformats.org/officeDocument/2006/relationships/hyperlink" Target="https://openalex.org/funders/f4320337355" TargetMode="External"/><Relationship Id="rId1051" Type="http://schemas.openxmlformats.org/officeDocument/2006/relationships/hyperlink" Target="https://doi.org/10.1117/1.JBO.18.2.026022" TargetMode="External"/><Relationship Id="rId1293" Type="http://schemas.openxmlformats.org/officeDocument/2006/relationships/hyperlink" Target="https://doi.org/10.1021/ja807435q" TargetMode="External"/><Relationship Id="rId461" Type="http://schemas.openxmlformats.org/officeDocument/2006/relationships/hyperlink" Target="https://doi.org/10.1016/j.dci.2006.01.002" TargetMode="External"/><Relationship Id="rId1052" Type="http://schemas.openxmlformats.org/officeDocument/2006/relationships/hyperlink" Target="https://doi.org/10.1002/chem.201301518" TargetMode="External"/><Relationship Id="rId1294" Type="http://schemas.openxmlformats.org/officeDocument/2006/relationships/hyperlink" Target="https://openalex.org/funders/f4320306076" TargetMode="External"/><Relationship Id="rId460" Type="http://schemas.openxmlformats.org/officeDocument/2006/relationships/hyperlink" Target="https://openalex.org/funders/f4320311494" TargetMode="External"/><Relationship Id="rId1053" Type="http://schemas.openxmlformats.org/officeDocument/2006/relationships/hyperlink" Target="https://doi.org/10.1021/acs.estlett.0c00587" TargetMode="External"/><Relationship Id="rId1295" Type="http://schemas.openxmlformats.org/officeDocument/2006/relationships/hyperlink" Target="https://doi.org/10.1016/j.csite.2022.101916" TargetMode="External"/><Relationship Id="rId1054" Type="http://schemas.openxmlformats.org/officeDocument/2006/relationships/hyperlink" Target="https://doi.org/10.1063/1.3478571" TargetMode="External"/><Relationship Id="rId1296" Type="http://schemas.openxmlformats.org/officeDocument/2006/relationships/hyperlink" Target="https://openalex.org/funders/f4320322795" TargetMode="External"/><Relationship Id="rId224" Type="http://schemas.openxmlformats.org/officeDocument/2006/relationships/hyperlink" Target="https://openalex.org/funders/f4320321001" TargetMode="External"/><Relationship Id="rId466" Type="http://schemas.openxmlformats.org/officeDocument/2006/relationships/hyperlink" Target="https://doi.org/10.1093/biostatistics/kxac032" TargetMode="External"/><Relationship Id="rId1055" Type="http://schemas.openxmlformats.org/officeDocument/2006/relationships/hyperlink" Target="https://openalex.org/funders/f4320306084" TargetMode="External"/><Relationship Id="rId1297" Type="http://schemas.openxmlformats.org/officeDocument/2006/relationships/hyperlink" Target="https://doi.org/10.1007/s11107-017-0745-5" TargetMode="External"/><Relationship Id="rId223" Type="http://schemas.openxmlformats.org/officeDocument/2006/relationships/hyperlink" Target="https://doi.org/10.1515/tjj-2013-0028" TargetMode="External"/><Relationship Id="rId465" Type="http://schemas.openxmlformats.org/officeDocument/2006/relationships/hyperlink" Target="https://openalex.org/funders/f4320337354" TargetMode="External"/><Relationship Id="rId1056" Type="http://schemas.openxmlformats.org/officeDocument/2006/relationships/hyperlink" Target="https://doi.org/10.1007/s00213-018-4860-5" TargetMode="External"/><Relationship Id="rId1298" Type="http://schemas.openxmlformats.org/officeDocument/2006/relationships/hyperlink" Target="https://doi.org/10.1016/j.ymeth.2008.01.011" TargetMode="External"/><Relationship Id="rId222" Type="http://schemas.openxmlformats.org/officeDocument/2006/relationships/hyperlink" Target="https://doi.org/10.1111/j.1365-2109.2010.02645.x" TargetMode="External"/><Relationship Id="rId464" Type="http://schemas.openxmlformats.org/officeDocument/2006/relationships/hyperlink" Target="https://doi.org/10.1016/j.tetlet.2005.04.146" TargetMode="External"/><Relationship Id="rId1057" Type="http://schemas.openxmlformats.org/officeDocument/2006/relationships/hyperlink" Target="https://openalex.org/funders/f4320334626" TargetMode="External"/><Relationship Id="rId1299" Type="http://schemas.openxmlformats.org/officeDocument/2006/relationships/hyperlink" Target="https://doi.org/10.1016/j.powtec.2018.09.014" TargetMode="External"/><Relationship Id="rId221" Type="http://schemas.openxmlformats.org/officeDocument/2006/relationships/hyperlink" Target="https://doi.org/10.1016/j.plantsci.2019.02.014" TargetMode="External"/><Relationship Id="rId463" Type="http://schemas.openxmlformats.org/officeDocument/2006/relationships/hyperlink" Target="https://doi.org/10.1016/j.geomorph.2018.11.010" TargetMode="External"/><Relationship Id="rId1058" Type="http://schemas.openxmlformats.org/officeDocument/2006/relationships/hyperlink" Target="https://doi.org/10.1111/1467-8489.12445" TargetMode="External"/><Relationship Id="rId1048" Type="http://schemas.openxmlformats.org/officeDocument/2006/relationships/hyperlink" Target="https://openalex.org/funders/f4320337338" TargetMode="External"/><Relationship Id="rId1049" Type="http://schemas.openxmlformats.org/officeDocument/2006/relationships/hyperlink" Target="https://doi.org/10.1038/srep17771" TargetMode="External"/><Relationship Id="rId217" Type="http://schemas.openxmlformats.org/officeDocument/2006/relationships/hyperlink" Target="https://doi.org/10.1111/irfi.12038" TargetMode="External"/><Relationship Id="rId459" Type="http://schemas.openxmlformats.org/officeDocument/2006/relationships/hyperlink" Target="https://doi.org/10.3390/jcm10050965" TargetMode="External"/><Relationship Id="rId216" Type="http://schemas.openxmlformats.org/officeDocument/2006/relationships/hyperlink" Target="https://doi.org/10.1007/s10344-017-1097-2" TargetMode="External"/><Relationship Id="rId458" Type="http://schemas.openxmlformats.org/officeDocument/2006/relationships/hyperlink" Target="https://doi.org/10.1021/jp9012976" TargetMode="External"/><Relationship Id="rId215" Type="http://schemas.openxmlformats.org/officeDocument/2006/relationships/hyperlink" Target="https://openalex.org/funders/f4320321001" TargetMode="External"/><Relationship Id="rId457" Type="http://schemas.openxmlformats.org/officeDocument/2006/relationships/hyperlink" Target="https://openalex.org/funders/f4320337355" TargetMode="External"/><Relationship Id="rId699" Type="http://schemas.openxmlformats.org/officeDocument/2006/relationships/hyperlink" Target="https://openalex.org/funders/f4320322795" TargetMode="External"/><Relationship Id="rId214" Type="http://schemas.openxmlformats.org/officeDocument/2006/relationships/hyperlink" Target="https://doi.org/10.1080/10610278.2016.1198485" TargetMode="External"/><Relationship Id="rId456" Type="http://schemas.openxmlformats.org/officeDocument/2006/relationships/hyperlink" Target="https://doi.org/10.1016/j.molbiopara.2008.08.005" TargetMode="External"/><Relationship Id="rId698" Type="http://schemas.openxmlformats.org/officeDocument/2006/relationships/hyperlink" Target="https://doi.org/10.1002/pola.22956" TargetMode="External"/><Relationship Id="rId219" Type="http://schemas.openxmlformats.org/officeDocument/2006/relationships/hyperlink" Target="https://doi.org/10.1007/s11295-018-1235-3" TargetMode="External"/><Relationship Id="rId1280" Type="http://schemas.openxmlformats.org/officeDocument/2006/relationships/hyperlink" Target="https://doi.org/10.1161/JAHA.119.013703" TargetMode="External"/><Relationship Id="rId218" Type="http://schemas.openxmlformats.org/officeDocument/2006/relationships/hyperlink" Target="https://openalex.org/funders/f4320334704" TargetMode="External"/><Relationship Id="rId1281" Type="http://schemas.openxmlformats.org/officeDocument/2006/relationships/hyperlink" Target="https://openalex.org/institutions/i91962293" TargetMode="External"/><Relationship Id="rId451" Type="http://schemas.openxmlformats.org/officeDocument/2006/relationships/hyperlink" Target="https://doi.org/10.1098/rspa.2017.0844" TargetMode="External"/><Relationship Id="rId693" Type="http://schemas.openxmlformats.org/officeDocument/2006/relationships/hyperlink" Target="https://openalex.org/funders/f4320321837" TargetMode="External"/><Relationship Id="rId1040" Type="http://schemas.openxmlformats.org/officeDocument/2006/relationships/hyperlink" Target="https://openalex.org/funders/f4320332161" TargetMode="External"/><Relationship Id="rId1282" Type="http://schemas.openxmlformats.org/officeDocument/2006/relationships/hyperlink" Target="https://doi.org/10.1016/j.ijhydene.2014.12.116" TargetMode="External"/><Relationship Id="rId450" Type="http://schemas.openxmlformats.org/officeDocument/2006/relationships/hyperlink" Target="https://doi.org/10.1016/j.tca.2012.04.031" TargetMode="External"/><Relationship Id="rId692" Type="http://schemas.openxmlformats.org/officeDocument/2006/relationships/hyperlink" Target="https://doi.org/10.1007/s11266-017-9882-9" TargetMode="External"/><Relationship Id="rId1041" Type="http://schemas.openxmlformats.org/officeDocument/2006/relationships/hyperlink" Target="https://doi.org/10.1038/srep08785" TargetMode="External"/><Relationship Id="rId1283" Type="http://schemas.openxmlformats.org/officeDocument/2006/relationships/hyperlink" Target="https://doi.org/10.1186/s12876-016-0507-3" TargetMode="External"/><Relationship Id="rId691" Type="http://schemas.openxmlformats.org/officeDocument/2006/relationships/hyperlink" Target="https://openalex.org/institutions/i3004594783" TargetMode="External"/><Relationship Id="rId1042" Type="http://schemas.openxmlformats.org/officeDocument/2006/relationships/hyperlink" Target="https://openalex.org/funders/f4320321001" TargetMode="External"/><Relationship Id="rId1284" Type="http://schemas.openxmlformats.org/officeDocument/2006/relationships/hyperlink" Target="https://openalex.org/funders/f4320324283" TargetMode="External"/><Relationship Id="rId690" Type="http://schemas.openxmlformats.org/officeDocument/2006/relationships/hyperlink" Target="https://doi.org/10.1016/j.jcp.2009.04.031" TargetMode="External"/><Relationship Id="rId1043" Type="http://schemas.openxmlformats.org/officeDocument/2006/relationships/hyperlink" Target="https://doi.org/10.1016/j.archger.2018.11.006" TargetMode="External"/><Relationship Id="rId1285" Type="http://schemas.openxmlformats.org/officeDocument/2006/relationships/hyperlink" Target="https://doi.org/10.3390/ijms19113686" TargetMode="External"/><Relationship Id="rId213" Type="http://schemas.openxmlformats.org/officeDocument/2006/relationships/hyperlink" Target="https://openalex.org/funders/f4320334764" TargetMode="External"/><Relationship Id="rId455" Type="http://schemas.openxmlformats.org/officeDocument/2006/relationships/hyperlink" Target="https://doi.org/10.1186/1532-429X-11-29" TargetMode="External"/><Relationship Id="rId697" Type="http://schemas.openxmlformats.org/officeDocument/2006/relationships/hyperlink" Target="https://doi.org/10.1039/c7qm00209b" TargetMode="External"/><Relationship Id="rId1044" Type="http://schemas.openxmlformats.org/officeDocument/2006/relationships/hyperlink" Target="https://openalex.org/funders/f4320309776" TargetMode="External"/><Relationship Id="rId1286" Type="http://schemas.openxmlformats.org/officeDocument/2006/relationships/hyperlink" Target="https://doi.org/10.3389/fmolb.2022.827638" TargetMode="External"/><Relationship Id="rId212" Type="http://schemas.openxmlformats.org/officeDocument/2006/relationships/hyperlink" Target="https://doi.org/10.1016/j.tetlet.2019.03.043" TargetMode="External"/><Relationship Id="rId454" Type="http://schemas.openxmlformats.org/officeDocument/2006/relationships/hyperlink" Target="https://openalex.org/funders/f4320337372" TargetMode="External"/><Relationship Id="rId696" Type="http://schemas.openxmlformats.org/officeDocument/2006/relationships/hyperlink" Target="https://doi.org/10.1038/s41565-021-00848-w" TargetMode="External"/><Relationship Id="rId1045" Type="http://schemas.openxmlformats.org/officeDocument/2006/relationships/hyperlink" Target="https://doi.org/10.1016/j.ijbiomac.2021.11.142" TargetMode="External"/><Relationship Id="rId1287" Type="http://schemas.openxmlformats.org/officeDocument/2006/relationships/hyperlink" Target="https://doi.org/10.1002/pros.23887" TargetMode="External"/><Relationship Id="rId211" Type="http://schemas.openxmlformats.org/officeDocument/2006/relationships/hyperlink" Target="https://doi.org/10.1080/09500340.2013.879219" TargetMode="External"/><Relationship Id="rId453" Type="http://schemas.openxmlformats.org/officeDocument/2006/relationships/hyperlink" Target="https://doi.org/10.1016/j.anai.2010.09.028" TargetMode="External"/><Relationship Id="rId695" Type="http://schemas.openxmlformats.org/officeDocument/2006/relationships/hyperlink" Target="https://openalex.org/funders/f4320322120" TargetMode="External"/><Relationship Id="rId1046" Type="http://schemas.openxmlformats.org/officeDocument/2006/relationships/hyperlink" Target="https://openalex.org/funders/f4320334771" TargetMode="External"/><Relationship Id="rId1288" Type="http://schemas.openxmlformats.org/officeDocument/2006/relationships/hyperlink" Target="https://openalex.org/institutions/i4390039376" TargetMode="External"/><Relationship Id="rId210" Type="http://schemas.openxmlformats.org/officeDocument/2006/relationships/hyperlink" Target="https://openalex.org/funders/f4320334627" TargetMode="External"/><Relationship Id="rId452" Type="http://schemas.openxmlformats.org/officeDocument/2006/relationships/hyperlink" Target="https://doi.org/10.1093/brain/awu100" TargetMode="External"/><Relationship Id="rId694" Type="http://schemas.openxmlformats.org/officeDocument/2006/relationships/hyperlink" Target="https://doi.org/10.1116/1.4913872" TargetMode="External"/><Relationship Id="rId1047" Type="http://schemas.openxmlformats.org/officeDocument/2006/relationships/hyperlink" Target="https://doi.org/10.1177/0009922820910820" TargetMode="External"/><Relationship Id="rId1289" Type="http://schemas.openxmlformats.org/officeDocument/2006/relationships/hyperlink" Target="https://doi.org/10.1089/fpd.2008.0125" TargetMode="External"/><Relationship Id="rId491" Type="http://schemas.openxmlformats.org/officeDocument/2006/relationships/hyperlink" Target="https://openalex.org/funders/f4320321730" TargetMode="External"/><Relationship Id="rId490" Type="http://schemas.openxmlformats.org/officeDocument/2006/relationships/hyperlink" Target="https://doi.org/10.1016/j.jasrep.2016.12.029" TargetMode="External"/><Relationship Id="rId249" Type="http://schemas.openxmlformats.org/officeDocument/2006/relationships/hyperlink" Target="https://openalex.org/funders/f4320320767" TargetMode="External"/><Relationship Id="rId248" Type="http://schemas.openxmlformats.org/officeDocument/2006/relationships/hyperlink" Target="https://doi.org/10.1002/masy.201800112" TargetMode="External"/><Relationship Id="rId247" Type="http://schemas.openxmlformats.org/officeDocument/2006/relationships/hyperlink" Target="https://doi.org/10.1021/acsami.9b13839" TargetMode="External"/><Relationship Id="rId489" Type="http://schemas.openxmlformats.org/officeDocument/2006/relationships/hyperlink" Target="https://openalex.org/institutions/i4210153937" TargetMode="External"/><Relationship Id="rId1070" Type="http://schemas.openxmlformats.org/officeDocument/2006/relationships/hyperlink" Target="https://openalex.org/funders/f4320311089" TargetMode="External"/><Relationship Id="rId1071" Type="http://schemas.openxmlformats.org/officeDocument/2006/relationships/hyperlink" Target="https://doi.org/10.1177/0022034510376401" TargetMode="External"/><Relationship Id="rId1072" Type="http://schemas.openxmlformats.org/officeDocument/2006/relationships/hyperlink" Target="https://doi.org/10.1364/OE.23.007038" TargetMode="External"/><Relationship Id="rId242" Type="http://schemas.openxmlformats.org/officeDocument/2006/relationships/hyperlink" Target="https://openalex.org/funders/f4320337345" TargetMode="External"/><Relationship Id="rId484" Type="http://schemas.openxmlformats.org/officeDocument/2006/relationships/hyperlink" Target="https://doi.org/10.1016/S1473-3099(14)71018-7" TargetMode="External"/><Relationship Id="rId1073" Type="http://schemas.openxmlformats.org/officeDocument/2006/relationships/hyperlink" Target="https://doi.org/10.1016/j.foodres.2022.111963" TargetMode="External"/><Relationship Id="rId241" Type="http://schemas.openxmlformats.org/officeDocument/2006/relationships/hyperlink" Target="https://doi.org/10.1638/2011-0179R1.1" TargetMode="External"/><Relationship Id="rId483" Type="http://schemas.openxmlformats.org/officeDocument/2006/relationships/hyperlink" Target="https://openalex.org/funders/f4320337330" TargetMode="External"/><Relationship Id="rId1074" Type="http://schemas.openxmlformats.org/officeDocument/2006/relationships/hyperlink" Target="https://openalex.org/funders/f4320335777" TargetMode="External"/><Relationship Id="rId240" Type="http://schemas.openxmlformats.org/officeDocument/2006/relationships/hyperlink" Target="https://openalex.org/funders/f4320337365" TargetMode="External"/><Relationship Id="rId482" Type="http://schemas.openxmlformats.org/officeDocument/2006/relationships/hyperlink" Target="https://doi.org/10.1097/01.ALC.0000036284.74513.A5" TargetMode="External"/><Relationship Id="rId1075" Type="http://schemas.openxmlformats.org/officeDocument/2006/relationships/hyperlink" Target="https://doi.org/10.1161/HYPERTENSIONAHA.120.15702" TargetMode="External"/><Relationship Id="rId481" Type="http://schemas.openxmlformats.org/officeDocument/2006/relationships/hyperlink" Target="https://openalex.org/funders/f4320310077" TargetMode="External"/><Relationship Id="rId1076" Type="http://schemas.openxmlformats.org/officeDocument/2006/relationships/hyperlink" Target="https://doi.org/10.1002/chem.201301146" TargetMode="External"/><Relationship Id="rId246" Type="http://schemas.openxmlformats.org/officeDocument/2006/relationships/hyperlink" Target="https://doi.org/10.1021/es202640p" TargetMode="External"/><Relationship Id="rId488" Type="http://schemas.openxmlformats.org/officeDocument/2006/relationships/hyperlink" Target="https://doi.org/10.3390/biom11111674" TargetMode="External"/><Relationship Id="rId1077" Type="http://schemas.openxmlformats.org/officeDocument/2006/relationships/hyperlink" Target="https://doi.org/10.1093/ofid/ofz067" TargetMode="External"/><Relationship Id="rId245" Type="http://schemas.openxmlformats.org/officeDocument/2006/relationships/hyperlink" Target="https://doi.org/10.1071/SH17223" TargetMode="External"/><Relationship Id="rId487" Type="http://schemas.openxmlformats.org/officeDocument/2006/relationships/hyperlink" Target="https://openalex.org/funders/f4320322725" TargetMode="External"/><Relationship Id="rId1078" Type="http://schemas.openxmlformats.org/officeDocument/2006/relationships/hyperlink" Target="https://openalex.org/funders/f4320332177" TargetMode="External"/><Relationship Id="rId244" Type="http://schemas.openxmlformats.org/officeDocument/2006/relationships/hyperlink" Target="https://openalex.org/institutions/i161052086" TargetMode="External"/><Relationship Id="rId486" Type="http://schemas.openxmlformats.org/officeDocument/2006/relationships/hyperlink" Target="https://doi.org/10.3390/bdcc5040054" TargetMode="External"/><Relationship Id="rId1079" Type="http://schemas.openxmlformats.org/officeDocument/2006/relationships/hyperlink" Target="https://doi.org/10.1177/00491241221082595" TargetMode="External"/><Relationship Id="rId243" Type="http://schemas.openxmlformats.org/officeDocument/2006/relationships/hyperlink" Target="https://doi.org/10.1061/(ASCE)0733-9364(2009)135:8(782)" TargetMode="External"/><Relationship Id="rId485" Type="http://schemas.openxmlformats.org/officeDocument/2006/relationships/hyperlink" Target="https://openalex.org/funders/f4320307770" TargetMode="External"/><Relationship Id="rId480" Type="http://schemas.openxmlformats.org/officeDocument/2006/relationships/hyperlink" Target="https://doi.org/10.1111/bcpt.13683" TargetMode="External"/><Relationship Id="rId239" Type="http://schemas.openxmlformats.org/officeDocument/2006/relationships/hyperlink" Target="https://doi.org/10.1002/jor.23213" TargetMode="External"/><Relationship Id="rId238" Type="http://schemas.openxmlformats.org/officeDocument/2006/relationships/hyperlink" Target="https://openalex.org/funders/f4320320162" TargetMode="External"/><Relationship Id="rId237" Type="http://schemas.openxmlformats.org/officeDocument/2006/relationships/hyperlink" Target="https://doi.org/10.1016/j.jallcom.2014.07.138" TargetMode="External"/><Relationship Id="rId479" Type="http://schemas.openxmlformats.org/officeDocument/2006/relationships/hyperlink" Target="https://doi.org/10.1136/annrheumdis-2022-eular.409" TargetMode="External"/><Relationship Id="rId236" Type="http://schemas.openxmlformats.org/officeDocument/2006/relationships/hyperlink" Target="https://openalex.org/funders/f4320321001" TargetMode="External"/><Relationship Id="rId478" Type="http://schemas.openxmlformats.org/officeDocument/2006/relationships/hyperlink" Target="https://doi.org/10.1098/rspa.2018.0898" TargetMode="External"/><Relationship Id="rId1060" Type="http://schemas.openxmlformats.org/officeDocument/2006/relationships/hyperlink" Target="https://doi.org/10.1021/acsanm.1c01982" TargetMode="External"/><Relationship Id="rId1061" Type="http://schemas.openxmlformats.org/officeDocument/2006/relationships/hyperlink" Target="https://openalex.org/funders/f4320321091" TargetMode="External"/><Relationship Id="rId231" Type="http://schemas.openxmlformats.org/officeDocument/2006/relationships/hyperlink" Target="https://doi.org/10.3390/s18124299" TargetMode="External"/><Relationship Id="rId473" Type="http://schemas.openxmlformats.org/officeDocument/2006/relationships/hyperlink" Target="https://doi.org/10.1016/j.electacta.2015.10.005" TargetMode="External"/><Relationship Id="rId1062" Type="http://schemas.openxmlformats.org/officeDocument/2006/relationships/hyperlink" Target="https://doi.org/10.1063/5.0015785" TargetMode="External"/><Relationship Id="rId230" Type="http://schemas.openxmlformats.org/officeDocument/2006/relationships/hyperlink" Target="https://doi.org/10.15252/embj.201796977" TargetMode="External"/><Relationship Id="rId472" Type="http://schemas.openxmlformats.org/officeDocument/2006/relationships/hyperlink" Target="https://openalex.org/funders/f4320322034" TargetMode="External"/><Relationship Id="rId1063" Type="http://schemas.openxmlformats.org/officeDocument/2006/relationships/hyperlink" Target="https://openalex.org/funders/f4320322757" TargetMode="External"/><Relationship Id="rId471" Type="http://schemas.openxmlformats.org/officeDocument/2006/relationships/hyperlink" Target="https://doi.org/10.4283/JMAG.2013.18.2.183" TargetMode="External"/><Relationship Id="rId1064" Type="http://schemas.openxmlformats.org/officeDocument/2006/relationships/hyperlink" Target="https://doi.org/10.16476/j.pibb.2021.0195" TargetMode="External"/><Relationship Id="rId470" Type="http://schemas.openxmlformats.org/officeDocument/2006/relationships/hyperlink" Target="https://openalex.org/funders/f4320321001" TargetMode="External"/><Relationship Id="rId1065" Type="http://schemas.openxmlformats.org/officeDocument/2006/relationships/hyperlink" Target="https://openalex.org/funders/f4320321001" TargetMode="External"/><Relationship Id="rId235" Type="http://schemas.openxmlformats.org/officeDocument/2006/relationships/hyperlink" Target="https://doi.org/10.1016/j.engfracmech.2021.107768" TargetMode="External"/><Relationship Id="rId477" Type="http://schemas.openxmlformats.org/officeDocument/2006/relationships/hyperlink" Target="https://doi.org/10.1021/acs.joc.8b02984" TargetMode="External"/><Relationship Id="rId1066" Type="http://schemas.openxmlformats.org/officeDocument/2006/relationships/hyperlink" Target="https://doi.org/10.3390/ijerph16071093" TargetMode="External"/><Relationship Id="rId234" Type="http://schemas.openxmlformats.org/officeDocument/2006/relationships/hyperlink" Target="https://doi.org/10.1021/acsami.7b09981" TargetMode="External"/><Relationship Id="rId476" Type="http://schemas.openxmlformats.org/officeDocument/2006/relationships/hyperlink" Target="https://openalex.org/funders/f4320307856" TargetMode="External"/><Relationship Id="rId1067" Type="http://schemas.openxmlformats.org/officeDocument/2006/relationships/hyperlink" Target="https://doi.org/10.1016/j.electacta.2017.10.073" TargetMode="External"/><Relationship Id="rId233" Type="http://schemas.openxmlformats.org/officeDocument/2006/relationships/hyperlink" Target="https://openalex.org/funders/f4320335777" TargetMode="External"/><Relationship Id="rId475" Type="http://schemas.openxmlformats.org/officeDocument/2006/relationships/hyperlink" Target="https://doi.org/10.26719/emhj.18.070" TargetMode="External"/><Relationship Id="rId1068" Type="http://schemas.openxmlformats.org/officeDocument/2006/relationships/hyperlink" Target="https://openalex.org/funders/f4320323845" TargetMode="External"/><Relationship Id="rId232" Type="http://schemas.openxmlformats.org/officeDocument/2006/relationships/hyperlink" Target="https://doi.org/10.1016/j.foodchem.2021.131412" TargetMode="External"/><Relationship Id="rId474" Type="http://schemas.openxmlformats.org/officeDocument/2006/relationships/hyperlink" Target="https://openalex.org/institutions/i6406202" TargetMode="External"/><Relationship Id="rId1069" Type="http://schemas.openxmlformats.org/officeDocument/2006/relationships/hyperlink" Target="https://doi.org/10.1007/s00454-015-9710-1" TargetMode="External"/><Relationship Id="rId1015" Type="http://schemas.openxmlformats.org/officeDocument/2006/relationships/hyperlink" Target="https://doi.org/10.1080/00207721.2014.983209" TargetMode="External"/><Relationship Id="rId1257" Type="http://schemas.openxmlformats.org/officeDocument/2006/relationships/hyperlink" Target="https://doi.org/10.1021/acs.jpca.0c06494" TargetMode="External"/><Relationship Id="rId1016" Type="http://schemas.openxmlformats.org/officeDocument/2006/relationships/hyperlink" Target="https://openalex.org/funders/f4320321040" TargetMode="External"/><Relationship Id="rId1258" Type="http://schemas.openxmlformats.org/officeDocument/2006/relationships/hyperlink" Target="https://openalex.org/funders/f4320320879" TargetMode="External"/><Relationship Id="rId1017" Type="http://schemas.openxmlformats.org/officeDocument/2006/relationships/hyperlink" Target="https://doi.org/10.1007/s00410-016-1286-0" TargetMode="External"/><Relationship Id="rId1259" Type="http://schemas.openxmlformats.org/officeDocument/2006/relationships/hyperlink" Target="https://doi.org/10.1039/c1an15856b" TargetMode="External"/><Relationship Id="rId1018" Type="http://schemas.openxmlformats.org/officeDocument/2006/relationships/hyperlink" Target="https://doi.org/10.3109/19401736.2013.800497" TargetMode="External"/><Relationship Id="rId1019" Type="http://schemas.openxmlformats.org/officeDocument/2006/relationships/hyperlink" Target="https://doi.org/10.14232/ejqtde.2015.1.62" TargetMode="External"/><Relationship Id="rId426" Type="http://schemas.openxmlformats.org/officeDocument/2006/relationships/hyperlink" Target="https://openalex.org/funders/f4320324099" TargetMode="External"/><Relationship Id="rId668" Type="http://schemas.openxmlformats.org/officeDocument/2006/relationships/hyperlink" Target="https://openalex.org/funders/f4320309526" TargetMode="External"/><Relationship Id="rId425" Type="http://schemas.openxmlformats.org/officeDocument/2006/relationships/hyperlink" Target="https://doi.org/10.5852/ejt.2022.809.1719" TargetMode="External"/><Relationship Id="rId667" Type="http://schemas.openxmlformats.org/officeDocument/2006/relationships/hyperlink" Target="https://doi.org/10.1117/12.2283507" TargetMode="External"/><Relationship Id="rId424" Type="http://schemas.openxmlformats.org/officeDocument/2006/relationships/hyperlink" Target="https://doi.org/10.1007/s10681-012-0635-y" TargetMode="External"/><Relationship Id="rId666" Type="http://schemas.openxmlformats.org/officeDocument/2006/relationships/hyperlink" Target="https://openalex.org/funders/f4320321001" TargetMode="External"/><Relationship Id="rId423" Type="http://schemas.openxmlformats.org/officeDocument/2006/relationships/hyperlink" Target="https://openalex.org/funders/f4320334881" TargetMode="External"/><Relationship Id="rId665" Type="http://schemas.openxmlformats.org/officeDocument/2006/relationships/hyperlink" Target="https://doi.org/10.1371/journal.pone.0077556" TargetMode="External"/><Relationship Id="rId429" Type="http://schemas.openxmlformats.org/officeDocument/2006/relationships/hyperlink" Target="https://openalex.org/institutions/i4408896003" TargetMode="External"/><Relationship Id="rId428" Type="http://schemas.openxmlformats.org/officeDocument/2006/relationships/hyperlink" Target="https://doi.org/10.1177/0883073818824000" TargetMode="External"/><Relationship Id="rId427" Type="http://schemas.openxmlformats.org/officeDocument/2006/relationships/hyperlink" Target="https://doi.org/10.1016/j.fsi.2019.09.022" TargetMode="External"/><Relationship Id="rId669" Type="http://schemas.openxmlformats.org/officeDocument/2006/relationships/hyperlink" Target="https://doi.org/10.1016/j.jaci.2016.06.041" TargetMode="External"/><Relationship Id="rId1490" Type="http://schemas.openxmlformats.org/officeDocument/2006/relationships/hyperlink" Target="https://doi.org/10.1093/occmed/kqr129" TargetMode="External"/><Relationship Id="rId660" Type="http://schemas.openxmlformats.org/officeDocument/2006/relationships/hyperlink" Target="https://doi.org/10.1016/j.ophtha.2009.12.012" TargetMode="External"/><Relationship Id="rId1491" Type="http://schemas.openxmlformats.org/officeDocument/2006/relationships/hyperlink" Target="https://doi.org/10.3390/coatings11091134" TargetMode="External"/><Relationship Id="rId1250" Type="http://schemas.openxmlformats.org/officeDocument/2006/relationships/hyperlink" Target="https://openalex.org/funders/f4320321001" TargetMode="External"/><Relationship Id="rId1492" Type="http://schemas.openxmlformats.org/officeDocument/2006/relationships/hyperlink" Target="https://openalex.org/funders/f4320310824" TargetMode="External"/><Relationship Id="rId1251" Type="http://schemas.openxmlformats.org/officeDocument/2006/relationships/hyperlink" Target="https://doi.org/10.1021/acsami.2c0517435485" TargetMode="External"/><Relationship Id="rId1493" Type="http://schemas.openxmlformats.org/officeDocument/2006/relationships/drawing" Target="../drawings/drawing1.xml"/><Relationship Id="rId1010" Type="http://schemas.openxmlformats.org/officeDocument/2006/relationships/hyperlink" Target="https://openalex.org/funders/f4320322120" TargetMode="External"/><Relationship Id="rId1252" Type="http://schemas.openxmlformats.org/officeDocument/2006/relationships/hyperlink" Target="https://doi.org/10.1016/j.applthermaleng.2020.115957" TargetMode="External"/><Relationship Id="rId422" Type="http://schemas.openxmlformats.org/officeDocument/2006/relationships/hyperlink" Target="https://doi.org/10.1016/j.jiec.2012.04.012" TargetMode="External"/><Relationship Id="rId664" Type="http://schemas.openxmlformats.org/officeDocument/2006/relationships/hyperlink" Target="https://doi.org/10.1055/s-0032-1309361" TargetMode="External"/><Relationship Id="rId1011" Type="http://schemas.openxmlformats.org/officeDocument/2006/relationships/hyperlink" Target="https://doi.org/10.1016/j.meegid.2008.11.008" TargetMode="External"/><Relationship Id="rId1253" Type="http://schemas.openxmlformats.org/officeDocument/2006/relationships/hyperlink" Target="https://doi.org/10.1039/c1cs15152e" TargetMode="External"/><Relationship Id="rId421" Type="http://schemas.openxmlformats.org/officeDocument/2006/relationships/hyperlink" Target="https://doi.org/10.1155/2018/8036540" TargetMode="External"/><Relationship Id="rId663" Type="http://schemas.openxmlformats.org/officeDocument/2006/relationships/hyperlink" Target="https://doi.org/10.1007/s40263-013-0055-0" TargetMode="External"/><Relationship Id="rId1012" Type="http://schemas.openxmlformats.org/officeDocument/2006/relationships/hyperlink" Target="https://doi.org/10.5194/essd-12-87-2020" TargetMode="External"/><Relationship Id="rId1254" Type="http://schemas.openxmlformats.org/officeDocument/2006/relationships/hyperlink" Target="https://openalex.org/funders/f4320334704" TargetMode="External"/><Relationship Id="rId420" Type="http://schemas.openxmlformats.org/officeDocument/2006/relationships/hyperlink" Target="https://openalex.org/funders/f4320324099" TargetMode="External"/><Relationship Id="rId662" Type="http://schemas.openxmlformats.org/officeDocument/2006/relationships/hyperlink" Target="https://openalex.org/funders/f4320321001" TargetMode="External"/><Relationship Id="rId1013" Type="http://schemas.openxmlformats.org/officeDocument/2006/relationships/hyperlink" Target="https://doi.org/10.1371/journal.pone.0060800" TargetMode="External"/><Relationship Id="rId1255" Type="http://schemas.openxmlformats.org/officeDocument/2006/relationships/hyperlink" Target="https://doi.org/10.1061/(ASCE)CF.1943-5509.0001322" TargetMode="External"/><Relationship Id="rId661" Type="http://schemas.openxmlformats.org/officeDocument/2006/relationships/hyperlink" Target="https://doi.org/10.1142/S1793524522500462" TargetMode="External"/><Relationship Id="rId1014" Type="http://schemas.openxmlformats.org/officeDocument/2006/relationships/hyperlink" Target="https://doi.org/10.3390/ijms20051048" TargetMode="External"/><Relationship Id="rId1256" Type="http://schemas.openxmlformats.org/officeDocument/2006/relationships/hyperlink" Target="https://doi.org/10.1111/j.1365-2109.2012.03163.x" TargetMode="External"/><Relationship Id="rId1004" Type="http://schemas.openxmlformats.org/officeDocument/2006/relationships/hyperlink" Target="https://doi.org/10.1088/0953-8984/25/19/195301" TargetMode="External"/><Relationship Id="rId1246" Type="http://schemas.openxmlformats.org/officeDocument/2006/relationships/hyperlink" Target="https://doi.org/10.1038/hdy.2013.60" TargetMode="External"/><Relationship Id="rId1488" Type="http://schemas.openxmlformats.org/officeDocument/2006/relationships/hyperlink" Target="https://openalex.org/funders/f4320334704" TargetMode="External"/><Relationship Id="rId1005" Type="http://schemas.openxmlformats.org/officeDocument/2006/relationships/hyperlink" Target="https://doi.org/10.1016/j.jcrysgro.2018.03.020" TargetMode="External"/><Relationship Id="rId1247" Type="http://schemas.openxmlformats.org/officeDocument/2006/relationships/hyperlink" Target="https://doi.org/10.1111/iju.12788" TargetMode="External"/><Relationship Id="rId1489" Type="http://schemas.openxmlformats.org/officeDocument/2006/relationships/hyperlink" Target="https://doi.org/10.1016/j.physleta.2021.127520" TargetMode="External"/><Relationship Id="rId1006" Type="http://schemas.openxmlformats.org/officeDocument/2006/relationships/hyperlink" Target="https://doi.org/10.1136/bmjopen-2018-022509" TargetMode="External"/><Relationship Id="rId1248" Type="http://schemas.openxmlformats.org/officeDocument/2006/relationships/hyperlink" Target="https://openalex.org/funders/f4320320912" TargetMode="External"/><Relationship Id="rId1007" Type="http://schemas.openxmlformats.org/officeDocument/2006/relationships/hyperlink" Target="https://openalex.org/funders/f4320321514" TargetMode="External"/><Relationship Id="rId1249" Type="http://schemas.openxmlformats.org/officeDocument/2006/relationships/hyperlink" Target="https://doi.org/10.1364/OSAC.2.003381" TargetMode="External"/><Relationship Id="rId1008" Type="http://schemas.openxmlformats.org/officeDocument/2006/relationships/hyperlink" Target="https://doi.org/10.1371/journal.pone.0074232" TargetMode="External"/><Relationship Id="rId1009" Type="http://schemas.openxmlformats.org/officeDocument/2006/relationships/hyperlink" Target="https://doi.org/10.1111/ijpo.12852" TargetMode="External"/><Relationship Id="rId415" Type="http://schemas.openxmlformats.org/officeDocument/2006/relationships/hyperlink" Target="https://doi.org/10.1136/bmjopen-2016-013342" TargetMode="External"/><Relationship Id="rId657" Type="http://schemas.openxmlformats.org/officeDocument/2006/relationships/hyperlink" Target="https://doi.org/10.1016/j.jallcom.2015.10.259" TargetMode="External"/><Relationship Id="rId899" Type="http://schemas.openxmlformats.org/officeDocument/2006/relationships/hyperlink" Target="https://doi.org/10.1016/j.cbpb.2020.110448" TargetMode="External"/><Relationship Id="rId414" Type="http://schemas.openxmlformats.org/officeDocument/2006/relationships/hyperlink" Target="https://openalex.org/funders/f4320321091" TargetMode="External"/><Relationship Id="rId656" Type="http://schemas.openxmlformats.org/officeDocument/2006/relationships/hyperlink" Target="https://doi.org/10.1186/1471-2156-8-34" TargetMode="External"/><Relationship Id="rId898" Type="http://schemas.openxmlformats.org/officeDocument/2006/relationships/hyperlink" Target="https://doi.org/10.2147/IJN.S257645" TargetMode="External"/><Relationship Id="rId413" Type="http://schemas.openxmlformats.org/officeDocument/2006/relationships/hyperlink" Target="https://doi.org/10.1590/1806-9282.66.7.931" TargetMode="External"/><Relationship Id="rId655" Type="http://schemas.openxmlformats.org/officeDocument/2006/relationships/hyperlink" Target="https://doi.org/10.1515/pjfns-2015-0007" TargetMode="External"/><Relationship Id="rId897" Type="http://schemas.openxmlformats.org/officeDocument/2006/relationships/hyperlink" Target="https://doi.org/10.1016/j.devcel.2016.02.010" TargetMode="External"/><Relationship Id="rId412" Type="http://schemas.openxmlformats.org/officeDocument/2006/relationships/hyperlink" Target="https://openalex.org/funders/f4320337472" TargetMode="External"/><Relationship Id="rId654" Type="http://schemas.openxmlformats.org/officeDocument/2006/relationships/hyperlink" Target="https://openalex.org/funders/f4320321371" TargetMode="External"/><Relationship Id="rId896" Type="http://schemas.openxmlformats.org/officeDocument/2006/relationships/hyperlink" Target="https://doi.org/10.1088/0256-307X/31/3/034203" TargetMode="External"/><Relationship Id="rId419" Type="http://schemas.openxmlformats.org/officeDocument/2006/relationships/hyperlink" Target="https://doi.org/10.1007/978-3-030-34983-7_31" TargetMode="External"/><Relationship Id="rId418" Type="http://schemas.openxmlformats.org/officeDocument/2006/relationships/hyperlink" Target="https://openalex.org/funders/f4320320717" TargetMode="External"/><Relationship Id="rId417" Type="http://schemas.openxmlformats.org/officeDocument/2006/relationships/hyperlink" Target="https://doi.org/10.18520/cs/v112/i01/40-45" TargetMode="External"/><Relationship Id="rId659" Type="http://schemas.openxmlformats.org/officeDocument/2006/relationships/hyperlink" Target="https://openalex.org/funders/f4320334629" TargetMode="External"/><Relationship Id="rId416" Type="http://schemas.openxmlformats.org/officeDocument/2006/relationships/hyperlink" Target="https://openalex.org/funders/f4320322485" TargetMode="External"/><Relationship Id="rId658" Type="http://schemas.openxmlformats.org/officeDocument/2006/relationships/hyperlink" Target="https://doi.org/10.1016/j.tim.2006.03.002" TargetMode="External"/><Relationship Id="rId891" Type="http://schemas.openxmlformats.org/officeDocument/2006/relationships/hyperlink" Target="https://doi.org/10.1134/S1061933X12040163" TargetMode="External"/><Relationship Id="rId1480" Type="http://schemas.openxmlformats.org/officeDocument/2006/relationships/hyperlink" Target="https://doi.org/10.1111/ijcp.14989" TargetMode="External"/><Relationship Id="rId890" Type="http://schemas.openxmlformats.org/officeDocument/2006/relationships/hyperlink" Target="https://doi.org/10.1093/cybsec/tyx006" TargetMode="External"/><Relationship Id="rId1481" Type="http://schemas.openxmlformats.org/officeDocument/2006/relationships/hyperlink" Target="https://openalex.org/funders/f4320323830" TargetMode="External"/><Relationship Id="rId1240" Type="http://schemas.openxmlformats.org/officeDocument/2006/relationships/hyperlink" Target="https://doi.org/10.1007/s10707-020-00411-0" TargetMode="External"/><Relationship Id="rId1482" Type="http://schemas.openxmlformats.org/officeDocument/2006/relationships/hyperlink" Target="https://doi.org/10.1088/0022-3727/40/10/024" TargetMode="External"/><Relationship Id="rId1241" Type="http://schemas.openxmlformats.org/officeDocument/2006/relationships/hyperlink" Target="https://openalex.org/funders/f4320338464" TargetMode="External"/><Relationship Id="rId1483" Type="http://schemas.openxmlformats.org/officeDocument/2006/relationships/hyperlink" Target="https://openalex.org/funders/f4320334627" TargetMode="External"/><Relationship Id="rId411" Type="http://schemas.openxmlformats.org/officeDocument/2006/relationships/hyperlink" Target="https://doi.org/10.5811/westjem.2020.12.49171" TargetMode="External"/><Relationship Id="rId653" Type="http://schemas.openxmlformats.org/officeDocument/2006/relationships/hyperlink" Target="https://doi.org/10.4021/cr221w" TargetMode="External"/><Relationship Id="rId895" Type="http://schemas.openxmlformats.org/officeDocument/2006/relationships/hyperlink" Target="https://openalex.org/funders/f4320337337" TargetMode="External"/><Relationship Id="rId1000" Type="http://schemas.openxmlformats.org/officeDocument/2006/relationships/hyperlink" Target="https://doi.org/10.1021/acs.langmuir.6b01536" TargetMode="External"/><Relationship Id="rId1242" Type="http://schemas.openxmlformats.org/officeDocument/2006/relationships/hyperlink" Target="https://doi.org/10.24099/vet.arhiv.0025" TargetMode="External"/><Relationship Id="rId1484" Type="http://schemas.openxmlformats.org/officeDocument/2006/relationships/hyperlink" Target="https://doi.org/10.1007/978-3-030-20912-4_48" TargetMode="External"/><Relationship Id="rId410" Type="http://schemas.openxmlformats.org/officeDocument/2006/relationships/hyperlink" Target="https://doi.org/10.1080/07350015.2016.1191500" TargetMode="External"/><Relationship Id="rId652" Type="http://schemas.openxmlformats.org/officeDocument/2006/relationships/hyperlink" Target="https://doi.org/10.1007/s11426-010-4010-3" TargetMode="External"/><Relationship Id="rId894" Type="http://schemas.openxmlformats.org/officeDocument/2006/relationships/hyperlink" Target="https://doi.org/10.1001/jamanetworkopen.2021.48599" TargetMode="External"/><Relationship Id="rId1001" Type="http://schemas.openxmlformats.org/officeDocument/2006/relationships/hyperlink" Target="https://doi.org/10.1089/chi.2014.0004" TargetMode="External"/><Relationship Id="rId1243" Type="http://schemas.openxmlformats.org/officeDocument/2006/relationships/hyperlink" Target="https://openalex.org/funders/f4320322674" TargetMode="External"/><Relationship Id="rId1485" Type="http://schemas.openxmlformats.org/officeDocument/2006/relationships/hyperlink" Target="https://doi.org/10.1002/jmri.22839" TargetMode="External"/><Relationship Id="rId651" Type="http://schemas.openxmlformats.org/officeDocument/2006/relationships/hyperlink" Target="https://openalex.org/funders/f4320320419" TargetMode="External"/><Relationship Id="rId893" Type="http://schemas.openxmlformats.org/officeDocument/2006/relationships/hyperlink" Target="https://doi.org/10.1007/s13361-017-1886-6" TargetMode="External"/><Relationship Id="rId1002" Type="http://schemas.openxmlformats.org/officeDocument/2006/relationships/hyperlink" Target="https://doi.org/10.1061/(ASCE)NH.1527-6996.0000351" TargetMode="External"/><Relationship Id="rId1244" Type="http://schemas.openxmlformats.org/officeDocument/2006/relationships/hyperlink" Target="https://doi.org/10.1016/j.meegid.2021.105007" TargetMode="External"/><Relationship Id="rId1486" Type="http://schemas.openxmlformats.org/officeDocument/2006/relationships/hyperlink" Target="https://openalex.org/funders/f4320337338" TargetMode="External"/><Relationship Id="rId650" Type="http://schemas.openxmlformats.org/officeDocument/2006/relationships/hyperlink" Target="https://doi.org/10.1016/j.fishres.2016.01.007" TargetMode="External"/><Relationship Id="rId892" Type="http://schemas.openxmlformats.org/officeDocument/2006/relationships/hyperlink" Target="https://openalex.org/funders/f4320334801" TargetMode="External"/><Relationship Id="rId1003" Type="http://schemas.openxmlformats.org/officeDocument/2006/relationships/hyperlink" Target="https://doi.org/10.1016/j.partic.2016.01.010" TargetMode="External"/><Relationship Id="rId1245" Type="http://schemas.openxmlformats.org/officeDocument/2006/relationships/hyperlink" Target="https://doi.org/10.1016/j.compind.2009.10.006" TargetMode="External"/><Relationship Id="rId1487" Type="http://schemas.openxmlformats.org/officeDocument/2006/relationships/hyperlink" Target="https://doi.org/10.4271/03-15-05-0036" TargetMode="External"/><Relationship Id="rId1037" Type="http://schemas.openxmlformats.org/officeDocument/2006/relationships/hyperlink" Target="https://openalex.org/funders/f4320320300" TargetMode="External"/><Relationship Id="rId1279" Type="http://schemas.openxmlformats.org/officeDocument/2006/relationships/hyperlink" Target="https://openalex.org/funders/f4320322626" TargetMode="External"/><Relationship Id="rId1038" Type="http://schemas.openxmlformats.org/officeDocument/2006/relationships/hyperlink" Target="https://doi.org/10.7717/peerj.10340" TargetMode="External"/><Relationship Id="rId1039" Type="http://schemas.openxmlformats.org/officeDocument/2006/relationships/hyperlink" Target="https://doi.org/10.1016/j.jbc.2021.101359" TargetMode="External"/><Relationship Id="rId206" Type="http://schemas.openxmlformats.org/officeDocument/2006/relationships/hyperlink" Target="https://doi.org/10.1016/j.laa.2017.06.045" TargetMode="External"/><Relationship Id="rId448" Type="http://schemas.openxmlformats.org/officeDocument/2006/relationships/hyperlink" Target="https://doi.org/10.7554/eLife.59112" TargetMode="External"/><Relationship Id="rId205" Type="http://schemas.openxmlformats.org/officeDocument/2006/relationships/hyperlink" Target="https://openalex.org/funders/f4320334704" TargetMode="External"/><Relationship Id="rId447" Type="http://schemas.openxmlformats.org/officeDocument/2006/relationships/hyperlink" Target="https://openalex.org/funders/f4320323332" TargetMode="External"/><Relationship Id="rId689" Type="http://schemas.openxmlformats.org/officeDocument/2006/relationships/hyperlink" Target="https://doi.org/10.1016/j.radphyschem.2019.05.002" TargetMode="External"/><Relationship Id="rId204" Type="http://schemas.openxmlformats.org/officeDocument/2006/relationships/hyperlink" Target="https://doi.org/10.1117/12.922140" TargetMode="External"/><Relationship Id="rId446" Type="http://schemas.openxmlformats.org/officeDocument/2006/relationships/hyperlink" Target="https://doi.org/10.1177/1550147719888167" TargetMode="External"/><Relationship Id="rId688" Type="http://schemas.openxmlformats.org/officeDocument/2006/relationships/hyperlink" Target="https://doi.org/10.1021/jacs.7b10639" TargetMode="External"/><Relationship Id="rId203" Type="http://schemas.openxmlformats.org/officeDocument/2006/relationships/hyperlink" Target="https://openalex.org/funders/f4320337346" TargetMode="External"/><Relationship Id="rId445" Type="http://schemas.openxmlformats.org/officeDocument/2006/relationships/hyperlink" Target="https://openalex.org/funders/f4320309139" TargetMode="External"/><Relationship Id="rId687" Type="http://schemas.openxmlformats.org/officeDocument/2006/relationships/hyperlink" Target="https://openalex.org/funders/f4320320879" TargetMode="External"/><Relationship Id="rId209" Type="http://schemas.openxmlformats.org/officeDocument/2006/relationships/hyperlink" Target="https://doi.org/10.1145/3449639.3459326" TargetMode="External"/><Relationship Id="rId208" Type="http://schemas.openxmlformats.org/officeDocument/2006/relationships/hyperlink" Target="https://doi.org/10.1002/ejoc.202200165" TargetMode="External"/><Relationship Id="rId207" Type="http://schemas.openxmlformats.org/officeDocument/2006/relationships/hyperlink" Target="https://openalex.org/funders/f4320306078" TargetMode="External"/><Relationship Id="rId449" Type="http://schemas.openxmlformats.org/officeDocument/2006/relationships/hyperlink" Target="https://openalex.org/funders/f4320332161" TargetMode="External"/><Relationship Id="rId1270" Type="http://schemas.openxmlformats.org/officeDocument/2006/relationships/hyperlink" Target="https://doi.org/10.4064/aa191103-13-2" TargetMode="External"/><Relationship Id="rId440" Type="http://schemas.openxmlformats.org/officeDocument/2006/relationships/hyperlink" Target="https://openalex.org/funders/f4320321001" TargetMode="External"/><Relationship Id="rId682" Type="http://schemas.openxmlformats.org/officeDocument/2006/relationships/hyperlink" Target="https://openalex.org/institutions/i4391767992" TargetMode="External"/><Relationship Id="rId1271" Type="http://schemas.openxmlformats.org/officeDocument/2006/relationships/hyperlink" Target="https://openalex.org/funders/f4320321001" TargetMode="External"/><Relationship Id="rId681" Type="http://schemas.openxmlformats.org/officeDocument/2006/relationships/hyperlink" Target="https://doi.org/10.1185/03007995.2015.1047748" TargetMode="External"/><Relationship Id="rId1030" Type="http://schemas.openxmlformats.org/officeDocument/2006/relationships/hyperlink" Target="https://doi.org/10.1016/j.tsf.2010.12.022" TargetMode="External"/><Relationship Id="rId1272" Type="http://schemas.openxmlformats.org/officeDocument/2006/relationships/hyperlink" Target="https://doi.org/10.1103/PhysRevA.102.042823" TargetMode="External"/><Relationship Id="rId680" Type="http://schemas.openxmlformats.org/officeDocument/2006/relationships/hyperlink" Target="https://doi.org/10.1021/acscatal.5b02586" TargetMode="External"/><Relationship Id="rId1031" Type="http://schemas.openxmlformats.org/officeDocument/2006/relationships/hyperlink" Target="https://doi.org/10.1093/eurpub/ckt120" TargetMode="External"/><Relationship Id="rId1273" Type="http://schemas.openxmlformats.org/officeDocument/2006/relationships/hyperlink" Target="https://doi.org/10.1016/j.matlet.2017.12.081" TargetMode="External"/><Relationship Id="rId1032" Type="http://schemas.openxmlformats.org/officeDocument/2006/relationships/hyperlink" Target="https://openalex.org/funders/f4320320912" TargetMode="External"/><Relationship Id="rId1274" Type="http://schemas.openxmlformats.org/officeDocument/2006/relationships/hyperlink" Target="https://doi.org/10.3389/fimmu.2021.798811" TargetMode="External"/><Relationship Id="rId202" Type="http://schemas.openxmlformats.org/officeDocument/2006/relationships/hyperlink" Target="https://doi.org/10.1016/j.cognition.2009.08.008" TargetMode="External"/><Relationship Id="rId444" Type="http://schemas.openxmlformats.org/officeDocument/2006/relationships/hyperlink" Target="https://doi.org/10.1161/CIRCINTERVENTIONS.113.000650" TargetMode="External"/><Relationship Id="rId686" Type="http://schemas.openxmlformats.org/officeDocument/2006/relationships/hyperlink" Target="https://doi.org/10.1002/ejoc.201000858" TargetMode="External"/><Relationship Id="rId1033" Type="http://schemas.openxmlformats.org/officeDocument/2006/relationships/hyperlink" Target="https://doi.org/10.3390/geosciences10040138" TargetMode="External"/><Relationship Id="rId1275" Type="http://schemas.openxmlformats.org/officeDocument/2006/relationships/hyperlink" Target="https://openalex.org/funders/f4320306336" TargetMode="External"/><Relationship Id="rId201" Type="http://schemas.openxmlformats.org/officeDocument/2006/relationships/hyperlink" Target="https://doi.org/10.1039/c3ay41251b" TargetMode="External"/><Relationship Id="rId443" Type="http://schemas.openxmlformats.org/officeDocument/2006/relationships/hyperlink" Target="https://openalex.org/funders/f4320321001" TargetMode="External"/><Relationship Id="rId685" Type="http://schemas.openxmlformats.org/officeDocument/2006/relationships/hyperlink" Target="https://doi.org/10.1002/cncr.30642" TargetMode="External"/><Relationship Id="rId1034" Type="http://schemas.openxmlformats.org/officeDocument/2006/relationships/hyperlink" Target="https://doi.org/10.1038/sj.mp.4001921" TargetMode="External"/><Relationship Id="rId1276" Type="http://schemas.openxmlformats.org/officeDocument/2006/relationships/hyperlink" Target="https://doi.org/10.1016/j.ece.2018.07.001" TargetMode="External"/><Relationship Id="rId200" Type="http://schemas.openxmlformats.org/officeDocument/2006/relationships/hyperlink" Target="https://openalex.org/funders/f4320321181" TargetMode="External"/><Relationship Id="rId442" Type="http://schemas.openxmlformats.org/officeDocument/2006/relationships/hyperlink" Target="https://doi.org/10.1016/j.compfluid.2017.02.009" TargetMode="External"/><Relationship Id="rId684" Type="http://schemas.openxmlformats.org/officeDocument/2006/relationships/hyperlink" Target="https://doi.org/10.1095/biolreprod.113.116814" TargetMode="External"/><Relationship Id="rId1035" Type="http://schemas.openxmlformats.org/officeDocument/2006/relationships/hyperlink" Target="https://openalex.org/funders/f4320337346" TargetMode="External"/><Relationship Id="rId1277" Type="http://schemas.openxmlformats.org/officeDocument/2006/relationships/hyperlink" Target="https://openalex.org/funders/f4320321974" TargetMode="External"/><Relationship Id="rId441" Type="http://schemas.openxmlformats.org/officeDocument/2006/relationships/hyperlink" Target="https://doi.org/10.1021/cm401270b" TargetMode="External"/><Relationship Id="rId683" Type="http://schemas.openxmlformats.org/officeDocument/2006/relationships/hyperlink" Target="https://doi.org/10.1007/s10577-019-09619-9" TargetMode="External"/><Relationship Id="rId1036" Type="http://schemas.openxmlformats.org/officeDocument/2006/relationships/hyperlink" Target="https://doi.org/10.1155/2019/9864246" TargetMode="External"/><Relationship Id="rId1278" Type="http://schemas.openxmlformats.org/officeDocument/2006/relationships/hyperlink" Target="https://doi.org/10.21162/PAKJAS/20.9309" TargetMode="External"/><Relationship Id="rId1026" Type="http://schemas.openxmlformats.org/officeDocument/2006/relationships/hyperlink" Target="https://openalex.org/funders/f4320337337" TargetMode="External"/><Relationship Id="rId1268" Type="http://schemas.openxmlformats.org/officeDocument/2006/relationships/hyperlink" Target="https://doi.org/10.1007/s12040-013-0358-z" TargetMode="External"/><Relationship Id="rId1027" Type="http://schemas.openxmlformats.org/officeDocument/2006/relationships/hyperlink" Target="https://doi.org/10.1049/iet-opt.2014.0137" TargetMode="External"/><Relationship Id="rId1269" Type="http://schemas.openxmlformats.org/officeDocument/2006/relationships/hyperlink" Target="https://openalex.org/funders/f4320320875" TargetMode="External"/><Relationship Id="rId1028" Type="http://schemas.openxmlformats.org/officeDocument/2006/relationships/hyperlink" Target="https://doi.org/10.3390/met7080289" TargetMode="External"/><Relationship Id="rId1029" Type="http://schemas.openxmlformats.org/officeDocument/2006/relationships/hyperlink" Target="https://openalex.org/funders/f4320321837" TargetMode="External"/><Relationship Id="rId437" Type="http://schemas.openxmlformats.org/officeDocument/2006/relationships/hyperlink" Target="https://doi.org/10.1016/j.rsma.2020.101281" TargetMode="External"/><Relationship Id="rId679" Type="http://schemas.openxmlformats.org/officeDocument/2006/relationships/hyperlink" Target="https://openalex.org/funders/f4320321001" TargetMode="External"/><Relationship Id="rId436" Type="http://schemas.openxmlformats.org/officeDocument/2006/relationships/hyperlink" Target="https://openalex.org/funders/f4320322795" TargetMode="External"/><Relationship Id="rId678" Type="http://schemas.openxmlformats.org/officeDocument/2006/relationships/hyperlink" Target="https://doi.org/10.1016/j.foodchem.2015.02.049" TargetMode="External"/><Relationship Id="rId435" Type="http://schemas.openxmlformats.org/officeDocument/2006/relationships/hyperlink" Target="https://doi.org/10.1016/j.jes.2022.02.0201001-0742" TargetMode="External"/><Relationship Id="rId677" Type="http://schemas.openxmlformats.org/officeDocument/2006/relationships/hyperlink" Target="https://openalex.org/funders/f4320320924" TargetMode="External"/><Relationship Id="rId434" Type="http://schemas.openxmlformats.org/officeDocument/2006/relationships/hyperlink" Target="https://doi.org/10.1039/c6nr07868k" TargetMode="External"/><Relationship Id="rId676" Type="http://schemas.openxmlformats.org/officeDocument/2006/relationships/hyperlink" Target="https://doi.org/10.1108/JHOM-06-2016-0111" TargetMode="External"/><Relationship Id="rId439" Type="http://schemas.openxmlformats.org/officeDocument/2006/relationships/hyperlink" Target="https://doi.org/10.1134/S0015462821030101" TargetMode="External"/><Relationship Id="rId438" Type="http://schemas.openxmlformats.org/officeDocument/2006/relationships/hyperlink" Target="https://openalex.org/funders/f4320322025" TargetMode="External"/><Relationship Id="rId671" Type="http://schemas.openxmlformats.org/officeDocument/2006/relationships/hyperlink" Target="https://doi.org/10.1007/s11102-019-00959-7" TargetMode="External"/><Relationship Id="rId1260" Type="http://schemas.openxmlformats.org/officeDocument/2006/relationships/hyperlink" Target="https://doi.org/10.3389/fnana.2015.00147" TargetMode="External"/><Relationship Id="rId670" Type="http://schemas.openxmlformats.org/officeDocument/2006/relationships/hyperlink" Target="https://openalex.org/funders/f4320308288" TargetMode="External"/><Relationship Id="rId1261" Type="http://schemas.openxmlformats.org/officeDocument/2006/relationships/hyperlink" Target="https://openalex.org/funders/f4320332161" TargetMode="External"/><Relationship Id="rId1020" Type="http://schemas.openxmlformats.org/officeDocument/2006/relationships/hyperlink" Target="https://openalex.org/funders/f4320322626" TargetMode="External"/><Relationship Id="rId1262" Type="http://schemas.openxmlformats.org/officeDocument/2006/relationships/hyperlink" Target="https://doi.org/10.1016/j.bbamem.2020.183466" TargetMode="External"/><Relationship Id="rId1021" Type="http://schemas.openxmlformats.org/officeDocument/2006/relationships/hyperlink" Target="https://doi.org/10.3390/ijms20133250" TargetMode="External"/><Relationship Id="rId1263" Type="http://schemas.openxmlformats.org/officeDocument/2006/relationships/hyperlink" Target="https://doi.org/10.1002/ijc.31059" TargetMode="External"/><Relationship Id="rId433" Type="http://schemas.openxmlformats.org/officeDocument/2006/relationships/hyperlink" Target="https://openalex.org/funders/f4320321001" TargetMode="External"/><Relationship Id="rId675" Type="http://schemas.openxmlformats.org/officeDocument/2006/relationships/hyperlink" Target="https://openalex.org/funders/f4320329091" TargetMode="External"/><Relationship Id="rId1022" Type="http://schemas.openxmlformats.org/officeDocument/2006/relationships/hyperlink" Target="https://doi.org/10.1016/j.ces.2013.05.067" TargetMode="External"/><Relationship Id="rId1264" Type="http://schemas.openxmlformats.org/officeDocument/2006/relationships/hyperlink" Target="https://doi.org/10.1016/j.jmgm.2015.02.002" TargetMode="External"/><Relationship Id="rId432" Type="http://schemas.openxmlformats.org/officeDocument/2006/relationships/hyperlink" Target="https://doi.org/10.1007/s12274-017-1583-6" TargetMode="External"/><Relationship Id="rId674" Type="http://schemas.openxmlformats.org/officeDocument/2006/relationships/hyperlink" Target="https://doi.org/10.1016/j.bbrc.2019.05.107" TargetMode="External"/><Relationship Id="rId1023" Type="http://schemas.openxmlformats.org/officeDocument/2006/relationships/hyperlink" Target="https://openalex.org/funders/f4320321594" TargetMode="External"/><Relationship Id="rId1265" Type="http://schemas.openxmlformats.org/officeDocument/2006/relationships/hyperlink" Target="https://openalex.org/funders/f4320310753" TargetMode="External"/><Relationship Id="rId431" Type="http://schemas.openxmlformats.org/officeDocument/2006/relationships/hyperlink" Target="https://openalex.org/funders/f4320321001" TargetMode="External"/><Relationship Id="rId673" Type="http://schemas.openxmlformats.org/officeDocument/2006/relationships/hyperlink" Target="https://doi.org/10.1103/PhysRevB.96.075118" TargetMode="External"/><Relationship Id="rId1024" Type="http://schemas.openxmlformats.org/officeDocument/2006/relationships/hyperlink" Target="https://doi.org/10.1038/s41592-019-0613-6" TargetMode="External"/><Relationship Id="rId1266" Type="http://schemas.openxmlformats.org/officeDocument/2006/relationships/hyperlink" Target="https://doi.org/10.1093/jac/dkt003" TargetMode="External"/><Relationship Id="rId430" Type="http://schemas.openxmlformats.org/officeDocument/2006/relationships/hyperlink" Target="https://doi.org/10.1049/pel2.12075" TargetMode="External"/><Relationship Id="rId672" Type="http://schemas.openxmlformats.org/officeDocument/2006/relationships/hyperlink" Target="https://openalex.org/funders/f4320322120" TargetMode="External"/><Relationship Id="rId1025" Type="http://schemas.openxmlformats.org/officeDocument/2006/relationships/hyperlink" Target="https://doi.org/10.1093/gerona/glab196" TargetMode="External"/><Relationship Id="rId1267" Type="http://schemas.openxmlformats.org/officeDocument/2006/relationships/hyperlink" Target="https://doi.org/10.1016/j.applthermaleng.2017.03.124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doi.org/10.1002/bies.201900231" TargetMode="External"/><Relationship Id="rId194" Type="http://schemas.openxmlformats.org/officeDocument/2006/relationships/hyperlink" Target="https://doi.org/10.1007/s42243-021-00622-1" TargetMode="External"/><Relationship Id="rId193" Type="http://schemas.openxmlformats.org/officeDocument/2006/relationships/hyperlink" Target="https://doi.org/10.1049/itr2.12183" TargetMode="External"/><Relationship Id="rId192" Type="http://schemas.openxmlformats.org/officeDocument/2006/relationships/hyperlink" Target="https://doi.org/10.1186/s12938-018-0615-0" TargetMode="External"/><Relationship Id="rId191" Type="http://schemas.openxmlformats.org/officeDocument/2006/relationships/hyperlink" Target="https://doi.org/10.1155/2012/245103" TargetMode="External"/><Relationship Id="rId187" Type="http://schemas.openxmlformats.org/officeDocument/2006/relationships/hyperlink" Target="https://doi.org/10.1016/j.engstruct.2017.10.063" TargetMode="External"/><Relationship Id="rId186" Type="http://schemas.openxmlformats.org/officeDocument/2006/relationships/hyperlink" Target="https://doi.org/10.1016/j.gr.2022.01.013" TargetMode="External"/><Relationship Id="rId185" Type="http://schemas.openxmlformats.org/officeDocument/2006/relationships/hyperlink" Target="https://doi.org/10.1007/s10514-019-09856-1" TargetMode="External"/><Relationship Id="rId184" Type="http://schemas.openxmlformats.org/officeDocument/2006/relationships/hyperlink" Target="https://doi.org/10.1186/s12859-016-1299-8" TargetMode="External"/><Relationship Id="rId189" Type="http://schemas.openxmlformats.org/officeDocument/2006/relationships/hyperlink" Target="https://doi.org/10.1111/adb.12345" TargetMode="External"/><Relationship Id="rId188" Type="http://schemas.openxmlformats.org/officeDocument/2006/relationships/hyperlink" Target="https://doi.org/10.1038/s41598-021-95190-5" TargetMode="External"/><Relationship Id="rId183" Type="http://schemas.openxmlformats.org/officeDocument/2006/relationships/hyperlink" Target="https://doi.org/10.1016/j.celrep.2016.12.035" TargetMode="External"/><Relationship Id="rId182" Type="http://schemas.openxmlformats.org/officeDocument/2006/relationships/hyperlink" Target="https://doi.org/10.1371/journal.pone.0184047" TargetMode="External"/><Relationship Id="rId181" Type="http://schemas.openxmlformats.org/officeDocument/2006/relationships/hyperlink" Target="https://doi.org/10.1093/beheco/arab108" TargetMode="External"/><Relationship Id="rId180" Type="http://schemas.openxmlformats.org/officeDocument/2006/relationships/hyperlink" Target="https://doi.org/10.1021/jacs.7b02063" TargetMode="External"/><Relationship Id="rId176" Type="http://schemas.openxmlformats.org/officeDocument/2006/relationships/hyperlink" Target="https://doi.org/10.1002/advs.202204689" TargetMode="External"/><Relationship Id="rId175" Type="http://schemas.openxmlformats.org/officeDocument/2006/relationships/hyperlink" Target="https://doi.org/10.1016/j.watres.2020.115841" TargetMode="External"/><Relationship Id="rId174" Type="http://schemas.openxmlformats.org/officeDocument/2006/relationships/hyperlink" Target="https://doi.org/10.1016/j.neuroimage.2012.08.023" TargetMode="External"/><Relationship Id="rId173" Type="http://schemas.openxmlformats.org/officeDocument/2006/relationships/hyperlink" Target="https://doi.org/10.1016/j.foodhyd.2018.09.012" TargetMode="External"/><Relationship Id="rId179" Type="http://schemas.openxmlformats.org/officeDocument/2006/relationships/hyperlink" Target="https://doi.org/10.1063/1.5091477" TargetMode="External"/><Relationship Id="rId178" Type="http://schemas.openxmlformats.org/officeDocument/2006/relationships/hyperlink" Target="https://doi.org/10.1063/1.4944081" TargetMode="External"/><Relationship Id="rId177" Type="http://schemas.openxmlformats.org/officeDocument/2006/relationships/hyperlink" Target="https://doi.org/10.1016/j.biortech.2016.10.080" TargetMode="External"/><Relationship Id="rId198" Type="http://schemas.openxmlformats.org/officeDocument/2006/relationships/hyperlink" Target="https://doi.org/10.1016/j.geotexmem.2022.06.006" TargetMode="External"/><Relationship Id="rId197" Type="http://schemas.openxmlformats.org/officeDocument/2006/relationships/hyperlink" Target="https://doi.org/10.1016/j.cjph.2017.04.008" TargetMode="External"/><Relationship Id="rId196" Type="http://schemas.openxmlformats.org/officeDocument/2006/relationships/hyperlink" Target="https://doi.org/10.1002/adma.202200172" TargetMode="External"/><Relationship Id="rId195" Type="http://schemas.openxmlformats.org/officeDocument/2006/relationships/hyperlink" Target="https://doi.org/10.1016/j.margeo.2016.03.013" TargetMode="External"/><Relationship Id="rId199" Type="http://schemas.openxmlformats.org/officeDocument/2006/relationships/hyperlink" Target="https://doi.org/10.1016/j.compstruct.2020.112824" TargetMode="External"/><Relationship Id="rId150" Type="http://schemas.openxmlformats.org/officeDocument/2006/relationships/hyperlink" Target="https://doi.org/10.1021/jacs.7b10639" TargetMode="External"/><Relationship Id="rId1" Type="http://schemas.openxmlformats.org/officeDocument/2006/relationships/hyperlink" Target="https://doi.org/10.1155/2021/9990439" TargetMode="External"/><Relationship Id="rId2" Type="http://schemas.openxmlformats.org/officeDocument/2006/relationships/hyperlink" Target="https://doi.org/10.3390/catal10070775" TargetMode="External"/><Relationship Id="rId3" Type="http://schemas.openxmlformats.org/officeDocument/2006/relationships/hyperlink" Target="https://doi.org/10.1021/ol502506g" TargetMode="External"/><Relationship Id="rId149" Type="http://schemas.openxmlformats.org/officeDocument/2006/relationships/hyperlink" Target="https://doi.org/10.1002/cncr.30642" TargetMode="External"/><Relationship Id="rId4" Type="http://schemas.openxmlformats.org/officeDocument/2006/relationships/hyperlink" Target="https://doi.org/10.1002/path.4418" TargetMode="External"/><Relationship Id="rId148" Type="http://schemas.openxmlformats.org/officeDocument/2006/relationships/hyperlink" Target="https://doi.org/10.1095/biolreprod.113.116814" TargetMode="External"/><Relationship Id="rId9" Type="http://schemas.openxmlformats.org/officeDocument/2006/relationships/hyperlink" Target="https://doi.org/10.1007/s11249-018-1127-6" TargetMode="External"/><Relationship Id="rId143" Type="http://schemas.openxmlformats.org/officeDocument/2006/relationships/hyperlink" Target="https://doi.org/10.1016/j.jallcom.2015.10.259" TargetMode="External"/><Relationship Id="rId142" Type="http://schemas.openxmlformats.org/officeDocument/2006/relationships/hyperlink" Target="https://doi.org/10.1080/14783363.2017.1309128" TargetMode="External"/><Relationship Id="rId141" Type="http://schemas.openxmlformats.org/officeDocument/2006/relationships/hyperlink" Target="https://doi.org/10.1016/j.snb.2017.09.082" TargetMode="External"/><Relationship Id="rId140" Type="http://schemas.openxmlformats.org/officeDocument/2006/relationships/hyperlink" Target="https://doi.org/10.1039/d0nr09068a" TargetMode="External"/><Relationship Id="rId5" Type="http://schemas.openxmlformats.org/officeDocument/2006/relationships/hyperlink" Target="https://doi.org/10.1016/j.compstruct.2018.04.001" TargetMode="External"/><Relationship Id="rId147" Type="http://schemas.openxmlformats.org/officeDocument/2006/relationships/hyperlink" Target="https://doi.org/10.1007/s10577-019-09619-9" TargetMode="External"/><Relationship Id="rId6" Type="http://schemas.openxmlformats.org/officeDocument/2006/relationships/hyperlink" Target="https://doi.org/10.1016/j.scitotenv.2022.157369" TargetMode="External"/><Relationship Id="rId146" Type="http://schemas.openxmlformats.org/officeDocument/2006/relationships/hyperlink" Target="https://doi.org/10.1021/acscatal.5b02586" TargetMode="External"/><Relationship Id="rId7" Type="http://schemas.openxmlformats.org/officeDocument/2006/relationships/hyperlink" Target="https://doi.org/10.3390/s21031011" TargetMode="External"/><Relationship Id="rId145" Type="http://schemas.openxmlformats.org/officeDocument/2006/relationships/hyperlink" Target="https://doi.org/10.1016/j.foodchem.2015.02.049" TargetMode="External"/><Relationship Id="rId8" Type="http://schemas.openxmlformats.org/officeDocument/2006/relationships/hyperlink" Target="https://doi.org/10.1016/j.ijleo.2016.03.064" TargetMode="External"/><Relationship Id="rId144" Type="http://schemas.openxmlformats.org/officeDocument/2006/relationships/hyperlink" Target="https://doi.org/10.1007/s11102-019-00959-7" TargetMode="External"/><Relationship Id="rId139" Type="http://schemas.openxmlformats.org/officeDocument/2006/relationships/hyperlink" Target="https://doi.org/10.1111/brv.12098" TargetMode="External"/><Relationship Id="rId138" Type="http://schemas.openxmlformats.org/officeDocument/2006/relationships/hyperlink" Target="https://doi.org/10.1016/j.bbr.2018.06.014" TargetMode="External"/><Relationship Id="rId137" Type="http://schemas.openxmlformats.org/officeDocument/2006/relationships/hyperlink" Target="https://doi.org/10.1016/j.palaeo.2020.109694" TargetMode="External"/><Relationship Id="rId132" Type="http://schemas.openxmlformats.org/officeDocument/2006/relationships/hyperlink" Target="https://doi.org/10.1007/s00220-017-2934-6" TargetMode="External"/><Relationship Id="rId131" Type="http://schemas.openxmlformats.org/officeDocument/2006/relationships/hyperlink" Target="https://doi.org/10.1016/j.yofte.2016.07.008" TargetMode="External"/><Relationship Id="rId130" Type="http://schemas.openxmlformats.org/officeDocument/2006/relationships/hyperlink" Target="https://doi.org/10.1016/j.jenvman.2020.110140" TargetMode="External"/><Relationship Id="rId136" Type="http://schemas.openxmlformats.org/officeDocument/2006/relationships/hyperlink" Target="https://doi.org/10.1155/2014/143415" TargetMode="External"/><Relationship Id="rId135" Type="http://schemas.openxmlformats.org/officeDocument/2006/relationships/hyperlink" Target="https://doi.org/10.1016/j.apsusc.2019.144048" TargetMode="External"/><Relationship Id="rId134" Type="http://schemas.openxmlformats.org/officeDocument/2006/relationships/hyperlink" Target="https://doi.org/10.1063/1.4923165" TargetMode="External"/><Relationship Id="rId133" Type="http://schemas.openxmlformats.org/officeDocument/2006/relationships/hyperlink" Target="https://doi.org/10.5194/acp-18-8491-2018" TargetMode="External"/><Relationship Id="rId172" Type="http://schemas.openxmlformats.org/officeDocument/2006/relationships/hyperlink" Target="https://doi.org/10.2174/1381612825666190312110836" TargetMode="External"/><Relationship Id="rId171" Type="http://schemas.openxmlformats.org/officeDocument/2006/relationships/hyperlink" Target="https://doi.org/10.3389/fnins.2019.00546" TargetMode="External"/><Relationship Id="rId170" Type="http://schemas.openxmlformats.org/officeDocument/2006/relationships/hyperlink" Target="https://doi.org/10.1016/j.ijggc.2016.12.013" TargetMode="External"/><Relationship Id="rId165" Type="http://schemas.openxmlformats.org/officeDocument/2006/relationships/hyperlink" Target="https://doi.org/10.1016/j.scitotenv.2019.134704" TargetMode="External"/><Relationship Id="rId164" Type="http://schemas.openxmlformats.org/officeDocument/2006/relationships/hyperlink" Target="https://doi.org/10.1007/s00277-019-03888-4" TargetMode="External"/><Relationship Id="rId163" Type="http://schemas.openxmlformats.org/officeDocument/2006/relationships/hyperlink" Target="https://doi.org/10.1021/acsbiomaterials.5b00483" TargetMode="External"/><Relationship Id="rId162" Type="http://schemas.openxmlformats.org/officeDocument/2006/relationships/hyperlink" Target="https://doi.org/10.1007/s10107-020-01540-y" TargetMode="External"/><Relationship Id="rId169" Type="http://schemas.openxmlformats.org/officeDocument/2006/relationships/hyperlink" Target="https://doi.org/10.1016/j.precamres.2022.106720" TargetMode="External"/><Relationship Id="rId168" Type="http://schemas.openxmlformats.org/officeDocument/2006/relationships/hyperlink" Target="https://doi.org/10.1016/j.ijheatmasstransfer.2019.03.002" TargetMode="External"/><Relationship Id="rId167" Type="http://schemas.openxmlformats.org/officeDocument/2006/relationships/hyperlink" Target="https://doi.org/10.1093/cvr/cvac171" TargetMode="External"/><Relationship Id="rId166" Type="http://schemas.openxmlformats.org/officeDocument/2006/relationships/hyperlink" Target="https://doi.org/10.1002/pmic.201400171" TargetMode="External"/><Relationship Id="rId161" Type="http://schemas.openxmlformats.org/officeDocument/2006/relationships/hyperlink" Target="https://doi.org/10.1016/j.jesp.2019.103916" TargetMode="External"/><Relationship Id="rId160" Type="http://schemas.openxmlformats.org/officeDocument/2006/relationships/hyperlink" Target="https://doi.org/10.1016/j.rbmo.2018.10.011" TargetMode="External"/><Relationship Id="rId159" Type="http://schemas.openxmlformats.org/officeDocument/2006/relationships/hyperlink" Target="https://doi.org/10.1002/adts.202000022" TargetMode="External"/><Relationship Id="rId154" Type="http://schemas.openxmlformats.org/officeDocument/2006/relationships/hyperlink" Target="https://doi.org/10.1016/j.phymed.2016.10.015" TargetMode="External"/><Relationship Id="rId153" Type="http://schemas.openxmlformats.org/officeDocument/2006/relationships/hyperlink" Target="https://doi.org/10.1039/c7qm00209b" TargetMode="External"/><Relationship Id="rId152" Type="http://schemas.openxmlformats.org/officeDocument/2006/relationships/hyperlink" Target="https://doi.org/10.1038/s41565-021-00848-w" TargetMode="External"/><Relationship Id="rId151" Type="http://schemas.openxmlformats.org/officeDocument/2006/relationships/hyperlink" Target="https://doi.org/10.1007/s11266-017-9882-9" TargetMode="External"/><Relationship Id="rId158" Type="http://schemas.openxmlformats.org/officeDocument/2006/relationships/hyperlink" Target="https://doi.org/10.1371/journal.pone.0229600" TargetMode="External"/><Relationship Id="rId157" Type="http://schemas.openxmlformats.org/officeDocument/2006/relationships/hyperlink" Target="https://doi.org/10.1177/13623613211035936" TargetMode="External"/><Relationship Id="rId156" Type="http://schemas.openxmlformats.org/officeDocument/2006/relationships/hyperlink" Target="https://doi.org/10.1016/j.advwatres.2020.103693" TargetMode="External"/><Relationship Id="rId155" Type="http://schemas.openxmlformats.org/officeDocument/2006/relationships/hyperlink" Target="https://doi.org/10.1186/s13578-016-0080-z" TargetMode="External"/><Relationship Id="rId40" Type="http://schemas.openxmlformats.org/officeDocument/2006/relationships/hyperlink" Target="https://doi.org/10.1016/j.tetlet.2019.03.043" TargetMode="External"/><Relationship Id="rId42" Type="http://schemas.openxmlformats.org/officeDocument/2006/relationships/hyperlink" Target="https://doi.org/10.1016/j.plantsci.2019.02.014" TargetMode="External"/><Relationship Id="rId41" Type="http://schemas.openxmlformats.org/officeDocument/2006/relationships/hyperlink" Target="https://doi.org/10.1007/s11295-018-1235-3" TargetMode="External"/><Relationship Id="rId44" Type="http://schemas.openxmlformats.org/officeDocument/2006/relationships/hyperlink" Target="https://doi.org/10.1149/2.1281712jes" TargetMode="External"/><Relationship Id="rId43" Type="http://schemas.openxmlformats.org/officeDocument/2006/relationships/hyperlink" Target="https://doi.org/10.1016/j.jadohealth.2020.08.021" TargetMode="External"/><Relationship Id="rId46" Type="http://schemas.openxmlformats.org/officeDocument/2006/relationships/hyperlink" Target="https://doi.org/10.3390/s18124299" TargetMode="External"/><Relationship Id="rId45" Type="http://schemas.openxmlformats.org/officeDocument/2006/relationships/hyperlink" Target="https://doi.org/10.15252/embj.201796977" TargetMode="External"/><Relationship Id="rId48" Type="http://schemas.openxmlformats.org/officeDocument/2006/relationships/hyperlink" Target="https://doi.org/10.1021/acsami.7b09981" TargetMode="External"/><Relationship Id="rId47" Type="http://schemas.openxmlformats.org/officeDocument/2006/relationships/hyperlink" Target="https://doi.org/10.1016/j.foodchem.2021.131412" TargetMode="External"/><Relationship Id="rId49" Type="http://schemas.openxmlformats.org/officeDocument/2006/relationships/hyperlink" Target="https://doi.org/10.1016/j.engfracmech.2021.107768" TargetMode="External"/><Relationship Id="rId31" Type="http://schemas.openxmlformats.org/officeDocument/2006/relationships/hyperlink" Target="https://doi.org/10.1021/acs.est.2c00309" TargetMode="External"/><Relationship Id="rId30" Type="http://schemas.openxmlformats.org/officeDocument/2006/relationships/hyperlink" Target="https://doi.org/10.1016/j.patcog.2014.12.006" TargetMode="External"/><Relationship Id="rId33" Type="http://schemas.openxmlformats.org/officeDocument/2006/relationships/hyperlink" Target="https://doi.org/10.1039/d1sc03774a" TargetMode="External"/><Relationship Id="rId32" Type="http://schemas.openxmlformats.org/officeDocument/2006/relationships/hyperlink" Target="https://doi.org/10.1155/2020/3484568" TargetMode="External"/><Relationship Id="rId35" Type="http://schemas.openxmlformats.org/officeDocument/2006/relationships/hyperlink" Target="https://doi.org/10.1016/j.jcp.2015.12.006" TargetMode="External"/><Relationship Id="rId34" Type="http://schemas.openxmlformats.org/officeDocument/2006/relationships/hyperlink" Target="https://doi.org/10.3389/fchem.2016.00049" TargetMode="External"/><Relationship Id="rId37" Type="http://schemas.openxmlformats.org/officeDocument/2006/relationships/hyperlink" Target="https://doi.org/10.1016/j.laa.2017.06.045" TargetMode="External"/><Relationship Id="rId36" Type="http://schemas.openxmlformats.org/officeDocument/2006/relationships/hyperlink" Target="https://doi.org/10.1002/esp.4964" TargetMode="External"/><Relationship Id="rId39" Type="http://schemas.openxmlformats.org/officeDocument/2006/relationships/hyperlink" Target="https://doi.org/10.1145/3449639.3459326" TargetMode="External"/><Relationship Id="rId38" Type="http://schemas.openxmlformats.org/officeDocument/2006/relationships/hyperlink" Target="https://doi.org/10.1002/ejoc.202200165" TargetMode="External"/><Relationship Id="rId20" Type="http://schemas.openxmlformats.org/officeDocument/2006/relationships/hyperlink" Target="https://doi.org/10.1016/j.matdes.2017.07.062" TargetMode="External"/><Relationship Id="rId22" Type="http://schemas.openxmlformats.org/officeDocument/2006/relationships/hyperlink" Target="https://doi.org/10.1016/j.biortech.2017.04.009" TargetMode="External"/><Relationship Id="rId21" Type="http://schemas.openxmlformats.org/officeDocument/2006/relationships/hyperlink" Target="https://doi.org/10.1016/j.resmic.2016.10.008" TargetMode="External"/><Relationship Id="rId24" Type="http://schemas.openxmlformats.org/officeDocument/2006/relationships/hyperlink" Target="https://doi.org/10.1016/j.jnucmat.2015.12.023" TargetMode="External"/><Relationship Id="rId23" Type="http://schemas.openxmlformats.org/officeDocument/2006/relationships/hyperlink" Target="https://doi.org/10.1016/j.ijbiomac.2019.01.048" TargetMode="External"/><Relationship Id="rId26" Type="http://schemas.openxmlformats.org/officeDocument/2006/relationships/hyperlink" Target="https://doi.org/10.1021/ja3010896" TargetMode="External"/><Relationship Id="rId25" Type="http://schemas.openxmlformats.org/officeDocument/2006/relationships/hyperlink" Target="https://doi.org/10.1016/j.polymdegradstab.2014.02.016" TargetMode="External"/><Relationship Id="rId28" Type="http://schemas.openxmlformats.org/officeDocument/2006/relationships/hyperlink" Target="https://doi.org/10.1016/j.combustflame.2014.09.022" TargetMode="External"/><Relationship Id="rId27" Type="http://schemas.openxmlformats.org/officeDocument/2006/relationships/hyperlink" Target="https://doi.org/10.1021/acs.orglett.2c00519" TargetMode="External"/><Relationship Id="rId29" Type="http://schemas.openxmlformats.org/officeDocument/2006/relationships/hyperlink" Target="https://doi.org/10.1021/acs.jproteome.1c00331" TargetMode="External"/><Relationship Id="rId11" Type="http://schemas.openxmlformats.org/officeDocument/2006/relationships/hyperlink" Target="https://doi.org/10.1093/gerona/glab323" TargetMode="External"/><Relationship Id="rId10" Type="http://schemas.openxmlformats.org/officeDocument/2006/relationships/hyperlink" Target="https://doi.org/10.1007/s10459-022-10171-1" TargetMode="External"/><Relationship Id="rId13" Type="http://schemas.openxmlformats.org/officeDocument/2006/relationships/hyperlink" Target="https://doi.org/10.3389/fenrg.2021.752592" TargetMode="External"/><Relationship Id="rId12" Type="http://schemas.openxmlformats.org/officeDocument/2006/relationships/hyperlink" Target="https://doi.org/10.1016/j.shaw.2020.05.003" TargetMode="External"/><Relationship Id="rId15" Type="http://schemas.openxmlformats.org/officeDocument/2006/relationships/hyperlink" Target="https://doi.org/10.1007/s10530-020-02427-x" TargetMode="External"/><Relationship Id="rId14" Type="http://schemas.openxmlformats.org/officeDocument/2006/relationships/hyperlink" Target="https://doi.org/10.1155/2013/812120" TargetMode="External"/><Relationship Id="rId17" Type="http://schemas.openxmlformats.org/officeDocument/2006/relationships/hyperlink" Target="https://doi.org/10.1039/d2qo00057a" TargetMode="External"/><Relationship Id="rId16" Type="http://schemas.openxmlformats.org/officeDocument/2006/relationships/hyperlink" Target="https://doi.org/10.3390/math9121345" TargetMode="External"/><Relationship Id="rId19" Type="http://schemas.openxmlformats.org/officeDocument/2006/relationships/hyperlink" Target="https://doi.org/10.3390/antibiotics10111294" TargetMode="External"/><Relationship Id="rId18" Type="http://schemas.openxmlformats.org/officeDocument/2006/relationships/hyperlink" Target="https://doi.org/10.1016/j.jinf.2013.07.029" TargetMode="External"/><Relationship Id="rId84" Type="http://schemas.openxmlformats.org/officeDocument/2006/relationships/hyperlink" Target="https://doi.org/10.1007/s10236-018-1170-8" TargetMode="External"/><Relationship Id="rId83" Type="http://schemas.openxmlformats.org/officeDocument/2006/relationships/hyperlink" Target="https://doi.org/10.1016/j.atherosclerosis.2018.08.031" TargetMode="External"/><Relationship Id="rId86" Type="http://schemas.openxmlformats.org/officeDocument/2006/relationships/hyperlink" Target="https://doi.org/10.1186/s12874-020-0899-1" TargetMode="External"/><Relationship Id="rId85" Type="http://schemas.openxmlformats.org/officeDocument/2006/relationships/hyperlink" Target="https://doi.org/10.1016/j.amjsurg.2017.03.024" TargetMode="External"/><Relationship Id="rId88" Type="http://schemas.openxmlformats.org/officeDocument/2006/relationships/hyperlink" Target="https://doi.org/10.1002/qj.2603" TargetMode="External"/><Relationship Id="rId87" Type="http://schemas.openxmlformats.org/officeDocument/2006/relationships/hyperlink" Target="https://doi.org/10.1016/j.jhazmat.2010.11.101" TargetMode="External"/><Relationship Id="rId89" Type="http://schemas.openxmlformats.org/officeDocument/2006/relationships/hyperlink" Target="https://doi.org/10.1016/j.foreco.2017.06.063" TargetMode="External"/><Relationship Id="rId80" Type="http://schemas.openxmlformats.org/officeDocument/2006/relationships/hyperlink" Target="https://doi.org/10.1002/for.2354" TargetMode="External"/><Relationship Id="rId82" Type="http://schemas.openxmlformats.org/officeDocument/2006/relationships/hyperlink" Target="https://doi.org/10.3390/su11215919" TargetMode="External"/><Relationship Id="rId81" Type="http://schemas.openxmlformats.org/officeDocument/2006/relationships/hyperlink" Target="https://doi.org/10.1016/j.jclepro.2020.123367" TargetMode="External"/><Relationship Id="rId73" Type="http://schemas.openxmlformats.org/officeDocument/2006/relationships/hyperlink" Target="https://doi.org/10.1080/17455030.2021.1879406" TargetMode="External"/><Relationship Id="rId72" Type="http://schemas.openxmlformats.org/officeDocument/2006/relationships/hyperlink" Target="https://doi.org/10.1016/j.biortech.2015.03.127" TargetMode="External"/><Relationship Id="rId75" Type="http://schemas.openxmlformats.org/officeDocument/2006/relationships/hyperlink" Target="https://doi.org/10.1016/j.kjms.2011.05.008" TargetMode="External"/><Relationship Id="rId74" Type="http://schemas.openxmlformats.org/officeDocument/2006/relationships/hyperlink" Target="https://doi.org/10.1080/00029157.2017.1335635" TargetMode="External"/><Relationship Id="rId77" Type="http://schemas.openxmlformats.org/officeDocument/2006/relationships/hyperlink" Target="https://doi.org/10.1007/s42114-018-0059-9" TargetMode="External"/><Relationship Id="rId76" Type="http://schemas.openxmlformats.org/officeDocument/2006/relationships/hyperlink" Target="https://doi.org/10.1007/s00268-016-3477-2" TargetMode="External"/><Relationship Id="rId79" Type="http://schemas.openxmlformats.org/officeDocument/2006/relationships/hyperlink" Target="https://doi.org/10.1016/j.msea.2020.139586" TargetMode="External"/><Relationship Id="rId78" Type="http://schemas.openxmlformats.org/officeDocument/2006/relationships/hyperlink" Target="https://doi.org/10.1016/j.jssc.2016.03.010" TargetMode="External"/><Relationship Id="rId71" Type="http://schemas.openxmlformats.org/officeDocument/2006/relationships/hyperlink" Target="https://doi.org/10.1007/s00213-019-05341-w" TargetMode="External"/><Relationship Id="rId70" Type="http://schemas.openxmlformats.org/officeDocument/2006/relationships/hyperlink" Target="https://doi.org/10.1016/j.foreco.2022.120142" TargetMode="External"/><Relationship Id="rId62" Type="http://schemas.openxmlformats.org/officeDocument/2006/relationships/hyperlink" Target="https://doi.org/10.1002/mc.22871" TargetMode="External"/><Relationship Id="rId61" Type="http://schemas.openxmlformats.org/officeDocument/2006/relationships/hyperlink" Target="https://doi.org/10.1016/j.sigpro.2019.107434" TargetMode="External"/><Relationship Id="rId64" Type="http://schemas.openxmlformats.org/officeDocument/2006/relationships/hyperlink" Target="https://doi.org/10.1093/bib/bbaa006" TargetMode="External"/><Relationship Id="rId63" Type="http://schemas.openxmlformats.org/officeDocument/2006/relationships/hyperlink" Target="https://doi.org/10.1016/j.ssi.2016.11.012" TargetMode="External"/><Relationship Id="rId66" Type="http://schemas.openxmlformats.org/officeDocument/2006/relationships/hyperlink" Target="https://doi.org/10.1039/c7ee00777a" TargetMode="External"/><Relationship Id="rId65" Type="http://schemas.openxmlformats.org/officeDocument/2006/relationships/hyperlink" Target="https://doi.org/10.1155/2015/321781" TargetMode="External"/><Relationship Id="rId68" Type="http://schemas.openxmlformats.org/officeDocument/2006/relationships/hyperlink" Target="https://doi.org/10.1016/j.carbon.2021.03.006" TargetMode="External"/><Relationship Id="rId67" Type="http://schemas.openxmlformats.org/officeDocument/2006/relationships/hyperlink" Target="https://doi.org/10.1083/jcb.201603081" TargetMode="External"/><Relationship Id="rId60" Type="http://schemas.openxmlformats.org/officeDocument/2006/relationships/hyperlink" Target="https://doi.org/10.1007/s10922-015-9361-9" TargetMode="External"/><Relationship Id="rId69" Type="http://schemas.openxmlformats.org/officeDocument/2006/relationships/hyperlink" Target="https://doi.org/10.1016/j.jbiomech.2020.109856" TargetMode="External"/><Relationship Id="rId51" Type="http://schemas.openxmlformats.org/officeDocument/2006/relationships/hyperlink" Target="https://doi.org/10.1155/2022/6509981" TargetMode="External"/><Relationship Id="rId50" Type="http://schemas.openxmlformats.org/officeDocument/2006/relationships/hyperlink" Target="https://doi.org/10.1021/acsami.9b13839" TargetMode="External"/><Relationship Id="rId53" Type="http://schemas.openxmlformats.org/officeDocument/2006/relationships/hyperlink" Target="https://doi.org/10.1021/acs.inorgchem.9b02611" TargetMode="External"/><Relationship Id="rId52" Type="http://schemas.openxmlformats.org/officeDocument/2006/relationships/hyperlink" Target="https://doi.org/10.1016/j.physletb.2018.05.076" TargetMode="External"/><Relationship Id="rId55" Type="http://schemas.openxmlformats.org/officeDocument/2006/relationships/hyperlink" Target="https://doi.org/10.1126/sciadv.aaq0919" TargetMode="External"/><Relationship Id="rId54" Type="http://schemas.openxmlformats.org/officeDocument/2006/relationships/hyperlink" Target="https://doi.org/10.1021/cm502939r" TargetMode="External"/><Relationship Id="rId57" Type="http://schemas.openxmlformats.org/officeDocument/2006/relationships/hyperlink" Target="https://doi.org/10.1016/j.talanta.2019.120541" TargetMode="External"/><Relationship Id="rId56" Type="http://schemas.openxmlformats.org/officeDocument/2006/relationships/hyperlink" Target="https://doi.org/10.1155/2016/4079210" TargetMode="External"/><Relationship Id="rId59" Type="http://schemas.openxmlformats.org/officeDocument/2006/relationships/hyperlink" Target="https://doi.org/10.1242/dev.175778" TargetMode="External"/><Relationship Id="rId58" Type="http://schemas.openxmlformats.org/officeDocument/2006/relationships/hyperlink" Target="https://doi.org/10.1021/ja510695g" TargetMode="External"/><Relationship Id="rId107" Type="http://schemas.openxmlformats.org/officeDocument/2006/relationships/hyperlink" Target="https://doi.org/10.1016/j.aquaculture.2018.10.031" TargetMode="External"/><Relationship Id="rId106" Type="http://schemas.openxmlformats.org/officeDocument/2006/relationships/hyperlink" Target="https://doi.org/10.1155/2020/8899299" TargetMode="External"/><Relationship Id="rId105" Type="http://schemas.openxmlformats.org/officeDocument/2006/relationships/hyperlink" Target="https://doi.org/10.1039/d0fo02122a" TargetMode="External"/><Relationship Id="rId347" Type="http://schemas.openxmlformats.org/officeDocument/2006/relationships/drawing" Target="../drawings/drawing2.xml"/><Relationship Id="rId104" Type="http://schemas.openxmlformats.org/officeDocument/2006/relationships/hyperlink" Target="https://doi.org/10.1016/j.jasrep.2016.12.029" TargetMode="External"/><Relationship Id="rId346" Type="http://schemas.openxmlformats.org/officeDocument/2006/relationships/hyperlink" Target="https://doi.org/10.3390/coatings11091134" TargetMode="External"/><Relationship Id="rId109" Type="http://schemas.openxmlformats.org/officeDocument/2006/relationships/hyperlink" Target="https://doi.org/10.1021/acs.jpca.5b12374" TargetMode="External"/><Relationship Id="rId108" Type="http://schemas.openxmlformats.org/officeDocument/2006/relationships/hyperlink" Target="https://doi.org/10.1037/a0020473" TargetMode="External"/><Relationship Id="rId341" Type="http://schemas.openxmlformats.org/officeDocument/2006/relationships/hyperlink" Target="https://doi.org/10.1371/journal.pone.0238080" TargetMode="External"/><Relationship Id="rId340" Type="http://schemas.openxmlformats.org/officeDocument/2006/relationships/hyperlink" Target="https://doi.org/10.1016/j.matlet.2021.129592" TargetMode="External"/><Relationship Id="rId103" Type="http://schemas.openxmlformats.org/officeDocument/2006/relationships/hyperlink" Target="https://doi.org/10.3390/bdcc5040054" TargetMode="External"/><Relationship Id="rId345" Type="http://schemas.openxmlformats.org/officeDocument/2006/relationships/hyperlink" Target="https://doi.org/10.1016/j.physleta.2021.127520" TargetMode="External"/><Relationship Id="rId102" Type="http://schemas.openxmlformats.org/officeDocument/2006/relationships/hyperlink" Target="https://doi.org/10.1111/bcpt.13683" TargetMode="External"/><Relationship Id="rId344" Type="http://schemas.openxmlformats.org/officeDocument/2006/relationships/hyperlink" Target="https://doi.org/10.1002/mop.29109" TargetMode="External"/><Relationship Id="rId101" Type="http://schemas.openxmlformats.org/officeDocument/2006/relationships/hyperlink" Target="https://doi.org/10.1098/rspa.2018.0898" TargetMode="External"/><Relationship Id="rId343" Type="http://schemas.openxmlformats.org/officeDocument/2006/relationships/hyperlink" Target="https://doi.org/10.1016/j.oregeorev.2020.103943" TargetMode="External"/><Relationship Id="rId100" Type="http://schemas.openxmlformats.org/officeDocument/2006/relationships/hyperlink" Target="https://doi.org/10.1021/acs.joc.8b02984" TargetMode="External"/><Relationship Id="rId342" Type="http://schemas.openxmlformats.org/officeDocument/2006/relationships/hyperlink" Target="https://doi.org/10.3390/ijms21020397" TargetMode="External"/><Relationship Id="rId338" Type="http://schemas.openxmlformats.org/officeDocument/2006/relationships/hyperlink" Target="https://doi.org/10.1186/s12909-021-02737-1" TargetMode="External"/><Relationship Id="rId337" Type="http://schemas.openxmlformats.org/officeDocument/2006/relationships/hyperlink" Target="https://doi.org/10.1177/09544089211004724" TargetMode="External"/><Relationship Id="rId336" Type="http://schemas.openxmlformats.org/officeDocument/2006/relationships/hyperlink" Target="https://doi.org/10.1007/s11011-022-00953-2" TargetMode="External"/><Relationship Id="rId335" Type="http://schemas.openxmlformats.org/officeDocument/2006/relationships/hyperlink" Target="https://doi.org/10.1039/c5ob01885d" TargetMode="External"/><Relationship Id="rId339" Type="http://schemas.openxmlformats.org/officeDocument/2006/relationships/hyperlink" Target="https://doi.org/10.1088/1367-2630/aae172" TargetMode="External"/><Relationship Id="rId330" Type="http://schemas.openxmlformats.org/officeDocument/2006/relationships/hyperlink" Target="https://doi.org/10.5115/acb.2015.48.4.235" TargetMode="External"/><Relationship Id="rId334" Type="http://schemas.openxmlformats.org/officeDocument/2006/relationships/hyperlink" Target="https://doi.org/10.1007/s11760-017-1090-y" TargetMode="External"/><Relationship Id="rId333" Type="http://schemas.openxmlformats.org/officeDocument/2006/relationships/hyperlink" Target="https://doi.org/10.1111/jbi.12194" TargetMode="External"/><Relationship Id="rId332" Type="http://schemas.openxmlformats.org/officeDocument/2006/relationships/hyperlink" Target="https://doi.org/10.1111/iju.13702" TargetMode="External"/><Relationship Id="rId331" Type="http://schemas.openxmlformats.org/officeDocument/2006/relationships/hyperlink" Target="https://doi.org/10.1002/lpor.202100423" TargetMode="External"/><Relationship Id="rId129" Type="http://schemas.openxmlformats.org/officeDocument/2006/relationships/hyperlink" Target="https://doi.org/10.1088/1361-6560/abbdb7" TargetMode="External"/><Relationship Id="rId128" Type="http://schemas.openxmlformats.org/officeDocument/2006/relationships/hyperlink" Target="https://doi.org/10.1016/j.apor.2021.102836" TargetMode="External"/><Relationship Id="rId127" Type="http://schemas.openxmlformats.org/officeDocument/2006/relationships/hyperlink" Target="https://doi.org/10.1039/d1ay02077c" TargetMode="External"/><Relationship Id="rId126" Type="http://schemas.openxmlformats.org/officeDocument/2006/relationships/hyperlink" Target="https://doi.org/10.1038/s41598-021-82613-6" TargetMode="External"/><Relationship Id="rId121" Type="http://schemas.openxmlformats.org/officeDocument/2006/relationships/hyperlink" Target="https://doi.org/10.1016/j.ress.2021.108172" TargetMode="External"/><Relationship Id="rId120" Type="http://schemas.openxmlformats.org/officeDocument/2006/relationships/hyperlink" Target="https://doi.org/10.1063/1.5045829" TargetMode="External"/><Relationship Id="rId125" Type="http://schemas.openxmlformats.org/officeDocument/2006/relationships/hyperlink" Target="https://doi.org/10.1088/1361-6579/aac033" TargetMode="External"/><Relationship Id="rId124" Type="http://schemas.openxmlformats.org/officeDocument/2006/relationships/hyperlink" Target="https://doi.org/10.1016/j.colsurfb.2017.01.045" TargetMode="External"/><Relationship Id="rId123" Type="http://schemas.openxmlformats.org/officeDocument/2006/relationships/hyperlink" Target="https://doi.org/10.1016/j.celrep.2018.02.100" TargetMode="External"/><Relationship Id="rId122" Type="http://schemas.openxmlformats.org/officeDocument/2006/relationships/hyperlink" Target="https://doi.org/10.1155/2022/5806160" TargetMode="External"/><Relationship Id="rId95" Type="http://schemas.openxmlformats.org/officeDocument/2006/relationships/hyperlink" Target="https://doi.org/10.1016/j.compfluid.2017.02.009" TargetMode="External"/><Relationship Id="rId94" Type="http://schemas.openxmlformats.org/officeDocument/2006/relationships/hyperlink" Target="https://doi.org/10.1049/pel2.12075" TargetMode="External"/><Relationship Id="rId97" Type="http://schemas.openxmlformats.org/officeDocument/2006/relationships/hyperlink" Target="https://doi.org/10.1098/rspa.2017.0844" TargetMode="External"/><Relationship Id="rId96" Type="http://schemas.openxmlformats.org/officeDocument/2006/relationships/hyperlink" Target="https://doi.org/10.1177/1550147719888167" TargetMode="External"/><Relationship Id="rId99" Type="http://schemas.openxmlformats.org/officeDocument/2006/relationships/hyperlink" Target="https://doi.org/10.1093/biostatistics/kxac032" TargetMode="External"/><Relationship Id="rId98" Type="http://schemas.openxmlformats.org/officeDocument/2006/relationships/hyperlink" Target="https://doi.org/10.1016/j.geomorph.2018.11.010" TargetMode="External"/><Relationship Id="rId91" Type="http://schemas.openxmlformats.org/officeDocument/2006/relationships/hyperlink" Target="https://doi.org/10.1136/bmjopen-2016-013342" TargetMode="External"/><Relationship Id="rId90" Type="http://schemas.openxmlformats.org/officeDocument/2006/relationships/hyperlink" Target="https://doi.org/10.1016/j.hydromet.2015.05.013" TargetMode="External"/><Relationship Id="rId93" Type="http://schemas.openxmlformats.org/officeDocument/2006/relationships/hyperlink" Target="https://doi.org/10.1016/j.fsi.2019.09.022" TargetMode="External"/><Relationship Id="rId92" Type="http://schemas.openxmlformats.org/officeDocument/2006/relationships/hyperlink" Target="https://doi.org/10.1155/2018/8036540" TargetMode="External"/><Relationship Id="rId118" Type="http://schemas.openxmlformats.org/officeDocument/2006/relationships/hyperlink" Target="https://doi.org/10.1080/13691457.2021.2016650" TargetMode="External"/><Relationship Id="rId117" Type="http://schemas.openxmlformats.org/officeDocument/2006/relationships/hyperlink" Target="https://doi.org/10.3389/fmolb.2016.00023" TargetMode="External"/><Relationship Id="rId116" Type="http://schemas.openxmlformats.org/officeDocument/2006/relationships/hyperlink" Target="https://doi.org/10.3390/molecules201017929" TargetMode="External"/><Relationship Id="rId115" Type="http://schemas.openxmlformats.org/officeDocument/2006/relationships/hyperlink" Target="https://doi.org/10.1016/j.ijrefrig.2014.12.001" TargetMode="External"/><Relationship Id="rId119" Type="http://schemas.openxmlformats.org/officeDocument/2006/relationships/hyperlink" Target="https://doi.org/10.1186/s13018-018-0810-5" TargetMode="External"/><Relationship Id="rId110" Type="http://schemas.openxmlformats.org/officeDocument/2006/relationships/hyperlink" Target="https://doi.org/10.1016/j.trd.2014.08.021" TargetMode="External"/><Relationship Id="rId114" Type="http://schemas.openxmlformats.org/officeDocument/2006/relationships/hyperlink" Target="https://doi.org/10.1016/j.ast.2020.106343" TargetMode="External"/><Relationship Id="rId113" Type="http://schemas.openxmlformats.org/officeDocument/2006/relationships/hyperlink" Target="https://doi.org/10.1145/3527241" TargetMode="External"/><Relationship Id="rId112" Type="http://schemas.openxmlformats.org/officeDocument/2006/relationships/hyperlink" Target="https://doi.org/10.1016/j.biomaterials.2015.02.101" TargetMode="External"/><Relationship Id="rId111" Type="http://schemas.openxmlformats.org/officeDocument/2006/relationships/hyperlink" Target="https://doi.org/10.1039/c6cp03293a" TargetMode="External"/><Relationship Id="rId305" Type="http://schemas.openxmlformats.org/officeDocument/2006/relationships/hyperlink" Target="https://doi.org/10.3390/foods10122973" TargetMode="External"/><Relationship Id="rId304" Type="http://schemas.openxmlformats.org/officeDocument/2006/relationships/hyperlink" Target="https://doi.org/10.1177/2043808719838937" TargetMode="External"/><Relationship Id="rId303" Type="http://schemas.openxmlformats.org/officeDocument/2006/relationships/hyperlink" Target="https://doi.org/10.1016/j.apsusc.2014.12.020" TargetMode="External"/><Relationship Id="rId302" Type="http://schemas.openxmlformats.org/officeDocument/2006/relationships/hyperlink" Target="https://doi.org/10.1002/aenm.201803175" TargetMode="External"/><Relationship Id="rId309" Type="http://schemas.openxmlformats.org/officeDocument/2006/relationships/hyperlink" Target="https://doi.org/10.1007/s11571-016-9418-9" TargetMode="External"/><Relationship Id="rId308" Type="http://schemas.openxmlformats.org/officeDocument/2006/relationships/hyperlink" Target="https://doi.org/10.1021/acs.jpcc.8b11777" TargetMode="External"/><Relationship Id="rId307" Type="http://schemas.openxmlformats.org/officeDocument/2006/relationships/hyperlink" Target="https://doi.org/10.3390/s21134309" TargetMode="External"/><Relationship Id="rId306" Type="http://schemas.openxmlformats.org/officeDocument/2006/relationships/hyperlink" Target="https://doi.org/10.1111/icad.12447" TargetMode="External"/><Relationship Id="rId301" Type="http://schemas.openxmlformats.org/officeDocument/2006/relationships/hyperlink" Target="https://doi.org/10.1016/j.powtec.2018.09.014" TargetMode="External"/><Relationship Id="rId300" Type="http://schemas.openxmlformats.org/officeDocument/2006/relationships/hyperlink" Target="https://doi.org/10.3389/fmolb.2022.827638" TargetMode="External"/><Relationship Id="rId327" Type="http://schemas.openxmlformats.org/officeDocument/2006/relationships/hyperlink" Target="https://doi.org/10.1111/ajo.13316" TargetMode="External"/><Relationship Id="rId326" Type="http://schemas.openxmlformats.org/officeDocument/2006/relationships/hyperlink" Target="https://doi.org/10.1016/j.polymertesting.2022.107715" TargetMode="External"/><Relationship Id="rId325" Type="http://schemas.openxmlformats.org/officeDocument/2006/relationships/hyperlink" Target="https://doi.org/10.2135/cropsci2011.06.0335" TargetMode="External"/><Relationship Id="rId324" Type="http://schemas.openxmlformats.org/officeDocument/2006/relationships/hyperlink" Target="https://doi.org/10.1111/acel.12639" TargetMode="External"/><Relationship Id="rId329" Type="http://schemas.openxmlformats.org/officeDocument/2006/relationships/hyperlink" Target="https://doi.org/10.1021/acssuschemeng.0c02813" TargetMode="External"/><Relationship Id="rId328" Type="http://schemas.openxmlformats.org/officeDocument/2006/relationships/hyperlink" Target="https://doi.org/10.1039/d2cp03073j" TargetMode="External"/><Relationship Id="rId323" Type="http://schemas.openxmlformats.org/officeDocument/2006/relationships/hyperlink" Target="https://doi.org/10.1016/j.ymssp.2021.108164" TargetMode="External"/><Relationship Id="rId322" Type="http://schemas.openxmlformats.org/officeDocument/2006/relationships/hyperlink" Target="https://doi.org/10.1155/2020/5947802" TargetMode="External"/><Relationship Id="rId321" Type="http://schemas.openxmlformats.org/officeDocument/2006/relationships/hyperlink" Target="https://doi.org/10.1080/02723638.2020.1785202" TargetMode="External"/><Relationship Id="rId320" Type="http://schemas.openxmlformats.org/officeDocument/2006/relationships/hyperlink" Target="https://doi.org/10.1016/j.gca.2018.08.020" TargetMode="External"/><Relationship Id="rId316" Type="http://schemas.openxmlformats.org/officeDocument/2006/relationships/hyperlink" Target="https://doi.org/10.1111/pbr.12860" TargetMode="External"/><Relationship Id="rId315" Type="http://schemas.openxmlformats.org/officeDocument/2006/relationships/hyperlink" Target="https://doi.org/10.1016/j.ejso.2018.01.240" TargetMode="External"/><Relationship Id="rId314" Type="http://schemas.openxmlformats.org/officeDocument/2006/relationships/hyperlink" Target="https://doi.org/10.3390/cancers14133250" TargetMode="External"/><Relationship Id="rId313" Type="http://schemas.openxmlformats.org/officeDocument/2006/relationships/hyperlink" Target="https://doi.org/10.1021/acsami.1c02314" TargetMode="External"/><Relationship Id="rId319" Type="http://schemas.openxmlformats.org/officeDocument/2006/relationships/hyperlink" Target="https://doi.org/10.1016/j.jtice.2011.02.006" TargetMode="External"/><Relationship Id="rId318" Type="http://schemas.openxmlformats.org/officeDocument/2006/relationships/hyperlink" Target="https://doi.org/10.1016/j.anbehav.2011.02.016" TargetMode="External"/><Relationship Id="rId317" Type="http://schemas.openxmlformats.org/officeDocument/2006/relationships/hyperlink" Target="https://doi.org/10.1021/acsomega.7b00753" TargetMode="External"/><Relationship Id="rId312" Type="http://schemas.openxmlformats.org/officeDocument/2006/relationships/hyperlink" Target="https://doi.org/10.1007/s11274-019-2662-5" TargetMode="External"/><Relationship Id="rId311" Type="http://schemas.openxmlformats.org/officeDocument/2006/relationships/hyperlink" Target="https://doi.org/10.1016/j.amc.2016.07.038" TargetMode="External"/><Relationship Id="rId310" Type="http://schemas.openxmlformats.org/officeDocument/2006/relationships/hyperlink" Target="https://doi.org/10.1016/j.tet.2014.09.017" TargetMode="External"/><Relationship Id="rId297" Type="http://schemas.openxmlformats.org/officeDocument/2006/relationships/hyperlink" Target="https://doi.org/10.1016/j.matlet.2017.12.081" TargetMode="External"/><Relationship Id="rId296" Type="http://schemas.openxmlformats.org/officeDocument/2006/relationships/hyperlink" Target="https://doi.org/10.1016/j.applthermaleng.2017.03.124" TargetMode="External"/><Relationship Id="rId295" Type="http://schemas.openxmlformats.org/officeDocument/2006/relationships/hyperlink" Target="https://doi.org/10.1016/j.jmgm.2015.02.002" TargetMode="External"/><Relationship Id="rId294" Type="http://schemas.openxmlformats.org/officeDocument/2006/relationships/hyperlink" Target="https://doi.org/10.1016/j.bbamem.2020.183466" TargetMode="External"/><Relationship Id="rId299" Type="http://schemas.openxmlformats.org/officeDocument/2006/relationships/hyperlink" Target="https://doi.org/10.3390/ijms19113686" TargetMode="External"/><Relationship Id="rId298" Type="http://schemas.openxmlformats.org/officeDocument/2006/relationships/hyperlink" Target="https://doi.org/10.1016/j.ece.2018.07.001" TargetMode="External"/><Relationship Id="rId271" Type="http://schemas.openxmlformats.org/officeDocument/2006/relationships/hyperlink" Target="https://doi.org/10.1016/j.tecto.2016.05.006" TargetMode="External"/><Relationship Id="rId270" Type="http://schemas.openxmlformats.org/officeDocument/2006/relationships/hyperlink" Target="https://doi.org/10.1155/2020/1237281" TargetMode="External"/><Relationship Id="rId269" Type="http://schemas.openxmlformats.org/officeDocument/2006/relationships/hyperlink" Target="https://doi.org/10.1186/s12896-018-0417-2" TargetMode="External"/><Relationship Id="rId264" Type="http://schemas.openxmlformats.org/officeDocument/2006/relationships/hyperlink" Target="https://doi.org/10.1016/j.chemphys.2017.04.009" TargetMode="External"/><Relationship Id="rId263" Type="http://schemas.openxmlformats.org/officeDocument/2006/relationships/hyperlink" Target="https://doi.org/10.1371/journal.pone.0201332" TargetMode="External"/><Relationship Id="rId262" Type="http://schemas.openxmlformats.org/officeDocument/2006/relationships/hyperlink" Target="https://doi.org/10.1155/2017/6786270" TargetMode="External"/><Relationship Id="rId261" Type="http://schemas.openxmlformats.org/officeDocument/2006/relationships/hyperlink" Target="https://doi.org/10.1186/s12877-022-03407-7" TargetMode="External"/><Relationship Id="rId268" Type="http://schemas.openxmlformats.org/officeDocument/2006/relationships/hyperlink" Target="https://doi.org/10.1002/adma.201707122" TargetMode="External"/><Relationship Id="rId267" Type="http://schemas.openxmlformats.org/officeDocument/2006/relationships/hyperlink" Target="https://doi.org/10.1111/imm.12582" TargetMode="External"/><Relationship Id="rId266" Type="http://schemas.openxmlformats.org/officeDocument/2006/relationships/hyperlink" Target="https://doi.org/10.3390/v8070193" TargetMode="External"/><Relationship Id="rId265" Type="http://schemas.openxmlformats.org/officeDocument/2006/relationships/hyperlink" Target="https://doi.org/10.1016/j.apenergy.2016.10.035" TargetMode="External"/><Relationship Id="rId260" Type="http://schemas.openxmlformats.org/officeDocument/2006/relationships/hyperlink" Target="https://doi.org/10.1021/acsnano.6b05429" TargetMode="External"/><Relationship Id="rId259" Type="http://schemas.openxmlformats.org/officeDocument/2006/relationships/hyperlink" Target="https://doi.org/10.1016/j.molmet.2014.11.003" TargetMode="External"/><Relationship Id="rId258" Type="http://schemas.openxmlformats.org/officeDocument/2006/relationships/hyperlink" Target="https://doi.org/10.1016/j.phycom.2018.01.001" TargetMode="External"/><Relationship Id="rId253" Type="http://schemas.openxmlformats.org/officeDocument/2006/relationships/hyperlink" Target="https://doi.org/10.1002/joc.4599" TargetMode="External"/><Relationship Id="rId252" Type="http://schemas.openxmlformats.org/officeDocument/2006/relationships/hyperlink" Target="https://doi.org/10.1016/j.msea.2016.07.085" TargetMode="External"/><Relationship Id="rId251" Type="http://schemas.openxmlformats.org/officeDocument/2006/relationships/hyperlink" Target="https://doi.org/10.1093/ofid/ofz067" TargetMode="External"/><Relationship Id="rId250" Type="http://schemas.openxmlformats.org/officeDocument/2006/relationships/hyperlink" Target="https://doi.org/10.1002/chem.201301146" TargetMode="External"/><Relationship Id="rId257" Type="http://schemas.openxmlformats.org/officeDocument/2006/relationships/hyperlink" Target="https://doi.org/10.1080/03650340.2020.1795138" TargetMode="External"/><Relationship Id="rId256" Type="http://schemas.openxmlformats.org/officeDocument/2006/relationships/hyperlink" Target="https://doi.org/10.1155/2022/2124462" TargetMode="External"/><Relationship Id="rId255" Type="http://schemas.openxmlformats.org/officeDocument/2006/relationships/hyperlink" Target="https://doi.org/10.3389/fnagi.2017.00111" TargetMode="External"/><Relationship Id="rId254" Type="http://schemas.openxmlformats.org/officeDocument/2006/relationships/hyperlink" Target="https://doi.org/10.1016/j.envsoft.2020.104886" TargetMode="External"/><Relationship Id="rId293" Type="http://schemas.openxmlformats.org/officeDocument/2006/relationships/hyperlink" Target="https://doi.org/10.3389/fnana.2015.00147" TargetMode="External"/><Relationship Id="rId292" Type="http://schemas.openxmlformats.org/officeDocument/2006/relationships/hyperlink" Target="https://doi.org/10.1021/acs.jpca.0c06494" TargetMode="External"/><Relationship Id="rId291" Type="http://schemas.openxmlformats.org/officeDocument/2006/relationships/hyperlink" Target="https://doi.org/10.1016/j.applthermaleng.2020.115957" TargetMode="External"/><Relationship Id="rId290" Type="http://schemas.openxmlformats.org/officeDocument/2006/relationships/hyperlink" Target="https://doi.org/10.1016/j.meegid.2021.105007" TargetMode="External"/><Relationship Id="rId286" Type="http://schemas.openxmlformats.org/officeDocument/2006/relationships/hyperlink" Target="https://doi.org/10.1007/s40262-016-0473-5" TargetMode="External"/><Relationship Id="rId285" Type="http://schemas.openxmlformats.org/officeDocument/2006/relationships/hyperlink" Target="https://doi.org/10.1088/1367-2630/18/9/093023" TargetMode="External"/><Relationship Id="rId284" Type="http://schemas.openxmlformats.org/officeDocument/2006/relationships/hyperlink" Target="https://doi.org/10.1021/acs.jcim.8b00765" TargetMode="External"/><Relationship Id="rId283" Type="http://schemas.openxmlformats.org/officeDocument/2006/relationships/hyperlink" Target="https://doi.org/10.3389/fpsyt.2021.780542" TargetMode="External"/><Relationship Id="rId289" Type="http://schemas.openxmlformats.org/officeDocument/2006/relationships/hyperlink" Target="https://doi.org/10.1007/s10707-020-00411-0" TargetMode="External"/><Relationship Id="rId288" Type="http://schemas.openxmlformats.org/officeDocument/2006/relationships/hyperlink" Target="https://doi.org/10.1016/j.apsusc.2020.148272" TargetMode="External"/><Relationship Id="rId287" Type="http://schemas.openxmlformats.org/officeDocument/2006/relationships/hyperlink" Target="https://doi.org/10.1080/19475705.2018.1536080" TargetMode="External"/><Relationship Id="rId282" Type="http://schemas.openxmlformats.org/officeDocument/2006/relationships/hyperlink" Target="https://doi.org/10.1016/j.schres.2017.11.014" TargetMode="External"/><Relationship Id="rId281" Type="http://schemas.openxmlformats.org/officeDocument/2006/relationships/hyperlink" Target="https://doi.org/10.1016/j.ijrmhm.2015.04.008" TargetMode="External"/><Relationship Id="rId280" Type="http://schemas.openxmlformats.org/officeDocument/2006/relationships/hyperlink" Target="https://doi.org/10.1093/ofid/ofab121" TargetMode="External"/><Relationship Id="rId275" Type="http://schemas.openxmlformats.org/officeDocument/2006/relationships/hyperlink" Target="https://doi.org/10.1007/s40194-022-01281-w" TargetMode="External"/><Relationship Id="rId274" Type="http://schemas.openxmlformats.org/officeDocument/2006/relationships/hyperlink" Target="https://doi.org/10.1016/j.resmic.2016.06.009" TargetMode="External"/><Relationship Id="rId273" Type="http://schemas.openxmlformats.org/officeDocument/2006/relationships/hyperlink" Target="https://doi.org/10.1016/j.neuroimage.2018.01.075" TargetMode="External"/><Relationship Id="rId272" Type="http://schemas.openxmlformats.org/officeDocument/2006/relationships/hyperlink" Target="https://doi.org/10.1136/jnnp-2021-328164" TargetMode="External"/><Relationship Id="rId279" Type="http://schemas.openxmlformats.org/officeDocument/2006/relationships/hyperlink" Target="https://doi.org/10.1093/eurjpc/zwac156" TargetMode="External"/><Relationship Id="rId278" Type="http://schemas.openxmlformats.org/officeDocument/2006/relationships/hyperlink" Target="https://doi.org/10.1111/1365-2664.13075" TargetMode="External"/><Relationship Id="rId277" Type="http://schemas.openxmlformats.org/officeDocument/2006/relationships/hyperlink" Target="https://doi.org/10.1016/j.foodchem.2021.129552" TargetMode="External"/><Relationship Id="rId276" Type="http://schemas.openxmlformats.org/officeDocument/2006/relationships/hyperlink" Target="https://doi.org/10.1073/pnas.1502251112" TargetMode="External"/><Relationship Id="rId228" Type="http://schemas.openxmlformats.org/officeDocument/2006/relationships/hyperlink" Target="https://doi.org/10.1002/mas.21484" TargetMode="External"/><Relationship Id="rId227" Type="http://schemas.openxmlformats.org/officeDocument/2006/relationships/hyperlink" Target="https://doi.org/10.1007/s11760-022-02256-6" TargetMode="External"/><Relationship Id="rId226" Type="http://schemas.openxmlformats.org/officeDocument/2006/relationships/hyperlink" Target="https://doi.org/10.1016/j.placenta.2010.12.021" TargetMode="External"/><Relationship Id="rId225" Type="http://schemas.openxmlformats.org/officeDocument/2006/relationships/hyperlink" Target="https://doi.org/10.2989/00306525.2017.1321049" TargetMode="External"/><Relationship Id="rId229" Type="http://schemas.openxmlformats.org/officeDocument/2006/relationships/hyperlink" Target="https://doi.org/10.1016/j.expneurol.2016.07.021" TargetMode="External"/><Relationship Id="rId220" Type="http://schemas.openxmlformats.org/officeDocument/2006/relationships/hyperlink" Target="https://doi.org/10.1038/s41598-019-38707-3" TargetMode="External"/><Relationship Id="rId224" Type="http://schemas.openxmlformats.org/officeDocument/2006/relationships/hyperlink" Target="https://doi.org/10.1080/02626667.2018.1473580" TargetMode="External"/><Relationship Id="rId223" Type="http://schemas.openxmlformats.org/officeDocument/2006/relationships/hyperlink" Target="https://doi.org/10.1007/s00604-022-05407-1" TargetMode="External"/><Relationship Id="rId222" Type="http://schemas.openxmlformats.org/officeDocument/2006/relationships/hyperlink" Target="https://doi.org/10.1016/j.fuel.2016.09.076" TargetMode="External"/><Relationship Id="rId221" Type="http://schemas.openxmlformats.org/officeDocument/2006/relationships/hyperlink" Target="https://doi.org/10.1155/2019/7581061" TargetMode="External"/><Relationship Id="rId217" Type="http://schemas.openxmlformats.org/officeDocument/2006/relationships/hyperlink" Target="https://doi.org/10.1038/s41598-021-82007-8" TargetMode="External"/><Relationship Id="rId216" Type="http://schemas.openxmlformats.org/officeDocument/2006/relationships/hyperlink" Target="https://doi.org/10.1049/cit2.12090" TargetMode="External"/><Relationship Id="rId215" Type="http://schemas.openxmlformats.org/officeDocument/2006/relationships/hyperlink" Target="https://doi.org/10.1007/s10586-015-0510-4" TargetMode="External"/><Relationship Id="rId214" Type="http://schemas.openxmlformats.org/officeDocument/2006/relationships/hyperlink" Target="https://doi.org/10.1080/15476286.2017.1379645" TargetMode="External"/><Relationship Id="rId219" Type="http://schemas.openxmlformats.org/officeDocument/2006/relationships/hyperlink" Target="https://doi.org/10.1021/acsami.0c14802" TargetMode="External"/><Relationship Id="rId218" Type="http://schemas.openxmlformats.org/officeDocument/2006/relationships/hyperlink" Target="https://doi.org/10.1016/j.jiec.2017.03.026" TargetMode="External"/><Relationship Id="rId213" Type="http://schemas.openxmlformats.org/officeDocument/2006/relationships/hyperlink" Target="https://doi.org/10.1016/j.scitotenv.2020.137040" TargetMode="External"/><Relationship Id="rId212" Type="http://schemas.openxmlformats.org/officeDocument/2006/relationships/hyperlink" Target="https://doi.org/10.1016/j.ecoenv.2022.114128" TargetMode="External"/><Relationship Id="rId211" Type="http://schemas.openxmlformats.org/officeDocument/2006/relationships/hyperlink" Target="https://doi.org/10.3390/en10121951" TargetMode="External"/><Relationship Id="rId210" Type="http://schemas.openxmlformats.org/officeDocument/2006/relationships/hyperlink" Target="https://doi.org/10.1039/d2cc04868j" TargetMode="External"/><Relationship Id="rId249" Type="http://schemas.openxmlformats.org/officeDocument/2006/relationships/hyperlink" Target="https://doi.org/10.3390/ijerph16071093" TargetMode="External"/><Relationship Id="rId248" Type="http://schemas.openxmlformats.org/officeDocument/2006/relationships/hyperlink" Target="https://doi.org/10.1021/acsanm.1c01982" TargetMode="External"/><Relationship Id="rId247" Type="http://schemas.openxmlformats.org/officeDocument/2006/relationships/hyperlink" Target="https://doi.org/10.1111/1467-8489.12445" TargetMode="External"/><Relationship Id="rId242" Type="http://schemas.openxmlformats.org/officeDocument/2006/relationships/hyperlink" Target="https://doi.org/10.1016/j.archger.2018.11.006" TargetMode="External"/><Relationship Id="rId241" Type="http://schemas.openxmlformats.org/officeDocument/2006/relationships/hyperlink" Target="https://doi.org/10.1016/j.jbc.2021.101359" TargetMode="External"/><Relationship Id="rId240" Type="http://schemas.openxmlformats.org/officeDocument/2006/relationships/hyperlink" Target="https://doi.org/10.7717/peerj.10340" TargetMode="External"/><Relationship Id="rId246" Type="http://schemas.openxmlformats.org/officeDocument/2006/relationships/hyperlink" Target="https://doi.org/10.1007/s00213-018-4860-5" TargetMode="External"/><Relationship Id="rId245" Type="http://schemas.openxmlformats.org/officeDocument/2006/relationships/hyperlink" Target="https://doi.org/10.1021/acs.estlett.0c00587" TargetMode="External"/><Relationship Id="rId244" Type="http://schemas.openxmlformats.org/officeDocument/2006/relationships/hyperlink" Target="https://doi.org/10.1007/s00125-018-4658-3" TargetMode="External"/><Relationship Id="rId243" Type="http://schemas.openxmlformats.org/officeDocument/2006/relationships/hyperlink" Target="https://doi.org/10.1016/j.ijbiomac.2021.11.142" TargetMode="External"/><Relationship Id="rId239" Type="http://schemas.openxmlformats.org/officeDocument/2006/relationships/hyperlink" Target="https://doi.org/10.1155/2019/9864246" TargetMode="External"/><Relationship Id="rId238" Type="http://schemas.openxmlformats.org/officeDocument/2006/relationships/hyperlink" Target="https://doi.org/10.1093/gerona/glab196" TargetMode="External"/><Relationship Id="rId237" Type="http://schemas.openxmlformats.org/officeDocument/2006/relationships/hyperlink" Target="https://doi.org/10.1007/s00410-016-1286-0" TargetMode="External"/><Relationship Id="rId236" Type="http://schemas.openxmlformats.org/officeDocument/2006/relationships/hyperlink" Target="https://doi.org/10.3390/ijms20051048" TargetMode="External"/><Relationship Id="rId231" Type="http://schemas.openxmlformats.org/officeDocument/2006/relationships/hyperlink" Target="https://doi.org/10.1177/1687814020924893" TargetMode="External"/><Relationship Id="rId230" Type="http://schemas.openxmlformats.org/officeDocument/2006/relationships/hyperlink" Target="https://doi.org/10.1039/c5sc02435h" TargetMode="External"/><Relationship Id="rId235" Type="http://schemas.openxmlformats.org/officeDocument/2006/relationships/hyperlink" Target="https://doi.org/10.5194/essd-12-87-2020" TargetMode="External"/><Relationship Id="rId234" Type="http://schemas.openxmlformats.org/officeDocument/2006/relationships/hyperlink" Target="https://doi.org/10.1016/j.jcrysgro.2018.03.020" TargetMode="External"/><Relationship Id="rId233" Type="http://schemas.openxmlformats.org/officeDocument/2006/relationships/hyperlink" Target="https://doi.org/10.1021/acs.langmuir.6b01536" TargetMode="External"/><Relationship Id="rId232" Type="http://schemas.openxmlformats.org/officeDocument/2006/relationships/hyperlink" Target="https://doi.org/10.1111/psyp.12350" TargetMode="External"/><Relationship Id="rId206" Type="http://schemas.openxmlformats.org/officeDocument/2006/relationships/hyperlink" Target="https://doi.org/10.1016/j.cbpb.2020.110448" TargetMode="External"/><Relationship Id="rId205" Type="http://schemas.openxmlformats.org/officeDocument/2006/relationships/hyperlink" Target="https://doi.org/10.1016/j.devcel.2016.02.010" TargetMode="External"/><Relationship Id="rId204" Type="http://schemas.openxmlformats.org/officeDocument/2006/relationships/hyperlink" Target="https://doi.org/10.1007/s13361-017-1886-6" TargetMode="External"/><Relationship Id="rId203" Type="http://schemas.openxmlformats.org/officeDocument/2006/relationships/hyperlink" Target="https://doi.org/10.1093/cybsec/tyx006" TargetMode="External"/><Relationship Id="rId209" Type="http://schemas.openxmlformats.org/officeDocument/2006/relationships/hyperlink" Target="https://doi.org/10.1038/s41524-022-00797-5" TargetMode="External"/><Relationship Id="rId208" Type="http://schemas.openxmlformats.org/officeDocument/2006/relationships/hyperlink" Target="https://doi.org/10.1021/acsbiomaterials.6b00328" TargetMode="External"/><Relationship Id="rId207" Type="http://schemas.openxmlformats.org/officeDocument/2006/relationships/hyperlink" Target="https://doi.org/10.1016/j.cej.2020.124147" TargetMode="External"/><Relationship Id="rId202" Type="http://schemas.openxmlformats.org/officeDocument/2006/relationships/hyperlink" Target="https://doi.org/10.1016/j.quaint.2016.02.050" TargetMode="External"/><Relationship Id="rId201" Type="http://schemas.openxmlformats.org/officeDocument/2006/relationships/hyperlink" Target="https://doi.org/10.1016/j.nanoen.2020.105309" TargetMode="External"/><Relationship Id="rId200" Type="http://schemas.openxmlformats.org/officeDocument/2006/relationships/hyperlink" Target="https://doi.org/10.1021/acs.jpcc.7b01019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doi.org/10.1007/7854_2014_314" TargetMode="External"/><Relationship Id="rId194" Type="http://schemas.openxmlformats.org/officeDocument/2006/relationships/hyperlink" Target="https://doi.org/10.1111/j.1365-2567.2011.03487.x" TargetMode="External"/><Relationship Id="rId193" Type="http://schemas.openxmlformats.org/officeDocument/2006/relationships/hyperlink" Target="https://doi.org/10.1039/c7ee00777a" TargetMode="External"/><Relationship Id="rId192" Type="http://schemas.openxmlformats.org/officeDocument/2006/relationships/hyperlink" Target="https://en.wikipedia.org/wiki/National_Institute_of_Neurological_Disorders_and_Stroke" TargetMode="External"/><Relationship Id="rId191" Type="http://schemas.openxmlformats.org/officeDocument/2006/relationships/hyperlink" Target="https://doi.org/10.3791/50004" TargetMode="External"/><Relationship Id="rId187" Type="http://schemas.openxmlformats.org/officeDocument/2006/relationships/hyperlink" Target="https://en.wikipedia.org/wiki/National_Natural_Science_Foundation_of_China" TargetMode="External"/><Relationship Id="rId186" Type="http://schemas.openxmlformats.org/officeDocument/2006/relationships/hyperlink" Target="https://doi.org/10.1093/bib/bbaa006" TargetMode="External"/><Relationship Id="rId185" Type="http://schemas.openxmlformats.org/officeDocument/2006/relationships/hyperlink" Target="https://en.wikipedia.org/wiki/National_Natural_Science_Foundation_of_China" TargetMode="External"/><Relationship Id="rId184" Type="http://schemas.openxmlformats.org/officeDocument/2006/relationships/hyperlink" Target="https://doi.org/10.1002/mop.32149" TargetMode="External"/><Relationship Id="rId189" Type="http://schemas.openxmlformats.org/officeDocument/2006/relationships/hyperlink" Target="https://en.wikipedia.org/wiki/National_Natural_Science_Foundation_of_China" TargetMode="External"/><Relationship Id="rId188" Type="http://schemas.openxmlformats.org/officeDocument/2006/relationships/hyperlink" Target="https://doi.org/10.1155/2015/321781" TargetMode="External"/><Relationship Id="rId183" Type="http://schemas.openxmlformats.org/officeDocument/2006/relationships/hyperlink" Target="https://en.wikipedia.org/wiki/University_Grants_Committee_(Hong_Kong)" TargetMode="External"/><Relationship Id="rId182" Type="http://schemas.openxmlformats.org/officeDocument/2006/relationships/hyperlink" Target="https://doi.org/10.1039/c1nr11238d" TargetMode="External"/><Relationship Id="rId181" Type="http://schemas.openxmlformats.org/officeDocument/2006/relationships/hyperlink" Target="https://doi.org/10.1016/j.ssi.2016.11.012" TargetMode="External"/><Relationship Id="rId180" Type="http://schemas.openxmlformats.org/officeDocument/2006/relationships/hyperlink" Target="https://doi.org/10.1111/j.1349-7006.2010.01521.x" TargetMode="External"/><Relationship Id="rId176" Type="http://schemas.openxmlformats.org/officeDocument/2006/relationships/hyperlink" Target="https://doi.org/10.1007/s10922-015-9361-9" TargetMode="External"/><Relationship Id="rId175" Type="http://schemas.openxmlformats.org/officeDocument/2006/relationships/hyperlink" Target="https://doi.org/10.1242/dev.175778" TargetMode="External"/><Relationship Id="rId174" Type="http://schemas.openxmlformats.org/officeDocument/2006/relationships/hyperlink" Target="https://doi.org/10.1021/ja510695g" TargetMode="External"/><Relationship Id="rId173" Type="http://schemas.openxmlformats.org/officeDocument/2006/relationships/hyperlink" Target="https://en.wikipedia.org/wiki/The_National_Science_Centre_(Poland)" TargetMode="External"/><Relationship Id="rId179" Type="http://schemas.openxmlformats.org/officeDocument/2006/relationships/hyperlink" Target="https://en.wikipedia.org/wiki/National_Natural_Science_Foundation_of_China" TargetMode="External"/><Relationship Id="rId178" Type="http://schemas.openxmlformats.org/officeDocument/2006/relationships/hyperlink" Target="https://doi.org/10.1016/j.sigpro.2019.107434" TargetMode="External"/><Relationship Id="rId177" Type="http://schemas.openxmlformats.org/officeDocument/2006/relationships/hyperlink" Target="https://doi.org/10.3390/nano11051112" TargetMode="External"/><Relationship Id="rId198" Type="http://schemas.openxmlformats.org/officeDocument/2006/relationships/hyperlink" Target="https://doi.org/10.1063/1.4733319" TargetMode="External"/><Relationship Id="rId197" Type="http://schemas.openxmlformats.org/officeDocument/2006/relationships/hyperlink" Target="https://en.wikipedia.org/wiki/National_Natural_Science_Foundation_of_China" TargetMode="External"/><Relationship Id="rId196" Type="http://schemas.openxmlformats.org/officeDocument/2006/relationships/hyperlink" Target="https://doi.org/10.3389/fmicb.2020.00852" TargetMode="External"/><Relationship Id="rId195" Type="http://schemas.openxmlformats.org/officeDocument/2006/relationships/hyperlink" Target="https://en.wikipedia.org/wiki/National_Health_and_Medical_Research_Council" TargetMode="External"/><Relationship Id="rId199" Type="http://schemas.openxmlformats.org/officeDocument/2006/relationships/hyperlink" Target="https://doi.org/10.1007/s12016-022-08944-y" TargetMode="External"/><Relationship Id="rId150" Type="http://schemas.openxmlformats.org/officeDocument/2006/relationships/hyperlink" Target="https://en.wikipedia.org/wiki/National_Institute_of_Dental_and_Craniofacial_Research" TargetMode="External"/><Relationship Id="rId392" Type="http://schemas.openxmlformats.org/officeDocument/2006/relationships/hyperlink" Target="https://doi.org/10.1016/j.ecresq.2011.09.001" TargetMode="External"/><Relationship Id="rId391" Type="http://schemas.openxmlformats.org/officeDocument/2006/relationships/hyperlink" Target="https://doi.org/10.1007/s00220-017-2934-6" TargetMode="External"/><Relationship Id="rId390" Type="http://schemas.openxmlformats.org/officeDocument/2006/relationships/hyperlink" Target="https://doi.org/10.3892/etm.2021.10423" TargetMode="External"/><Relationship Id="rId1" Type="http://schemas.openxmlformats.org/officeDocument/2006/relationships/hyperlink" Target="https://doi.org/10.3390/catal10070775" TargetMode="External"/><Relationship Id="rId2" Type="http://schemas.openxmlformats.org/officeDocument/2006/relationships/hyperlink" Target="https://doi.org/10.1007/s11548-021-02401-5" TargetMode="External"/><Relationship Id="rId3" Type="http://schemas.openxmlformats.org/officeDocument/2006/relationships/hyperlink" Target="http://en.wikipedia.org/wiki/Technische_Universit%C3%A4t_Darmstadt" TargetMode="External"/><Relationship Id="rId149" Type="http://schemas.openxmlformats.org/officeDocument/2006/relationships/hyperlink" Target="https://doi.org/10.1002/jor.23213" TargetMode="External"/><Relationship Id="rId4" Type="http://schemas.openxmlformats.org/officeDocument/2006/relationships/hyperlink" Target="https://doi.org/10.1016/j.ttbdis.2013.12.004" TargetMode="External"/><Relationship Id="rId148" Type="http://schemas.openxmlformats.org/officeDocument/2006/relationships/hyperlink" Target="https://doi.org/10.1016/j.jallcom.2014.07.138" TargetMode="External"/><Relationship Id="rId9" Type="http://schemas.openxmlformats.org/officeDocument/2006/relationships/hyperlink" Target="https://doi.org/10.1039/c5ra17015j" TargetMode="External"/><Relationship Id="rId143" Type="http://schemas.openxmlformats.org/officeDocument/2006/relationships/hyperlink" Target="https://en.wikipedia.org/wiki/National_Natural_Science_Foundation_of_China" TargetMode="External"/><Relationship Id="rId385" Type="http://schemas.openxmlformats.org/officeDocument/2006/relationships/hyperlink" Target="https://doi.org/10.4103/0971-5916.286224" TargetMode="External"/><Relationship Id="rId142" Type="http://schemas.openxmlformats.org/officeDocument/2006/relationships/hyperlink" Target="https://doi.org/10.3390/s18124299" TargetMode="External"/><Relationship Id="rId384" Type="http://schemas.openxmlformats.org/officeDocument/2006/relationships/hyperlink" Target="https://en.wikipedia.org/wiki/National_Natural_Science_Foundation_of_China" TargetMode="External"/><Relationship Id="rId141" Type="http://schemas.openxmlformats.org/officeDocument/2006/relationships/hyperlink" Target="https://en.wikipedia.org/wiki/National_Institute_of_Allergy_and_Infectious_Diseases" TargetMode="External"/><Relationship Id="rId383" Type="http://schemas.openxmlformats.org/officeDocument/2006/relationships/hyperlink" Target="https://doi.org/10.1016/j.oceaneng.2021.109639" TargetMode="External"/><Relationship Id="rId140" Type="http://schemas.openxmlformats.org/officeDocument/2006/relationships/hyperlink" Target="https://doi.org/10.15252/embj.201796977" TargetMode="External"/><Relationship Id="rId382" Type="http://schemas.openxmlformats.org/officeDocument/2006/relationships/hyperlink" Target="https://en.wikipedia.org/wiki/Consejo_Nacional_de_Ciencia_y_Tecnolog%C3%ADa_(Mexico)" TargetMode="External"/><Relationship Id="rId5" Type="http://schemas.openxmlformats.org/officeDocument/2006/relationships/hyperlink" Target="https://en.wikipedia.org/wiki/European_Commission" TargetMode="External"/><Relationship Id="rId147" Type="http://schemas.openxmlformats.org/officeDocument/2006/relationships/hyperlink" Target="https://en.wikipedia.org/wiki/National_Natural_Science_Foundation_of_China" TargetMode="External"/><Relationship Id="rId389" Type="http://schemas.openxmlformats.org/officeDocument/2006/relationships/hyperlink" Target="https://en.wikipedia.org/wiki/Fondazione_Cariplo" TargetMode="External"/><Relationship Id="rId6" Type="http://schemas.openxmlformats.org/officeDocument/2006/relationships/hyperlink" Target="https://doi.org/10.1111/j.1440-1800.2011.00526.x" TargetMode="External"/><Relationship Id="rId146" Type="http://schemas.openxmlformats.org/officeDocument/2006/relationships/hyperlink" Target="https://doi.org/10.1016/j.engfracmech.2021.107768" TargetMode="External"/><Relationship Id="rId388" Type="http://schemas.openxmlformats.org/officeDocument/2006/relationships/hyperlink" Target="https://doi.org/10.1557/jmr.2012.158" TargetMode="External"/><Relationship Id="rId7" Type="http://schemas.openxmlformats.org/officeDocument/2006/relationships/hyperlink" Target="http://en.wikipedia.org/wiki/Canadian_Institutes_of_Health_Research" TargetMode="External"/><Relationship Id="rId145" Type="http://schemas.openxmlformats.org/officeDocument/2006/relationships/hyperlink" Target="https://doi.org/10.1021/acsami.7b09981" TargetMode="External"/><Relationship Id="rId387" Type="http://schemas.openxmlformats.org/officeDocument/2006/relationships/hyperlink" Target="https://doi.org/10.1039/c2em30091e" TargetMode="External"/><Relationship Id="rId8" Type="http://schemas.openxmlformats.org/officeDocument/2006/relationships/hyperlink" Target="https://doi.org/10.1039/c7bm00162b" TargetMode="External"/><Relationship Id="rId144" Type="http://schemas.openxmlformats.org/officeDocument/2006/relationships/hyperlink" Target="https://doi.org/10.1016/j.foodchem.2021.131412" TargetMode="External"/><Relationship Id="rId386" Type="http://schemas.openxmlformats.org/officeDocument/2006/relationships/hyperlink" Target="https://en.wikipedia.org/wiki/World_Health_Organization" TargetMode="External"/><Relationship Id="rId381" Type="http://schemas.openxmlformats.org/officeDocument/2006/relationships/hyperlink" Target="https://doi.org/10.1080/10807039.2015.1064760" TargetMode="External"/><Relationship Id="rId380" Type="http://schemas.openxmlformats.org/officeDocument/2006/relationships/hyperlink" Target="https://doi.org/10.1016/j.yofte.2016.07.008" TargetMode="External"/><Relationship Id="rId139" Type="http://schemas.openxmlformats.org/officeDocument/2006/relationships/hyperlink" Target="https://en.wikipedia.org/wiki/National_Natural_Science_Foundation_of_China" TargetMode="External"/><Relationship Id="rId138" Type="http://schemas.openxmlformats.org/officeDocument/2006/relationships/hyperlink" Target="https://doi.org/10.1149/2.1281712jes" TargetMode="External"/><Relationship Id="rId137" Type="http://schemas.openxmlformats.org/officeDocument/2006/relationships/hyperlink" Target="https://doi.org/10.1111/j.1365-2109.2010.02645.x" TargetMode="External"/><Relationship Id="rId379" Type="http://schemas.openxmlformats.org/officeDocument/2006/relationships/hyperlink" Target="https://en.wikipedia.org/wiki/National_Natural_Science_Foundation_of_China" TargetMode="External"/><Relationship Id="rId132" Type="http://schemas.openxmlformats.org/officeDocument/2006/relationships/hyperlink" Target="http://en.wikipedia.org/wiki/Australian_Research_Council" TargetMode="External"/><Relationship Id="rId374" Type="http://schemas.openxmlformats.org/officeDocument/2006/relationships/hyperlink" Target="https://doi.org/10.1088/1361-6560/abbdb7" TargetMode="External"/><Relationship Id="rId131" Type="http://schemas.openxmlformats.org/officeDocument/2006/relationships/hyperlink" Target="https://doi.org/10.1111/irfi.12038" TargetMode="External"/><Relationship Id="rId373" Type="http://schemas.openxmlformats.org/officeDocument/2006/relationships/hyperlink" Target="https://en.wikipedia.org/wiki/National_Natural_Science_Foundation_of_China" TargetMode="External"/><Relationship Id="rId130" Type="http://schemas.openxmlformats.org/officeDocument/2006/relationships/hyperlink" Target="https://doi.org/10.1007/s10344-017-1097-2" TargetMode="External"/><Relationship Id="rId372" Type="http://schemas.openxmlformats.org/officeDocument/2006/relationships/hyperlink" Target="https://doi.org/10.1002/mma.4355" TargetMode="External"/><Relationship Id="rId371" Type="http://schemas.openxmlformats.org/officeDocument/2006/relationships/hyperlink" Target="https://en.wikipedia.org/wiki/Government_of_Australia" TargetMode="External"/><Relationship Id="rId136" Type="http://schemas.openxmlformats.org/officeDocument/2006/relationships/hyperlink" Target="https://doi.org/10.1016/j.plantsci.2019.02.014" TargetMode="External"/><Relationship Id="rId378" Type="http://schemas.openxmlformats.org/officeDocument/2006/relationships/hyperlink" Target="https://doi.org/10.1007/s10067-020-05220-2" TargetMode="External"/><Relationship Id="rId135" Type="http://schemas.openxmlformats.org/officeDocument/2006/relationships/hyperlink" Target="https://en.wikipedia.org/wiki/National_Natural_Science_Foundation_of_China" TargetMode="External"/><Relationship Id="rId377" Type="http://schemas.openxmlformats.org/officeDocument/2006/relationships/hyperlink" Target="https://doi.org/10.1016/j.vascn.2019.106579" TargetMode="External"/><Relationship Id="rId134" Type="http://schemas.openxmlformats.org/officeDocument/2006/relationships/hyperlink" Target="https://doi.org/10.1016/j.colsurfa.2010.02.005" TargetMode="External"/><Relationship Id="rId376" Type="http://schemas.openxmlformats.org/officeDocument/2006/relationships/hyperlink" Target="https://doi.org/10.1016/j.pocean.2014.04.024" TargetMode="External"/><Relationship Id="rId133" Type="http://schemas.openxmlformats.org/officeDocument/2006/relationships/hyperlink" Target="https://doi.org/10.1007/s11295-018-1235-3" TargetMode="External"/><Relationship Id="rId375" Type="http://schemas.openxmlformats.org/officeDocument/2006/relationships/hyperlink" Target="https://en.wikipedia.org/wiki/Ministry_of_Internal_Affairs_and_Communications" TargetMode="External"/><Relationship Id="rId172" Type="http://schemas.openxmlformats.org/officeDocument/2006/relationships/hyperlink" Target="https://doi.org/10.1088/1752-7163/aa820f" TargetMode="External"/><Relationship Id="rId171" Type="http://schemas.openxmlformats.org/officeDocument/2006/relationships/hyperlink" Target="https://en.wikipedia.org/wiki/National_Natural_Science_Foundation_of_China" TargetMode="External"/><Relationship Id="rId170" Type="http://schemas.openxmlformats.org/officeDocument/2006/relationships/hyperlink" Target="https://doi.org/10.1016/j.ijbiomac.2017.11.152" TargetMode="External"/><Relationship Id="rId165" Type="http://schemas.openxmlformats.org/officeDocument/2006/relationships/hyperlink" Target="https://doi.org/10.1126/sciadv.aaq0919" TargetMode="External"/><Relationship Id="rId164" Type="http://schemas.openxmlformats.org/officeDocument/2006/relationships/hyperlink" Target="http://en.wikipedia.org/wiki/Japan_Society_for_the_Promotion_of_Science" TargetMode="External"/><Relationship Id="rId163" Type="http://schemas.openxmlformats.org/officeDocument/2006/relationships/hyperlink" Target="https://doi.org/10.3390/s120608405" TargetMode="External"/><Relationship Id="rId162" Type="http://schemas.openxmlformats.org/officeDocument/2006/relationships/hyperlink" Target="https://en.wikipedia.org/wiki/Gilead_Sciences" TargetMode="External"/><Relationship Id="rId169" Type="http://schemas.openxmlformats.org/officeDocument/2006/relationships/hyperlink" Target="https://en.wikipedia.org/wiki/United_States_National_Library_of_Medicine" TargetMode="External"/><Relationship Id="rId168" Type="http://schemas.openxmlformats.org/officeDocument/2006/relationships/hyperlink" Target="https://doi.org/10.21037/jtd.2019.08.19" TargetMode="External"/><Relationship Id="rId167" Type="http://schemas.openxmlformats.org/officeDocument/2006/relationships/hyperlink" Target="https://doi.org/10.1016/j.talanta.2019.120541" TargetMode="External"/><Relationship Id="rId166" Type="http://schemas.openxmlformats.org/officeDocument/2006/relationships/hyperlink" Target="https://doi.org/10.1155/2016/4079210" TargetMode="External"/><Relationship Id="rId161" Type="http://schemas.openxmlformats.org/officeDocument/2006/relationships/hyperlink" Target="https://doi.org/10.1053/j.gastro.2013.12.028" TargetMode="External"/><Relationship Id="rId160" Type="http://schemas.openxmlformats.org/officeDocument/2006/relationships/hyperlink" Target="https://doi.org/10.3390/polym8030102" TargetMode="External"/><Relationship Id="rId159" Type="http://schemas.openxmlformats.org/officeDocument/2006/relationships/hyperlink" Target="https://doi.org/10.1021/cm502939r" TargetMode="External"/><Relationship Id="rId154" Type="http://schemas.openxmlformats.org/officeDocument/2006/relationships/hyperlink" Target="https://en.wikipedia.org/wiki/University_Grants_Commission_(India)" TargetMode="External"/><Relationship Id="rId396" Type="http://schemas.openxmlformats.org/officeDocument/2006/relationships/hyperlink" Target="https://doi.org/10.1155/2014/143415" TargetMode="External"/><Relationship Id="rId153" Type="http://schemas.openxmlformats.org/officeDocument/2006/relationships/hyperlink" Target="https://doi.org/10.1002/masy.201800112" TargetMode="External"/><Relationship Id="rId395" Type="http://schemas.openxmlformats.org/officeDocument/2006/relationships/hyperlink" Target="https://doi.org/10.1063/1.4923165" TargetMode="External"/><Relationship Id="rId152" Type="http://schemas.openxmlformats.org/officeDocument/2006/relationships/hyperlink" Target="https://doi.org/10.1021/acsami.9b13839" TargetMode="External"/><Relationship Id="rId394" Type="http://schemas.openxmlformats.org/officeDocument/2006/relationships/hyperlink" Target="https://doi.org/10.5194/acp-18-8491-2018" TargetMode="External"/><Relationship Id="rId151" Type="http://schemas.openxmlformats.org/officeDocument/2006/relationships/hyperlink" Target="https://doi.org/10.1021/es202640p" TargetMode="External"/><Relationship Id="rId393" Type="http://schemas.openxmlformats.org/officeDocument/2006/relationships/hyperlink" Target="https://en.wikipedia.org/wiki/Eunice_Kennedy_Shriver_National_Institute_of_Child_Health_and_Human_Development" TargetMode="External"/><Relationship Id="rId158" Type="http://schemas.openxmlformats.org/officeDocument/2006/relationships/hyperlink" Target="https://doi.org/10.1021/acs.inorgchem.9b02611" TargetMode="External"/><Relationship Id="rId157" Type="http://schemas.openxmlformats.org/officeDocument/2006/relationships/hyperlink" Target="https://doi.org/10.1002/jgra.50416" TargetMode="External"/><Relationship Id="rId399" Type="http://schemas.openxmlformats.org/officeDocument/2006/relationships/hyperlink" Target="https://doi.org/10.1016/j.bbr.2018.06.014" TargetMode="External"/><Relationship Id="rId156" Type="http://schemas.openxmlformats.org/officeDocument/2006/relationships/hyperlink" Target="https://doi.org/10.1016/j.physletb.2018.05.076" TargetMode="External"/><Relationship Id="rId398" Type="http://schemas.openxmlformats.org/officeDocument/2006/relationships/hyperlink" Target="https://doi.org/10.1016/j.palaeo.2020.109694" TargetMode="External"/><Relationship Id="rId155" Type="http://schemas.openxmlformats.org/officeDocument/2006/relationships/hyperlink" Target="https://doi.org/10.1155/2022/6509981" TargetMode="External"/><Relationship Id="rId397" Type="http://schemas.openxmlformats.org/officeDocument/2006/relationships/hyperlink" Target="https://en.wikipedia.org/wiki/National_Natural_Science_Foundation_of_China" TargetMode="External"/><Relationship Id="rId808" Type="http://schemas.openxmlformats.org/officeDocument/2006/relationships/hyperlink" Target="https://doi.org/10.4064/aa191103-13-2" TargetMode="External"/><Relationship Id="rId807" Type="http://schemas.openxmlformats.org/officeDocument/2006/relationships/hyperlink" Target="https://en.wikipedia.org/wiki/German_Academic_Exchange_Service" TargetMode="External"/><Relationship Id="rId806" Type="http://schemas.openxmlformats.org/officeDocument/2006/relationships/hyperlink" Target="https://doi.org/10.1007/s12040-013-0358-z" TargetMode="External"/><Relationship Id="rId805" Type="http://schemas.openxmlformats.org/officeDocument/2006/relationships/hyperlink" Target="https://en.wikipedia.org/wiki/National_Natural_Science_Foundation_of_China" TargetMode="External"/><Relationship Id="rId809" Type="http://schemas.openxmlformats.org/officeDocument/2006/relationships/hyperlink" Target="http://en.wikipedia.org/wiki/Japan_Society_for_the_Promotion_of_Science" TargetMode="External"/><Relationship Id="rId800" Type="http://schemas.openxmlformats.org/officeDocument/2006/relationships/hyperlink" Target="https://doi.org/10.1002/ijc.31059" TargetMode="External"/><Relationship Id="rId804" Type="http://schemas.openxmlformats.org/officeDocument/2006/relationships/hyperlink" Target="https://doi.org/10.1016/j.applthermaleng.2017.03.124" TargetMode="External"/><Relationship Id="rId803" Type="http://schemas.openxmlformats.org/officeDocument/2006/relationships/hyperlink" Target="https://en.wikipedia.org/wiki/European_Commission" TargetMode="External"/><Relationship Id="rId802" Type="http://schemas.openxmlformats.org/officeDocument/2006/relationships/hyperlink" Target="https://doi.org/10.1093/jac/dkt003" TargetMode="External"/><Relationship Id="rId801" Type="http://schemas.openxmlformats.org/officeDocument/2006/relationships/hyperlink" Target="https://doi.org/10.1016/j.jmgm.2015.02.002" TargetMode="External"/><Relationship Id="rId40" Type="http://schemas.openxmlformats.org/officeDocument/2006/relationships/hyperlink" Target="https://doi.org/10.1007/s11249-018-1127-6" TargetMode="External"/><Relationship Id="rId42" Type="http://schemas.openxmlformats.org/officeDocument/2006/relationships/hyperlink" Target="https://doi.org/10.1245/s10434-019-08102-3" TargetMode="External"/><Relationship Id="rId41" Type="http://schemas.openxmlformats.org/officeDocument/2006/relationships/hyperlink" Target="https://doi.org/10.1002/mrm.22850" TargetMode="External"/><Relationship Id="rId44" Type="http://schemas.openxmlformats.org/officeDocument/2006/relationships/hyperlink" Target="https://doi.org/10.1007/s10459-022-10171-1" TargetMode="External"/><Relationship Id="rId43" Type="http://schemas.openxmlformats.org/officeDocument/2006/relationships/hyperlink" Target="https://en.wikipedia.org/wiki/National_Research_Foundation_of_Korea" TargetMode="External"/><Relationship Id="rId46" Type="http://schemas.openxmlformats.org/officeDocument/2006/relationships/hyperlink" Target="https://doi.org/10.1093/gerona/glab323" TargetMode="External"/><Relationship Id="rId45" Type="http://schemas.openxmlformats.org/officeDocument/2006/relationships/hyperlink" Target="https://en.wikipedia.org/wiki/Government_of_Australia" TargetMode="External"/><Relationship Id="rId509" Type="http://schemas.openxmlformats.org/officeDocument/2006/relationships/hyperlink" Target="https://en.wikipedia.org/wiki/Ministry_of_Education,_Science_and_Technological_Development_(Serbia)" TargetMode="External"/><Relationship Id="rId508" Type="http://schemas.openxmlformats.org/officeDocument/2006/relationships/hyperlink" Target="https://doi.org/10.1080/10916466.2018.1465972" TargetMode="External"/><Relationship Id="rId503" Type="http://schemas.openxmlformats.org/officeDocument/2006/relationships/hyperlink" Target="https://doi.org/10.1063/1.5091477" TargetMode="External"/><Relationship Id="rId745" Type="http://schemas.openxmlformats.org/officeDocument/2006/relationships/hyperlink" Target="https://en.wikipedia.org/wiki/National_Natural_Science_Foundation_of_China" TargetMode="External"/><Relationship Id="rId502" Type="http://schemas.openxmlformats.org/officeDocument/2006/relationships/hyperlink" Target="https://doi.org/10.1063/1.4944081" TargetMode="External"/><Relationship Id="rId744" Type="http://schemas.openxmlformats.org/officeDocument/2006/relationships/hyperlink" Target="https://doi.org/10.1007/s40194-022-01281-w" TargetMode="External"/><Relationship Id="rId501" Type="http://schemas.openxmlformats.org/officeDocument/2006/relationships/hyperlink" Target="https://en.wikipedia.org/wiki/National_Natural_Science_Foundation_of_China" TargetMode="External"/><Relationship Id="rId743" Type="http://schemas.openxmlformats.org/officeDocument/2006/relationships/hyperlink" Target="https://doi.org/10.1007/s10653-015-9716-x" TargetMode="External"/><Relationship Id="rId500" Type="http://schemas.openxmlformats.org/officeDocument/2006/relationships/hyperlink" Target="https://doi.org/10.1016/j.snb.2010.10.010" TargetMode="External"/><Relationship Id="rId742" Type="http://schemas.openxmlformats.org/officeDocument/2006/relationships/hyperlink" Target="https://doi.org/10.1038/ncomms3195" TargetMode="External"/><Relationship Id="rId507" Type="http://schemas.openxmlformats.org/officeDocument/2006/relationships/hyperlink" Target="https://doi.org/10.1007/978-3-030-15986-3_14" TargetMode="External"/><Relationship Id="rId749" Type="http://schemas.openxmlformats.org/officeDocument/2006/relationships/hyperlink" Target="https://doi.org/10.1016/j.optlaseng.2017.07.001" TargetMode="External"/><Relationship Id="rId506" Type="http://schemas.openxmlformats.org/officeDocument/2006/relationships/hyperlink" Target="https://doi.org/10.1016/j.fertnstert.2012.01.097" TargetMode="External"/><Relationship Id="rId748" Type="http://schemas.openxmlformats.org/officeDocument/2006/relationships/hyperlink" Target="https://en.wikipedia.org/wiki/Ministry_of_Higher_Education_and_Scientific_Research_(Tunisia)" TargetMode="External"/><Relationship Id="rId505" Type="http://schemas.openxmlformats.org/officeDocument/2006/relationships/hyperlink" Target="https://doi.org/10.1172/jci.insight.93688" TargetMode="External"/><Relationship Id="rId747" Type="http://schemas.openxmlformats.org/officeDocument/2006/relationships/hyperlink" Target="https://doi.org/10.1016/j.crvi.2011.11.005" TargetMode="External"/><Relationship Id="rId504" Type="http://schemas.openxmlformats.org/officeDocument/2006/relationships/hyperlink" Target="https://en.wikipedia.org/wiki/National_Natural_Science_Foundation_of_China" TargetMode="External"/><Relationship Id="rId746" Type="http://schemas.openxmlformats.org/officeDocument/2006/relationships/hyperlink" Target="https://doi.org/10.1073/pnas.1502251112" TargetMode="External"/><Relationship Id="rId48" Type="http://schemas.openxmlformats.org/officeDocument/2006/relationships/hyperlink" Target="https://doi.org/10.1155/2013/812120" TargetMode="External"/><Relationship Id="rId47" Type="http://schemas.openxmlformats.org/officeDocument/2006/relationships/hyperlink" Target="https://doi.org/10.1016/j.shaw.2020.05.003" TargetMode="External"/><Relationship Id="rId49" Type="http://schemas.openxmlformats.org/officeDocument/2006/relationships/hyperlink" Target="https://en.wikipedia.org/wiki/National_Natural_Science_Foundation_of_China" TargetMode="External"/><Relationship Id="rId741" Type="http://schemas.openxmlformats.org/officeDocument/2006/relationships/hyperlink" Target="https://doi.org/10.1016/j.resmic.2016.06.009" TargetMode="External"/><Relationship Id="rId740" Type="http://schemas.openxmlformats.org/officeDocument/2006/relationships/hyperlink" Target="https://doi.org/10.1016/j.fitote.2017.07.018" TargetMode="External"/><Relationship Id="rId31" Type="http://schemas.openxmlformats.org/officeDocument/2006/relationships/hyperlink" Target="https://doi.org/10.1080/17451000903478327" TargetMode="External"/><Relationship Id="rId30" Type="http://schemas.openxmlformats.org/officeDocument/2006/relationships/hyperlink" Target="https://en.wikipedia.org/wiki/The_National_Science_Centre_(Poland)" TargetMode="External"/><Relationship Id="rId33" Type="http://schemas.openxmlformats.org/officeDocument/2006/relationships/hyperlink" Target="https://doi.org/10.1016/j.ijleo.2016.03.064" TargetMode="External"/><Relationship Id="rId32" Type="http://schemas.openxmlformats.org/officeDocument/2006/relationships/hyperlink" Target="https://en.wikipedia.org/wiki/National_Scientific_and_Technical_Research_Council" TargetMode="External"/><Relationship Id="rId35" Type="http://schemas.openxmlformats.org/officeDocument/2006/relationships/hyperlink" Target="https://en.wikipedia.org/wiki/Carlos_III_Health_Institute" TargetMode="External"/><Relationship Id="rId34" Type="http://schemas.openxmlformats.org/officeDocument/2006/relationships/hyperlink" Target="https://doi.org/10.1016/j.ijpharm.2015.07.033" TargetMode="External"/><Relationship Id="rId739" Type="http://schemas.openxmlformats.org/officeDocument/2006/relationships/hyperlink" Target="https://en.wikipedia.org/wiki/Eunice_Kennedy_Shriver_National_Institute_of_Child_Health_and_Human_Development" TargetMode="External"/><Relationship Id="rId734" Type="http://schemas.openxmlformats.org/officeDocument/2006/relationships/hyperlink" Target="https://en.wikipedia.org/wiki/Campania" TargetMode="External"/><Relationship Id="rId733" Type="http://schemas.openxmlformats.org/officeDocument/2006/relationships/hyperlink" Target="https://doi.org/10.1515/cclm-2013-0209" TargetMode="External"/><Relationship Id="rId732" Type="http://schemas.openxmlformats.org/officeDocument/2006/relationships/hyperlink" Target="https://en.wikipedia.org/wiki/Japan_International_Cooperation_Agency" TargetMode="External"/><Relationship Id="rId731" Type="http://schemas.openxmlformats.org/officeDocument/2006/relationships/hyperlink" Target="https://doi.org/10.1177/1043659611404424" TargetMode="External"/><Relationship Id="rId738" Type="http://schemas.openxmlformats.org/officeDocument/2006/relationships/hyperlink" Target="https://doi.org/10.1016/j.ajog.2014.09.035" TargetMode="External"/><Relationship Id="rId737" Type="http://schemas.openxmlformats.org/officeDocument/2006/relationships/hyperlink" Target="https://doi.org/10.1016/j.neuroimage.2018.01.075" TargetMode="External"/><Relationship Id="rId736" Type="http://schemas.openxmlformats.org/officeDocument/2006/relationships/hyperlink" Target="https://en.wikipedia.org/wiki/Indian_Space_Research_Organisation" TargetMode="External"/><Relationship Id="rId735" Type="http://schemas.openxmlformats.org/officeDocument/2006/relationships/hyperlink" Target="https://doi.org/10.1016/j.enconman.2022.115557" TargetMode="External"/><Relationship Id="rId37" Type="http://schemas.openxmlformats.org/officeDocument/2006/relationships/hyperlink" Target="https://doi.org/10.1021/acs.est.8b00462" TargetMode="External"/><Relationship Id="rId36" Type="http://schemas.openxmlformats.org/officeDocument/2006/relationships/hyperlink" Target="https://doi.org/10.1016/j.fishres.2015.03.018" TargetMode="External"/><Relationship Id="rId39" Type="http://schemas.openxmlformats.org/officeDocument/2006/relationships/hyperlink" Target="https://en.wikipedia.org/wiki/National_Institute_on_Aging" TargetMode="External"/><Relationship Id="rId38" Type="http://schemas.openxmlformats.org/officeDocument/2006/relationships/hyperlink" Target="https://doi.org/10.3758/s13415-011-0039-9" TargetMode="External"/><Relationship Id="rId730" Type="http://schemas.openxmlformats.org/officeDocument/2006/relationships/hyperlink" Target="http://en.wikipedia.org/wiki/Japan_Society_for_the_Promotion_of_Science" TargetMode="External"/><Relationship Id="rId20" Type="http://schemas.openxmlformats.org/officeDocument/2006/relationships/hyperlink" Target="https://doi.org/10.1021/acs.chemrestox.8b00225" TargetMode="External"/><Relationship Id="rId22" Type="http://schemas.openxmlformats.org/officeDocument/2006/relationships/hyperlink" Target="https://en.wikipedia.org/wiki/Institut_de_recherche_pour_le_d%C3%A9veloppement" TargetMode="External"/><Relationship Id="rId21" Type="http://schemas.openxmlformats.org/officeDocument/2006/relationships/hyperlink" Target="https://doi.org/10.1093/heapol/czv104" TargetMode="External"/><Relationship Id="rId24" Type="http://schemas.openxmlformats.org/officeDocument/2006/relationships/hyperlink" Target="https://doi.org/10.1016/j.scitotenv.2022.157369" TargetMode="External"/><Relationship Id="rId23" Type="http://schemas.openxmlformats.org/officeDocument/2006/relationships/hyperlink" Target="https://doi.org/10.1016/j.compstruct.2018.04.001" TargetMode="External"/><Relationship Id="rId525" Type="http://schemas.openxmlformats.org/officeDocument/2006/relationships/hyperlink" Target="https://doi.org/10.1090/conm/577/11463" TargetMode="External"/><Relationship Id="rId767" Type="http://schemas.openxmlformats.org/officeDocument/2006/relationships/hyperlink" Target="https://doi.org/10.3389/fpsyt.2021.780542" TargetMode="External"/><Relationship Id="rId524" Type="http://schemas.openxmlformats.org/officeDocument/2006/relationships/hyperlink" Target="https://en.wikipedia.org/wiki/University_Grants_Commission_(India)" TargetMode="External"/><Relationship Id="rId766" Type="http://schemas.openxmlformats.org/officeDocument/2006/relationships/hyperlink" Target="https://en.wikipedia.org/wiki/National_Research_Foundation_of_Korea" TargetMode="External"/><Relationship Id="rId523" Type="http://schemas.openxmlformats.org/officeDocument/2006/relationships/hyperlink" Target="https://doi.org/10.3109/03639045.2010.513984" TargetMode="External"/><Relationship Id="rId765" Type="http://schemas.openxmlformats.org/officeDocument/2006/relationships/hyperlink" Target="https://doi.org/10.14802/jmd.16017" TargetMode="External"/><Relationship Id="rId522" Type="http://schemas.openxmlformats.org/officeDocument/2006/relationships/hyperlink" Target="https://doi.org/10.1038/s41598-021-95190-5" TargetMode="External"/><Relationship Id="rId764" Type="http://schemas.openxmlformats.org/officeDocument/2006/relationships/hyperlink" Target="https://en.wikipedia.org/wiki/Rehabilitation_Research_and_Development_Service" TargetMode="External"/><Relationship Id="rId529" Type="http://schemas.openxmlformats.org/officeDocument/2006/relationships/hyperlink" Target="https://doi.org/10.1002/pmic.201200177" TargetMode="External"/><Relationship Id="rId528" Type="http://schemas.openxmlformats.org/officeDocument/2006/relationships/hyperlink" Target="https://en.wikipedia.org/wiki/National_Institute_on_Drug_Abuse" TargetMode="External"/><Relationship Id="rId527" Type="http://schemas.openxmlformats.org/officeDocument/2006/relationships/hyperlink" Target="https://doi.org/10.1111/adb.12345" TargetMode="External"/><Relationship Id="rId769" Type="http://schemas.openxmlformats.org/officeDocument/2006/relationships/hyperlink" Target="https://doi.org/10.1021/acs.jcim.8b00765" TargetMode="External"/><Relationship Id="rId526" Type="http://schemas.openxmlformats.org/officeDocument/2006/relationships/hyperlink" Target="https://en.wikipedia.org/wiki/Engineering_and_Physical_Sciences_Research_Council" TargetMode="External"/><Relationship Id="rId768" Type="http://schemas.openxmlformats.org/officeDocument/2006/relationships/hyperlink" Target="https://en.wikipedia.org/wiki/Ministry_of_Education_(Singapore)" TargetMode="External"/><Relationship Id="rId26" Type="http://schemas.openxmlformats.org/officeDocument/2006/relationships/hyperlink" Target="https://doi.org/10.1055/s-0043-104934" TargetMode="External"/><Relationship Id="rId25" Type="http://schemas.openxmlformats.org/officeDocument/2006/relationships/hyperlink" Target="https://doi.org/10.1117/1.3494556" TargetMode="External"/><Relationship Id="rId28" Type="http://schemas.openxmlformats.org/officeDocument/2006/relationships/hyperlink" Target="https://en.wikipedia.org/wiki/Ministry_of_Science_and_Technology_(Taiwan)" TargetMode="External"/><Relationship Id="rId27" Type="http://schemas.openxmlformats.org/officeDocument/2006/relationships/hyperlink" Target="https://doi.org/10.1080/09593330.2011.556670" TargetMode="External"/><Relationship Id="rId521" Type="http://schemas.openxmlformats.org/officeDocument/2006/relationships/hyperlink" Target="https://doi.org/10.1016/j.engstruct.2017.10.063" TargetMode="External"/><Relationship Id="rId763" Type="http://schemas.openxmlformats.org/officeDocument/2006/relationships/hyperlink" Target="https://doi.org/10.1016/j.schres.2017.11.014" TargetMode="External"/><Relationship Id="rId29" Type="http://schemas.openxmlformats.org/officeDocument/2006/relationships/hyperlink" Target="https://doi.org/10.3390/s21031011" TargetMode="External"/><Relationship Id="rId520" Type="http://schemas.openxmlformats.org/officeDocument/2006/relationships/hyperlink" Target="https://doi.org/10.1016/j.gr.2022.01.013" TargetMode="External"/><Relationship Id="rId762" Type="http://schemas.openxmlformats.org/officeDocument/2006/relationships/hyperlink" Target="https://doi.org/10.1016/j.ijrmhm.2015.04.008" TargetMode="External"/><Relationship Id="rId761" Type="http://schemas.openxmlformats.org/officeDocument/2006/relationships/hyperlink" Target="https://doi.org/10.1093/ofid/ofab121" TargetMode="External"/><Relationship Id="rId760" Type="http://schemas.openxmlformats.org/officeDocument/2006/relationships/hyperlink" Target="https://doi.org/10.1093/eurjpc/zwac156" TargetMode="External"/><Relationship Id="rId11" Type="http://schemas.openxmlformats.org/officeDocument/2006/relationships/hyperlink" Target="https://en.wikipedia.org/wiki/National_Natural_Science_Foundation_of_China" TargetMode="External"/><Relationship Id="rId10" Type="http://schemas.openxmlformats.org/officeDocument/2006/relationships/hyperlink" Target="https://doi.org/10.1111/j.1745-4514.2010.00492.x" TargetMode="External"/><Relationship Id="rId13" Type="http://schemas.openxmlformats.org/officeDocument/2006/relationships/hyperlink" Target="https://doi.org/10.1128/jvi.00624-22" TargetMode="External"/><Relationship Id="rId12" Type="http://schemas.openxmlformats.org/officeDocument/2006/relationships/hyperlink" Target="https://doi.org/10.3390/brainsci9040074" TargetMode="External"/><Relationship Id="rId519" Type="http://schemas.openxmlformats.org/officeDocument/2006/relationships/hyperlink" Target="https://doi.org/10.1007/s10514-019-09856-1" TargetMode="External"/><Relationship Id="rId514" Type="http://schemas.openxmlformats.org/officeDocument/2006/relationships/hyperlink" Target="https://doi.org/10.1021/jacs.7b02063" TargetMode="External"/><Relationship Id="rId756" Type="http://schemas.openxmlformats.org/officeDocument/2006/relationships/hyperlink" Target="https://doi.org/10.1016/j.radonc.2017.10.032" TargetMode="External"/><Relationship Id="rId513" Type="http://schemas.openxmlformats.org/officeDocument/2006/relationships/hyperlink" Target="https://en.wikipedia.org/wiki/European_Research_Council" TargetMode="External"/><Relationship Id="rId755" Type="http://schemas.openxmlformats.org/officeDocument/2006/relationships/hyperlink" Target="https://doi.org/10.1111/1365-2664.13075" TargetMode="External"/><Relationship Id="rId512" Type="http://schemas.openxmlformats.org/officeDocument/2006/relationships/hyperlink" Target="https://doi.org/10.1038/s41598-022-10991-6" TargetMode="External"/><Relationship Id="rId754" Type="http://schemas.openxmlformats.org/officeDocument/2006/relationships/hyperlink" Target="https://en.wikipedia.org/wiki/Ministry_of_Science_and_Technology_of_the_People%27s_Republic_of_China" TargetMode="External"/><Relationship Id="rId511" Type="http://schemas.openxmlformats.org/officeDocument/2006/relationships/hyperlink" Target="https://en.wikipedia.org/wiki/State_Administration_of_Traditional_Chinese_Medicine" TargetMode="External"/><Relationship Id="rId753" Type="http://schemas.openxmlformats.org/officeDocument/2006/relationships/hyperlink" Target="https://doi.org/10.1016/j.foodchem.2021.129552" TargetMode="External"/><Relationship Id="rId518" Type="http://schemas.openxmlformats.org/officeDocument/2006/relationships/hyperlink" Target="https://doi.org/10.1186/s12859-016-1299-8" TargetMode="External"/><Relationship Id="rId517" Type="http://schemas.openxmlformats.org/officeDocument/2006/relationships/hyperlink" Target="https://doi.org/10.1016/j.celrep.2016.12.035" TargetMode="External"/><Relationship Id="rId759" Type="http://schemas.openxmlformats.org/officeDocument/2006/relationships/hyperlink" Target="https://doi.org/10.1007/s10886-012-0100-3" TargetMode="External"/><Relationship Id="rId516" Type="http://schemas.openxmlformats.org/officeDocument/2006/relationships/hyperlink" Target="https://doi.org/10.1371/journal.pone.0184047" TargetMode="External"/><Relationship Id="rId758" Type="http://schemas.openxmlformats.org/officeDocument/2006/relationships/hyperlink" Target="https://doi.org/10.1371/journal.pone.0020374" TargetMode="External"/><Relationship Id="rId515" Type="http://schemas.openxmlformats.org/officeDocument/2006/relationships/hyperlink" Target="https://doi.org/10.1093/beheco/arab108" TargetMode="External"/><Relationship Id="rId757" Type="http://schemas.openxmlformats.org/officeDocument/2006/relationships/hyperlink" Target="https://doi.org/10.1016/j.cep.2012.07.011" TargetMode="External"/><Relationship Id="rId15" Type="http://schemas.openxmlformats.org/officeDocument/2006/relationships/hyperlink" Target="https://doi.org/10.1093/sysbio/syaa076" TargetMode="External"/><Relationship Id="rId14" Type="http://schemas.openxmlformats.org/officeDocument/2006/relationships/hyperlink" Target="https://en.wikipedia.org/wiki/National_Institute_of_Diabetes_and_Digestive_and_Kidney_Diseases" TargetMode="External"/><Relationship Id="rId17" Type="http://schemas.openxmlformats.org/officeDocument/2006/relationships/hyperlink" Target="https://en.wikipedia.org/wiki/National_Natural_Science_Foundation_of_China" TargetMode="External"/><Relationship Id="rId16" Type="http://schemas.openxmlformats.org/officeDocument/2006/relationships/hyperlink" Target="https://doi.org/10.1021/ol502506g" TargetMode="External"/><Relationship Id="rId19" Type="http://schemas.openxmlformats.org/officeDocument/2006/relationships/hyperlink" Target="http://en.wikipedia.org/wiki/Deutsche_Forschungsgemeinschaft" TargetMode="External"/><Relationship Id="rId510" Type="http://schemas.openxmlformats.org/officeDocument/2006/relationships/hyperlink" Target="https://doi.org/10.1155/2021/6690095" TargetMode="External"/><Relationship Id="rId752" Type="http://schemas.openxmlformats.org/officeDocument/2006/relationships/hyperlink" Target="https://en.wikipedia.org/wiki/National_Natural_Science_Foundation_of_China" TargetMode="External"/><Relationship Id="rId18" Type="http://schemas.openxmlformats.org/officeDocument/2006/relationships/hyperlink" Target="https://doi.org/10.1002/path.4418" TargetMode="External"/><Relationship Id="rId751" Type="http://schemas.openxmlformats.org/officeDocument/2006/relationships/hyperlink" Target="https://doi.org/10.1016/j.solidstatesciences.2010.10.008" TargetMode="External"/><Relationship Id="rId750" Type="http://schemas.openxmlformats.org/officeDocument/2006/relationships/hyperlink" Target="https://en.wikipedia.org/wiki/National_Natural_Science_Foundation_of_China" TargetMode="External"/><Relationship Id="rId84" Type="http://schemas.openxmlformats.org/officeDocument/2006/relationships/hyperlink" Target="https://doi.org/10.1016/j.geoderma.2022.116026" TargetMode="External"/><Relationship Id="rId83" Type="http://schemas.openxmlformats.org/officeDocument/2006/relationships/hyperlink" Target="https://doi.org/10.1021/acs.orglett.2c00519" TargetMode="External"/><Relationship Id="rId86" Type="http://schemas.openxmlformats.org/officeDocument/2006/relationships/hyperlink" Target="https://doi.org/10.1016/j.combustflame.2014.09.022" TargetMode="External"/><Relationship Id="rId85" Type="http://schemas.openxmlformats.org/officeDocument/2006/relationships/hyperlink" Target="https://doi.org/10.1016/j.chom.2021.08.001" TargetMode="External"/><Relationship Id="rId88" Type="http://schemas.openxmlformats.org/officeDocument/2006/relationships/hyperlink" Target="https://doi.org/10.1016/j.ijepes.2017.05.001" TargetMode="External"/><Relationship Id="rId87" Type="http://schemas.openxmlformats.org/officeDocument/2006/relationships/hyperlink" Target="https://en.wikipedia.org/wiki/European_Commission" TargetMode="External"/><Relationship Id="rId89" Type="http://schemas.openxmlformats.org/officeDocument/2006/relationships/hyperlink" Target="https://doi.org/10.1016/j.ijmultiphaseflow.2018.05.027" TargetMode="External"/><Relationship Id="rId709" Type="http://schemas.openxmlformats.org/officeDocument/2006/relationships/hyperlink" Target="https://doi.org/10.1155/2017/6786270" TargetMode="External"/><Relationship Id="rId708" Type="http://schemas.openxmlformats.org/officeDocument/2006/relationships/hyperlink" Target="https://doi.org/10.1186/s12877-022-03407-7" TargetMode="External"/><Relationship Id="rId707" Type="http://schemas.openxmlformats.org/officeDocument/2006/relationships/hyperlink" Target="https://doi.org/10.1021/acsnano.6b05429" TargetMode="External"/><Relationship Id="rId706" Type="http://schemas.openxmlformats.org/officeDocument/2006/relationships/hyperlink" Target="https://doi.org/10.1016/j.spa.2013.04.002" TargetMode="External"/><Relationship Id="rId80" Type="http://schemas.openxmlformats.org/officeDocument/2006/relationships/hyperlink" Target="https://doi.org/10.1021/ja201841p" TargetMode="External"/><Relationship Id="rId82" Type="http://schemas.openxmlformats.org/officeDocument/2006/relationships/hyperlink" Target="https://en.wikipedia.org/wiki/Department_of_Health_(Western_Australia)" TargetMode="External"/><Relationship Id="rId81" Type="http://schemas.openxmlformats.org/officeDocument/2006/relationships/hyperlink" Target="https://doi.org/10.1136/bmjopen-2019-032351" TargetMode="External"/><Relationship Id="rId701" Type="http://schemas.openxmlformats.org/officeDocument/2006/relationships/hyperlink" Target="https://doi.org/10.1371/journal.pone.0044843" TargetMode="External"/><Relationship Id="rId700" Type="http://schemas.openxmlformats.org/officeDocument/2006/relationships/hyperlink" Target="https://doi.org/10.3389/fnagi.2017.00111" TargetMode="External"/><Relationship Id="rId705" Type="http://schemas.openxmlformats.org/officeDocument/2006/relationships/hyperlink" Target="https://doi.org/10.1016/j.molmet.2014.11.003" TargetMode="External"/><Relationship Id="rId704" Type="http://schemas.openxmlformats.org/officeDocument/2006/relationships/hyperlink" Target="http://en.wikipedia.org/wiki/Japan_Society_for_the_Promotion_of_Science" TargetMode="External"/><Relationship Id="rId703" Type="http://schemas.openxmlformats.org/officeDocument/2006/relationships/hyperlink" Target="https://doi.org/10.1016/j.phycom.2018.01.001" TargetMode="External"/><Relationship Id="rId702" Type="http://schemas.openxmlformats.org/officeDocument/2006/relationships/hyperlink" Target="https://doi.org/10.1080/03650340.2020.1795138" TargetMode="External"/><Relationship Id="rId73" Type="http://schemas.openxmlformats.org/officeDocument/2006/relationships/hyperlink" Target="https://doi.org/10.1016/j.jnucmat.2015.12.023" TargetMode="External"/><Relationship Id="rId72" Type="http://schemas.openxmlformats.org/officeDocument/2006/relationships/hyperlink" Target="https://doi.org/10.1016/j.ijbiomac.2019.01.048" TargetMode="External"/><Relationship Id="rId75" Type="http://schemas.openxmlformats.org/officeDocument/2006/relationships/hyperlink" Target="https://en.wikipedia.org/wiki/European_Commission" TargetMode="External"/><Relationship Id="rId74" Type="http://schemas.openxmlformats.org/officeDocument/2006/relationships/hyperlink" Target="https://doi.org/10.3390/su132111853" TargetMode="External"/><Relationship Id="rId77" Type="http://schemas.openxmlformats.org/officeDocument/2006/relationships/hyperlink" Target="https://doi.org/10.1007/978-3-642-38524-7_17" TargetMode="External"/><Relationship Id="rId76" Type="http://schemas.openxmlformats.org/officeDocument/2006/relationships/hyperlink" Target="https://doi.org/10.1111/cmi.12138" TargetMode="External"/><Relationship Id="rId79" Type="http://schemas.openxmlformats.org/officeDocument/2006/relationships/hyperlink" Target="https://doi.org/10.1021/ja3010896" TargetMode="External"/><Relationship Id="rId78" Type="http://schemas.openxmlformats.org/officeDocument/2006/relationships/hyperlink" Target="https://en.wikipedia.org/wiki/National_Natural_Science_Foundation_of_China" TargetMode="External"/><Relationship Id="rId71" Type="http://schemas.openxmlformats.org/officeDocument/2006/relationships/hyperlink" Target="https://doi.org/10.1016/j.biortech.2017.04.009" TargetMode="External"/><Relationship Id="rId70" Type="http://schemas.openxmlformats.org/officeDocument/2006/relationships/hyperlink" Target="https://doi.org/10.1016/j.resmic.2016.10.008" TargetMode="External"/><Relationship Id="rId932" Type="http://schemas.openxmlformats.org/officeDocument/2006/relationships/hyperlink" Target="http://en.wikipedia.org/wiki/Australian_Research_Council" TargetMode="External"/><Relationship Id="rId931" Type="http://schemas.openxmlformats.org/officeDocument/2006/relationships/hyperlink" Target="https://doi.org/10.4271/03-15-05-0036" TargetMode="External"/><Relationship Id="rId930" Type="http://schemas.openxmlformats.org/officeDocument/2006/relationships/hyperlink" Target="https://en.wikipedia.org/wiki/National_Heart,_Lung,_and_Blood_Institute" TargetMode="External"/><Relationship Id="rId935" Type="http://schemas.openxmlformats.org/officeDocument/2006/relationships/drawing" Target="../drawings/drawing3.xml"/><Relationship Id="rId934" Type="http://schemas.openxmlformats.org/officeDocument/2006/relationships/hyperlink" Target="https://doi.org/10.1093/occmed/kqr129" TargetMode="External"/><Relationship Id="rId933" Type="http://schemas.openxmlformats.org/officeDocument/2006/relationships/hyperlink" Target="https://doi.org/10.1016/j.physleta.2021.127520" TargetMode="External"/><Relationship Id="rId62" Type="http://schemas.openxmlformats.org/officeDocument/2006/relationships/hyperlink" Target="https://doi.org/10.1016/j.animal.2021.100321" TargetMode="External"/><Relationship Id="rId61" Type="http://schemas.openxmlformats.org/officeDocument/2006/relationships/hyperlink" Target="https://doi.org/10.1002/hep.29499" TargetMode="External"/><Relationship Id="rId64" Type="http://schemas.openxmlformats.org/officeDocument/2006/relationships/hyperlink" Target="https://doi.org/10.3390/antibiotics10111294" TargetMode="External"/><Relationship Id="rId63" Type="http://schemas.openxmlformats.org/officeDocument/2006/relationships/hyperlink" Target="https://doi.org/10.1016/j.cattod.2020.01.003" TargetMode="External"/><Relationship Id="rId66" Type="http://schemas.openxmlformats.org/officeDocument/2006/relationships/hyperlink" Target="https://en.wikipedia.org/wiki/Eunice_Kennedy_Shriver_National_Institute_of_Child_Health_and_Human_Development" TargetMode="External"/><Relationship Id="rId65" Type="http://schemas.openxmlformats.org/officeDocument/2006/relationships/hyperlink" Target="https://doi.org/10.1310/tsr1904-294" TargetMode="External"/><Relationship Id="rId68" Type="http://schemas.openxmlformats.org/officeDocument/2006/relationships/hyperlink" Target="https://doi.org/10.1093/cercor/bhw353" TargetMode="External"/><Relationship Id="rId67" Type="http://schemas.openxmlformats.org/officeDocument/2006/relationships/hyperlink" Target="https://doi.org/10.1186/1471-2180-10-210" TargetMode="External"/><Relationship Id="rId729" Type="http://schemas.openxmlformats.org/officeDocument/2006/relationships/hyperlink" Target="https://doi.org/10.3109/01902148.2015.1044137" TargetMode="External"/><Relationship Id="rId728" Type="http://schemas.openxmlformats.org/officeDocument/2006/relationships/hyperlink" Target="https://doi.org/10.1016/j.bbadis.2021.166228" TargetMode="External"/><Relationship Id="rId60" Type="http://schemas.openxmlformats.org/officeDocument/2006/relationships/hyperlink" Target="https://doi.org/10.1016/j.jinf.2013.07.029" TargetMode="External"/><Relationship Id="rId723" Type="http://schemas.openxmlformats.org/officeDocument/2006/relationships/hyperlink" Target="https://doi.org/10.1155/2020/1237281" TargetMode="External"/><Relationship Id="rId722" Type="http://schemas.openxmlformats.org/officeDocument/2006/relationships/hyperlink" Target="https://en.wikipedia.org/wiki/Consejo_Nacional_de_Ciencia_y_Tecnolog%C3%ADa_(Mexico)" TargetMode="External"/><Relationship Id="rId721" Type="http://schemas.openxmlformats.org/officeDocument/2006/relationships/hyperlink" Target="https://doi.org/10.1016/j.fct.2022.113492" TargetMode="External"/><Relationship Id="rId720" Type="http://schemas.openxmlformats.org/officeDocument/2006/relationships/hyperlink" Target="https://doi.org/10.1002/cmdc.201700049" TargetMode="External"/><Relationship Id="rId727" Type="http://schemas.openxmlformats.org/officeDocument/2006/relationships/hyperlink" Target="https://doi.org/10.1136/jnnp-2021-328164" TargetMode="External"/><Relationship Id="rId726" Type="http://schemas.openxmlformats.org/officeDocument/2006/relationships/hyperlink" Target="https://en.wikipedia.org/wiki/BG_Group" TargetMode="External"/><Relationship Id="rId725" Type="http://schemas.openxmlformats.org/officeDocument/2006/relationships/hyperlink" Target="https://doi.org/10.1016/j.tecto.2016.05.006" TargetMode="External"/><Relationship Id="rId724" Type="http://schemas.openxmlformats.org/officeDocument/2006/relationships/hyperlink" Target="https://doi.org/10.1021/jp108669f" TargetMode="External"/><Relationship Id="rId69" Type="http://schemas.openxmlformats.org/officeDocument/2006/relationships/hyperlink" Target="https://doi.org/10.1016/j.matdes.2017.07.062" TargetMode="External"/><Relationship Id="rId51" Type="http://schemas.openxmlformats.org/officeDocument/2006/relationships/hyperlink" Target="https://en.wikipedia.org/wiki/Ministry_of_Economy_and_Enterprise" TargetMode="External"/><Relationship Id="rId50" Type="http://schemas.openxmlformats.org/officeDocument/2006/relationships/hyperlink" Target="https://doi.org/10.1007/s10530-020-02427-x" TargetMode="External"/><Relationship Id="rId53" Type="http://schemas.openxmlformats.org/officeDocument/2006/relationships/hyperlink" Target="https://en.wikipedia.org/wiki/National_Institute_of_Allergy_and_Infectious_Diseases" TargetMode="External"/><Relationship Id="rId52" Type="http://schemas.openxmlformats.org/officeDocument/2006/relationships/hyperlink" Target="https://doi.org/10.1038/s41598-018-21349-2" TargetMode="External"/><Relationship Id="rId55" Type="http://schemas.openxmlformats.org/officeDocument/2006/relationships/hyperlink" Target="https://en.wikipedia.org/wiki/National_Natural_Science_Foundation_of_China" TargetMode="External"/><Relationship Id="rId54" Type="http://schemas.openxmlformats.org/officeDocument/2006/relationships/hyperlink" Target="https://doi.org/10.1016/j.egyr.2021.11.131" TargetMode="External"/><Relationship Id="rId57" Type="http://schemas.openxmlformats.org/officeDocument/2006/relationships/hyperlink" Target="https://en.wikipedia.org/wiki/National_Natural_Science_Foundation_of_China" TargetMode="External"/><Relationship Id="rId56" Type="http://schemas.openxmlformats.org/officeDocument/2006/relationships/hyperlink" Target="https://doi.org/10.3390/math9121345" TargetMode="External"/><Relationship Id="rId719" Type="http://schemas.openxmlformats.org/officeDocument/2006/relationships/hyperlink" Target="https://doi.org/10.1186/s12896-018-0417-2" TargetMode="External"/><Relationship Id="rId718" Type="http://schemas.openxmlformats.org/officeDocument/2006/relationships/hyperlink" Target="https://doi.org/10.1039/c2jm16896k" TargetMode="External"/><Relationship Id="rId717" Type="http://schemas.openxmlformats.org/officeDocument/2006/relationships/hyperlink" Target="https://doi.org/10.1002/adma.201707122" TargetMode="External"/><Relationship Id="rId712" Type="http://schemas.openxmlformats.org/officeDocument/2006/relationships/hyperlink" Target="https://doi.org/10.1016/j.chemphys.2017.04.009" TargetMode="External"/><Relationship Id="rId711" Type="http://schemas.openxmlformats.org/officeDocument/2006/relationships/hyperlink" Target="https://doi.org/10.1371/journal.pone.0201332" TargetMode="External"/><Relationship Id="rId710" Type="http://schemas.openxmlformats.org/officeDocument/2006/relationships/hyperlink" Target="https://doi.org/10.3389/fpls.2015.00200" TargetMode="External"/><Relationship Id="rId716" Type="http://schemas.openxmlformats.org/officeDocument/2006/relationships/hyperlink" Target="https://doi.org/10.1111/imm.12582" TargetMode="External"/><Relationship Id="rId715" Type="http://schemas.openxmlformats.org/officeDocument/2006/relationships/hyperlink" Target="https://doi.org/10.1088/1674-4527/21/8/211" TargetMode="External"/><Relationship Id="rId714" Type="http://schemas.openxmlformats.org/officeDocument/2006/relationships/hyperlink" Target="https://doi.org/10.3390/v8070193" TargetMode="External"/><Relationship Id="rId713" Type="http://schemas.openxmlformats.org/officeDocument/2006/relationships/hyperlink" Target="https://doi.org/10.1016/j.apenergy.2016.10.035" TargetMode="External"/><Relationship Id="rId59" Type="http://schemas.openxmlformats.org/officeDocument/2006/relationships/hyperlink" Target="https://doi.org/10.1039/d2qo00057a" TargetMode="External"/><Relationship Id="rId58" Type="http://schemas.openxmlformats.org/officeDocument/2006/relationships/hyperlink" Target="https://doi.org/10.1371/journal.pone.0077355" TargetMode="External"/><Relationship Id="rId590" Type="http://schemas.openxmlformats.org/officeDocument/2006/relationships/hyperlink" Target="https://doi.org/10.3390/en10121951" TargetMode="External"/><Relationship Id="rId107" Type="http://schemas.openxmlformats.org/officeDocument/2006/relationships/hyperlink" Target="https://en.wikipedia.org/wiki/Ministry_of_Education,_Culture,_Sports,_Science_and_Technology" TargetMode="External"/><Relationship Id="rId349" Type="http://schemas.openxmlformats.org/officeDocument/2006/relationships/hyperlink" Target="https://en.wikipedia.org/wiki/National_Natural_Science_Foundation_of_China" TargetMode="External"/><Relationship Id="rId106" Type="http://schemas.openxmlformats.org/officeDocument/2006/relationships/hyperlink" Target="https://doi.org/10.1016/j.apacoust.2009.10.007" TargetMode="External"/><Relationship Id="rId348" Type="http://schemas.openxmlformats.org/officeDocument/2006/relationships/hyperlink" Target="https://doi.org/10.1063/1.5045829" TargetMode="External"/><Relationship Id="rId105" Type="http://schemas.openxmlformats.org/officeDocument/2006/relationships/hyperlink" Target="https://en.wikipedia.org/wiki/National_Natural_Science_Foundation_of_China" TargetMode="External"/><Relationship Id="rId347" Type="http://schemas.openxmlformats.org/officeDocument/2006/relationships/hyperlink" Target="https://doi.org/10.1186/s13018-018-0810-5" TargetMode="External"/><Relationship Id="rId589" Type="http://schemas.openxmlformats.org/officeDocument/2006/relationships/hyperlink" Target="https://en.wikipedia.org/wiki/National_Natural_Science_Foundation_of_China" TargetMode="External"/><Relationship Id="rId104" Type="http://schemas.openxmlformats.org/officeDocument/2006/relationships/hyperlink" Target="https://doi.org/10.1155/2020/3484568" TargetMode="External"/><Relationship Id="rId346" Type="http://schemas.openxmlformats.org/officeDocument/2006/relationships/hyperlink" Target="http://en.wikipedia.org/wiki/Australian_Research_Council" TargetMode="External"/><Relationship Id="rId588" Type="http://schemas.openxmlformats.org/officeDocument/2006/relationships/hyperlink" Target="https://doi.org/10.1039/d2cc04868j" TargetMode="External"/><Relationship Id="rId109" Type="http://schemas.openxmlformats.org/officeDocument/2006/relationships/hyperlink" Target="https://en.wikipedia.org/wiki/Ministry_of_Science_and_Technology_of_the_People%27s_Republic_of_China" TargetMode="External"/><Relationship Id="rId108" Type="http://schemas.openxmlformats.org/officeDocument/2006/relationships/hyperlink" Target="https://doi.org/10.1016/j.jid.2018.08.013" TargetMode="External"/><Relationship Id="rId341" Type="http://schemas.openxmlformats.org/officeDocument/2006/relationships/hyperlink" Target="https://en.wikipedia.org/wiki/Swiss_National_Science_Foundation" TargetMode="External"/><Relationship Id="rId583" Type="http://schemas.openxmlformats.org/officeDocument/2006/relationships/hyperlink" Target="https://doi.org/10.1016/j.combustflame.2022.112051" TargetMode="External"/><Relationship Id="rId340" Type="http://schemas.openxmlformats.org/officeDocument/2006/relationships/hyperlink" Target="https://doi.org/10.1016/j.scico.2011.11.003" TargetMode="External"/><Relationship Id="rId582" Type="http://schemas.openxmlformats.org/officeDocument/2006/relationships/hyperlink" Target="https://doi.org/10.1021/acsbiomaterials.6b00328" TargetMode="External"/><Relationship Id="rId581" Type="http://schemas.openxmlformats.org/officeDocument/2006/relationships/hyperlink" Target="https://doi.org/10.3390/atmos8100206" TargetMode="External"/><Relationship Id="rId580" Type="http://schemas.openxmlformats.org/officeDocument/2006/relationships/hyperlink" Target="https://doi.org/10.1111/tops.12192" TargetMode="External"/><Relationship Id="rId103" Type="http://schemas.openxmlformats.org/officeDocument/2006/relationships/hyperlink" Target="https://en.wikipedia.org/wiki/National_Cancer_Institute" TargetMode="External"/><Relationship Id="rId345" Type="http://schemas.openxmlformats.org/officeDocument/2006/relationships/hyperlink" Target="https://doi.org/10.1002/jrs.2745" TargetMode="External"/><Relationship Id="rId587" Type="http://schemas.openxmlformats.org/officeDocument/2006/relationships/hyperlink" Target="https://en.wikipedia.org/wiki/Dutch_Research_Council" TargetMode="External"/><Relationship Id="rId102" Type="http://schemas.openxmlformats.org/officeDocument/2006/relationships/hyperlink" Target="https://doi.org/10.1016/j.tibs.2017.01.004" TargetMode="External"/><Relationship Id="rId344" Type="http://schemas.openxmlformats.org/officeDocument/2006/relationships/hyperlink" Target="http://en.wikipedia.org/wiki/Japan_Society_for_the_Promotion_of_Science" TargetMode="External"/><Relationship Id="rId586" Type="http://schemas.openxmlformats.org/officeDocument/2006/relationships/hyperlink" Target="https://doi.org/10.1111/fwb.12089" TargetMode="External"/><Relationship Id="rId101" Type="http://schemas.openxmlformats.org/officeDocument/2006/relationships/hyperlink" Target="https://doi.org/10.1186/2040-2392-5-27" TargetMode="External"/><Relationship Id="rId343" Type="http://schemas.openxmlformats.org/officeDocument/2006/relationships/hyperlink" Target="https://doi.org/10.1007/s00024-010-0096-y" TargetMode="External"/><Relationship Id="rId585" Type="http://schemas.openxmlformats.org/officeDocument/2006/relationships/hyperlink" Target="http://en.wikipedia.org/wiki/Chinese_Academy_of_Sciences" TargetMode="External"/><Relationship Id="rId100" Type="http://schemas.openxmlformats.org/officeDocument/2006/relationships/hyperlink" Target="https://doi.org/10.3390/antibiotics11111572" TargetMode="External"/><Relationship Id="rId342" Type="http://schemas.openxmlformats.org/officeDocument/2006/relationships/hyperlink" Target="https://doi.org/10.3733/ca.v067n03p128" TargetMode="External"/><Relationship Id="rId584" Type="http://schemas.openxmlformats.org/officeDocument/2006/relationships/hyperlink" Target="https://doi.org/10.1038/s41524-022-00797-5" TargetMode="External"/><Relationship Id="rId338" Type="http://schemas.openxmlformats.org/officeDocument/2006/relationships/hyperlink" Target="https://en.wikipedia.org/wiki/Research_Council_of_Norway" TargetMode="External"/><Relationship Id="rId337" Type="http://schemas.openxmlformats.org/officeDocument/2006/relationships/hyperlink" Target="https://doi.org/10.1080/13691457.2021.2016650" TargetMode="External"/><Relationship Id="rId579" Type="http://schemas.openxmlformats.org/officeDocument/2006/relationships/hyperlink" Target="https://doi.org/10.1371/journal.pone.0107454" TargetMode="External"/><Relationship Id="rId336" Type="http://schemas.openxmlformats.org/officeDocument/2006/relationships/hyperlink" Target="https://doi.org/10.3389/fmolb.2016.00023" TargetMode="External"/><Relationship Id="rId578" Type="http://schemas.openxmlformats.org/officeDocument/2006/relationships/hyperlink" Target="https://en.wikipedia.org/wiki/Swiss_National_Science_Foundation" TargetMode="External"/><Relationship Id="rId335" Type="http://schemas.openxmlformats.org/officeDocument/2006/relationships/hyperlink" Target="https://doi.org/10.3390/molecules201017929" TargetMode="External"/><Relationship Id="rId577" Type="http://schemas.openxmlformats.org/officeDocument/2006/relationships/hyperlink" Target="https://doi.org/10.1007/s10548-013-0303-0" TargetMode="External"/><Relationship Id="rId339" Type="http://schemas.openxmlformats.org/officeDocument/2006/relationships/hyperlink" Target="https://doi.org/10.1016/j.virol.2018.01.031" TargetMode="External"/><Relationship Id="rId330" Type="http://schemas.openxmlformats.org/officeDocument/2006/relationships/hyperlink" Target="https://doi.org/10.1016/j.ast.2020.106343" TargetMode="External"/><Relationship Id="rId572" Type="http://schemas.openxmlformats.org/officeDocument/2006/relationships/hyperlink" Target="https://doi.org/10.4161/epi.25522" TargetMode="External"/><Relationship Id="rId571" Type="http://schemas.openxmlformats.org/officeDocument/2006/relationships/hyperlink" Target="https://en.wikipedia.org/wiki/Ministry_of_Education,_Science_and_Technological_Development_(Serbia)" TargetMode="External"/><Relationship Id="rId570" Type="http://schemas.openxmlformats.org/officeDocument/2006/relationships/hyperlink" Target="https://doi.org/10.1016/j.cbpb.2020.110448" TargetMode="External"/><Relationship Id="rId334" Type="http://schemas.openxmlformats.org/officeDocument/2006/relationships/hyperlink" Target="https://en.wikipedia.org/wiki/Ministry_of_Economy_and_Enterprise" TargetMode="External"/><Relationship Id="rId576" Type="http://schemas.openxmlformats.org/officeDocument/2006/relationships/hyperlink" Target="https://doi.org/10.1016/j.cej.2020.124147" TargetMode="External"/><Relationship Id="rId333" Type="http://schemas.openxmlformats.org/officeDocument/2006/relationships/hyperlink" Target="https://doi.org/10.1111/str.12191" TargetMode="External"/><Relationship Id="rId575" Type="http://schemas.openxmlformats.org/officeDocument/2006/relationships/hyperlink" Target="https://en.wikipedia.org/wiki/Ministry_of_Science_and_Technology_(Taiwan)" TargetMode="External"/><Relationship Id="rId332" Type="http://schemas.openxmlformats.org/officeDocument/2006/relationships/hyperlink" Target="https://en.wikipedia.org/wiki/National_Natural_Science_Foundation_of_China" TargetMode="External"/><Relationship Id="rId574" Type="http://schemas.openxmlformats.org/officeDocument/2006/relationships/hyperlink" Target="https://doi.org/10.1002/adfm.201200344" TargetMode="External"/><Relationship Id="rId331" Type="http://schemas.openxmlformats.org/officeDocument/2006/relationships/hyperlink" Target="https://doi.org/10.1016/j.ijrefrig.2014.12.001" TargetMode="External"/><Relationship Id="rId573" Type="http://schemas.openxmlformats.org/officeDocument/2006/relationships/hyperlink" Target="https://doi.org/10.3390/su12229403" TargetMode="External"/><Relationship Id="rId370" Type="http://schemas.openxmlformats.org/officeDocument/2006/relationships/hyperlink" Target="https://doi.org/10.1016/j.apor.2021.102836" TargetMode="External"/><Relationship Id="rId129" Type="http://schemas.openxmlformats.org/officeDocument/2006/relationships/hyperlink" Target="https://en.wikipedia.org/wiki/National_Natural_Science_Foundation_of_China" TargetMode="External"/><Relationship Id="rId128" Type="http://schemas.openxmlformats.org/officeDocument/2006/relationships/hyperlink" Target="https://doi.org/10.1080/10610278.2016.1198485" TargetMode="External"/><Relationship Id="rId127" Type="http://schemas.openxmlformats.org/officeDocument/2006/relationships/hyperlink" Target="http://en.wikipedia.org/wiki/Japan_Society_for_the_Promotion_of_Science" TargetMode="External"/><Relationship Id="rId369" Type="http://schemas.openxmlformats.org/officeDocument/2006/relationships/hyperlink" Target="https://doi.org/10.1039/d1ay02077c" TargetMode="External"/><Relationship Id="rId126" Type="http://schemas.openxmlformats.org/officeDocument/2006/relationships/hyperlink" Target="https://doi.org/10.1016/j.tetlet.2019.03.043" TargetMode="External"/><Relationship Id="rId368" Type="http://schemas.openxmlformats.org/officeDocument/2006/relationships/hyperlink" Target="https://en.wikipedia.org/wiki/Austrian_Science_Fund" TargetMode="External"/><Relationship Id="rId121" Type="http://schemas.openxmlformats.org/officeDocument/2006/relationships/hyperlink" Target="https://doi.org/10.1002/ejoc.202200165" TargetMode="External"/><Relationship Id="rId363" Type="http://schemas.openxmlformats.org/officeDocument/2006/relationships/hyperlink" Target="https://doi.org/10.1088/1361-6579/aac033" TargetMode="External"/><Relationship Id="rId120" Type="http://schemas.openxmlformats.org/officeDocument/2006/relationships/hyperlink" Target="https://en.wikipedia.org/wiki/United_States_Department_of_Defense" TargetMode="External"/><Relationship Id="rId362" Type="http://schemas.openxmlformats.org/officeDocument/2006/relationships/hyperlink" Target="https://doi.org/10.1016/j.colsurfb.2017.01.045" TargetMode="External"/><Relationship Id="rId361" Type="http://schemas.openxmlformats.org/officeDocument/2006/relationships/hyperlink" Target="https://doi.org/10.1186/s40100-022-00215-w" TargetMode="External"/><Relationship Id="rId360" Type="http://schemas.openxmlformats.org/officeDocument/2006/relationships/hyperlink" Target="https://doi.org/10.1016/j.celrep.2018.02.100" TargetMode="External"/><Relationship Id="rId125" Type="http://schemas.openxmlformats.org/officeDocument/2006/relationships/hyperlink" Target="https://doi.org/10.1080/09500340.2013.879219" TargetMode="External"/><Relationship Id="rId367" Type="http://schemas.openxmlformats.org/officeDocument/2006/relationships/hyperlink" Target="https://doi.org/10.1038/s41598-021-82613-6" TargetMode="External"/><Relationship Id="rId124" Type="http://schemas.openxmlformats.org/officeDocument/2006/relationships/hyperlink" Target="https://en.wikipedia.org/wiki/Engineering_and_Physical_Sciences_Research_Council" TargetMode="External"/><Relationship Id="rId366" Type="http://schemas.openxmlformats.org/officeDocument/2006/relationships/hyperlink" Target="https://doi.org/10.1016/j.cclet.2022.01.013" TargetMode="External"/><Relationship Id="rId123" Type="http://schemas.openxmlformats.org/officeDocument/2006/relationships/hyperlink" Target="https://doi.org/10.1145/3449639.3459326" TargetMode="External"/><Relationship Id="rId365" Type="http://schemas.openxmlformats.org/officeDocument/2006/relationships/hyperlink" Target="https://doi.org/10.3390/molecules19068472" TargetMode="External"/><Relationship Id="rId122" Type="http://schemas.openxmlformats.org/officeDocument/2006/relationships/hyperlink" Target="https://en.wikipedia.org/wiki/Scientific_and_Technological_Research_Council_of_Turkey" TargetMode="External"/><Relationship Id="rId364" Type="http://schemas.openxmlformats.org/officeDocument/2006/relationships/hyperlink" Target="http://en.wikipedia.org/wiki/Japan_Society_for_the_Promotion_of_Science" TargetMode="External"/><Relationship Id="rId95" Type="http://schemas.openxmlformats.org/officeDocument/2006/relationships/hyperlink" Target="https://doi.org/10.1111/aje.12084" TargetMode="External"/><Relationship Id="rId94" Type="http://schemas.openxmlformats.org/officeDocument/2006/relationships/hyperlink" Target="https://doi.org/10.1186/1476-4598-13-207" TargetMode="External"/><Relationship Id="rId97" Type="http://schemas.openxmlformats.org/officeDocument/2006/relationships/hyperlink" Target="https://doi.org/10.1021/acs.jproteome.1c00331" TargetMode="External"/><Relationship Id="rId96" Type="http://schemas.openxmlformats.org/officeDocument/2006/relationships/hyperlink" Target="https://doi.org/10.1038/ncomms4441" TargetMode="External"/><Relationship Id="rId99" Type="http://schemas.openxmlformats.org/officeDocument/2006/relationships/hyperlink" Target="https://doi.org/10.1021/acs.est.2c00309" TargetMode="External"/><Relationship Id="rId98" Type="http://schemas.openxmlformats.org/officeDocument/2006/relationships/hyperlink" Target="https://doi.org/10.1016/j.patcog.2014.12.006" TargetMode="External"/><Relationship Id="rId91" Type="http://schemas.openxmlformats.org/officeDocument/2006/relationships/hyperlink" Target="https://doi.org/10.1002/stem.2529" TargetMode="External"/><Relationship Id="rId90" Type="http://schemas.openxmlformats.org/officeDocument/2006/relationships/hyperlink" Target="https://doi.org/10.1063/1.4823852" TargetMode="External"/><Relationship Id="rId93" Type="http://schemas.openxmlformats.org/officeDocument/2006/relationships/hyperlink" Target="https://doi.org/10.1039/c2lc21012f" TargetMode="External"/><Relationship Id="rId92" Type="http://schemas.openxmlformats.org/officeDocument/2006/relationships/hyperlink" Target="https://en.wikipedia.org/wiki/European_Research_Council" TargetMode="External"/><Relationship Id="rId118" Type="http://schemas.openxmlformats.org/officeDocument/2006/relationships/hyperlink" Target="https://doi.org/10.1039/c3ay41251b" TargetMode="External"/><Relationship Id="rId117" Type="http://schemas.openxmlformats.org/officeDocument/2006/relationships/hyperlink" Target="https://doi.org/10.1002/esp.4964" TargetMode="External"/><Relationship Id="rId359" Type="http://schemas.openxmlformats.org/officeDocument/2006/relationships/hyperlink" Target="https://en.wikipedia.org/wiki/Natural_Sciences_and_Engineering_Research_Council" TargetMode="External"/><Relationship Id="rId116" Type="http://schemas.openxmlformats.org/officeDocument/2006/relationships/hyperlink" Target="https://doi.org/10.1016/j.jcp.2015.12.006" TargetMode="External"/><Relationship Id="rId358" Type="http://schemas.openxmlformats.org/officeDocument/2006/relationships/hyperlink" Target="https://doi.org/10.1155/2022/5806160" TargetMode="External"/><Relationship Id="rId115" Type="http://schemas.openxmlformats.org/officeDocument/2006/relationships/hyperlink" Target="https://doi.org/10.3389/fchem.2016.00049" TargetMode="External"/><Relationship Id="rId357" Type="http://schemas.openxmlformats.org/officeDocument/2006/relationships/hyperlink" Target="https://en.wikipedia.org/wiki/American_Cancer_Society" TargetMode="External"/><Relationship Id="rId599" Type="http://schemas.openxmlformats.org/officeDocument/2006/relationships/hyperlink" Target="https://en.wikipedia.org/wiki/Engineering_and_Physical_Sciences_Research_Council" TargetMode="External"/><Relationship Id="rId119" Type="http://schemas.openxmlformats.org/officeDocument/2006/relationships/hyperlink" Target="https://doi.org/10.1016/j.laa.2017.06.045" TargetMode="External"/><Relationship Id="rId110" Type="http://schemas.openxmlformats.org/officeDocument/2006/relationships/hyperlink" Target="https://doi.org/10.1016/j.neures.2014.02.004" TargetMode="External"/><Relationship Id="rId352" Type="http://schemas.openxmlformats.org/officeDocument/2006/relationships/hyperlink" Target="https://en.wikipedia.org/wiki/National_Natural_Science_Foundation_of_China" TargetMode="External"/><Relationship Id="rId594" Type="http://schemas.openxmlformats.org/officeDocument/2006/relationships/hyperlink" Target="https://doi.org/10.1016/j.palaeo.2018.02.017" TargetMode="External"/><Relationship Id="rId351" Type="http://schemas.openxmlformats.org/officeDocument/2006/relationships/hyperlink" Target="https://doi.org/10.1007/s11432-017-9185-6" TargetMode="External"/><Relationship Id="rId593" Type="http://schemas.openxmlformats.org/officeDocument/2006/relationships/hyperlink" Target="https://en.wikipedia.org/wiki/China_Scholarship_Council" TargetMode="External"/><Relationship Id="rId350" Type="http://schemas.openxmlformats.org/officeDocument/2006/relationships/hyperlink" Target="https://doi.org/10.1116/1.3622621" TargetMode="External"/><Relationship Id="rId592" Type="http://schemas.openxmlformats.org/officeDocument/2006/relationships/hyperlink" Target="https://doi.org/10.1016/j.scitotenv.2020.137040" TargetMode="External"/><Relationship Id="rId591" Type="http://schemas.openxmlformats.org/officeDocument/2006/relationships/hyperlink" Target="https://en.wikipedia.org/wiki/National_Natural_Science_Foundation_of_China" TargetMode="External"/><Relationship Id="rId114" Type="http://schemas.openxmlformats.org/officeDocument/2006/relationships/hyperlink" Target="https://en.wikipedia.org/wiki/National_Cancer_Institute" TargetMode="External"/><Relationship Id="rId356" Type="http://schemas.openxmlformats.org/officeDocument/2006/relationships/hyperlink" Target="https://doi.org/10.1053/j.gastro.2010.06.072" TargetMode="External"/><Relationship Id="rId598" Type="http://schemas.openxmlformats.org/officeDocument/2006/relationships/hyperlink" Target="https://doi.org/10.1007/s10586-015-0510-4" TargetMode="External"/><Relationship Id="rId113" Type="http://schemas.openxmlformats.org/officeDocument/2006/relationships/hyperlink" Target="https://doi.org/10.1093/jjco/hyq084" TargetMode="External"/><Relationship Id="rId355" Type="http://schemas.openxmlformats.org/officeDocument/2006/relationships/hyperlink" Target="https://en.wikipedia.org/wiki/National_Natural_Science_Foundation_of_China" TargetMode="External"/><Relationship Id="rId597" Type="http://schemas.openxmlformats.org/officeDocument/2006/relationships/hyperlink" Target="https://doi.org/10.1017/jfm.2019.171" TargetMode="External"/><Relationship Id="rId112" Type="http://schemas.openxmlformats.org/officeDocument/2006/relationships/hyperlink" Target="https://doi.org/10.1111/jfd.12290" TargetMode="External"/><Relationship Id="rId354" Type="http://schemas.openxmlformats.org/officeDocument/2006/relationships/hyperlink" Target="https://doi.org/10.1016/j.ress.2021.108172" TargetMode="External"/><Relationship Id="rId596" Type="http://schemas.openxmlformats.org/officeDocument/2006/relationships/hyperlink" Target="https://doi.org/10.1007/s11107-014-0440-8" TargetMode="External"/><Relationship Id="rId111" Type="http://schemas.openxmlformats.org/officeDocument/2006/relationships/hyperlink" Target="https://doi.org/10.1039/d1sc03774a" TargetMode="External"/><Relationship Id="rId353" Type="http://schemas.openxmlformats.org/officeDocument/2006/relationships/hyperlink" Target="https://doi.org/10.1016/j.physe.2012.07.003" TargetMode="External"/><Relationship Id="rId595" Type="http://schemas.openxmlformats.org/officeDocument/2006/relationships/hyperlink" Target="https://doi.org/10.1080/15476286.2017.1379645" TargetMode="External"/><Relationship Id="rId305" Type="http://schemas.openxmlformats.org/officeDocument/2006/relationships/hyperlink" Target="https://doi.org/10.1098/rspa.2018.0898" TargetMode="External"/><Relationship Id="rId547" Type="http://schemas.openxmlformats.org/officeDocument/2006/relationships/hyperlink" Target="http://en.wikipedia.org/wiki/Deutsche_Forschungsgemeinschaft" TargetMode="External"/><Relationship Id="rId789" Type="http://schemas.openxmlformats.org/officeDocument/2006/relationships/hyperlink" Target="https://doi.org/10.1111/iju.12788" TargetMode="External"/><Relationship Id="rId304" Type="http://schemas.openxmlformats.org/officeDocument/2006/relationships/hyperlink" Target="https://doi.org/10.1021/acs.joc.8b02984" TargetMode="External"/><Relationship Id="rId546" Type="http://schemas.openxmlformats.org/officeDocument/2006/relationships/hyperlink" Target="https://doi.org/10.1016/j.jpubeco.2020.104326" TargetMode="External"/><Relationship Id="rId788" Type="http://schemas.openxmlformats.org/officeDocument/2006/relationships/hyperlink" Target="https://doi.org/10.1038/hdy.2013.60" TargetMode="External"/><Relationship Id="rId303" Type="http://schemas.openxmlformats.org/officeDocument/2006/relationships/hyperlink" Target="https://en.wikipedia.org/wiki/World_Health_Organization" TargetMode="External"/><Relationship Id="rId545" Type="http://schemas.openxmlformats.org/officeDocument/2006/relationships/hyperlink" Target="https://en.wikipedia.org/wiki/Ministry_of_Science_and_Technology_of_the_People%27s_Republic_of_China" TargetMode="External"/><Relationship Id="rId787" Type="http://schemas.openxmlformats.org/officeDocument/2006/relationships/hyperlink" Target="https://doi.org/10.1016/j.compind.2009.10.006" TargetMode="External"/><Relationship Id="rId302" Type="http://schemas.openxmlformats.org/officeDocument/2006/relationships/hyperlink" Target="https://doi.org/10.26719/emhj.18.070" TargetMode="External"/><Relationship Id="rId544" Type="http://schemas.openxmlformats.org/officeDocument/2006/relationships/hyperlink" Target="https://doi.org/10.1016/j.vetmic.2017.05.020" TargetMode="External"/><Relationship Id="rId786" Type="http://schemas.openxmlformats.org/officeDocument/2006/relationships/hyperlink" Target="https://doi.org/10.1016/j.meegid.2021.105007" TargetMode="External"/><Relationship Id="rId309" Type="http://schemas.openxmlformats.org/officeDocument/2006/relationships/hyperlink" Target="https://en.wikipedia.org/wiki/China_Scholarship_Council" TargetMode="External"/><Relationship Id="rId308" Type="http://schemas.openxmlformats.org/officeDocument/2006/relationships/hyperlink" Target="https://doi.org/10.3390/bdcc5040054" TargetMode="External"/><Relationship Id="rId307" Type="http://schemas.openxmlformats.org/officeDocument/2006/relationships/hyperlink" Target="https://en.wikipedia.org/wiki/National_Research_Centre" TargetMode="External"/><Relationship Id="rId549" Type="http://schemas.openxmlformats.org/officeDocument/2006/relationships/hyperlink" Target="https://en.wikipedia.org/wiki/National_Natural_Science_Foundation_of_China" TargetMode="External"/><Relationship Id="rId306" Type="http://schemas.openxmlformats.org/officeDocument/2006/relationships/hyperlink" Target="https://doi.org/10.1111/bcpt.13683" TargetMode="External"/><Relationship Id="rId548" Type="http://schemas.openxmlformats.org/officeDocument/2006/relationships/hyperlink" Target="https://doi.org/10.3390/cancers14164009" TargetMode="External"/><Relationship Id="rId781" Type="http://schemas.openxmlformats.org/officeDocument/2006/relationships/hyperlink" Target="https://doi.org/10.1080/19475705.2018.1536080" TargetMode="External"/><Relationship Id="rId780" Type="http://schemas.openxmlformats.org/officeDocument/2006/relationships/hyperlink" Target="https://en.wikipedia.org/wiki/Engineering_and_Physical_Sciences_Research_Council" TargetMode="External"/><Relationship Id="rId301" Type="http://schemas.openxmlformats.org/officeDocument/2006/relationships/hyperlink" Target="https://en.wikipedia.org/wiki/University_Grants_Commission_(India)" TargetMode="External"/><Relationship Id="rId543" Type="http://schemas.openxmlformats.org/officeDocument/2006/relationships/hyperlink" Target="http://en.wikipedia.org/wiki/Deutsche_Forschungsgemeinschaft" TargetMode="External"/><Relationship Id="rId785" Type="http://schemas.openxmlformats.org/officeDocument/2006/relationships/hyperlink" Target="https://doi.org/10.1007/s10707-020-00411-0" TargetMode="External"/><Relationship Id="rId300" Type="http://schemas.openxmlformats.org/officeDocument/2006/relationships/hyperlink" Target="https://doi.org/10.1016/j.electacta.2015.10.005" TargetMode="External"/><Relationship Id="rId542" Type="http://schemas.openxmlformats.org/officeDocument/2006/relationships/hyperlink" Target="https://doi.org/10.1016/j.margeo.2016.03.013" TargetMode="External"/><Relationship Id="rId784" Type="http://schemas.openxmlformats.org/officeDocument/2006/relationships/hyperlink" Target="https://doi.org/10.1016/j.tics.2016.12.001" TargetMode="External"/><Relationship Id="rId541" Type="http://schemas.openxmlformats.org/officeDocument/2006/relationships/hyperlink" Target="https://en.wikipedia.org/wiki/National_Natural_Science_Foundation_of_China" TargetMode="External"/><Relationship Id="rId783" Type="http://schemas.openxmlformats.org/officeDocument/2006/relationships/hyperlink" Target="https://doi.org/10.1371/journal.pone.0218204" TargetMode="External"/><Relationship Id="rId540" Type="http://schemas.openxmlformats.org/officeDocument/2006/relationships/hyperlink" Target="https://doi.org/10.1007/s42243-021-00622-1" TargetMode="External"/><Relationship Id="rId782" Type="http://schemas.openxmlformats.org/officeDocument/2006/relationships/hyperlink" Target="https://doi.org/10.1016/j.apsusc.2020.148272" TargetMode="External"/><Relationship Id="rId536" Type="http://schemas.openxmlformats.org/officeDocument/2006/relationships/hyperlink" Target="https://doi.org/10.1002/bies.201900231" TargetMode="External"/><Relationship Id="rId778" Type="http://schemas.openxmlformats.org/officeDocument/2006/relationships/hyperlink" Target="https://doi.org/10.1016/j.energy.2011.10.037" TargetMode="External"/><Relationship Id="rId535" Type="http://schemas.openxmlformats.org/officeDocument/2006/relationships/hyperlink" Target="https://en.wikipedia.org/wiki/European_Research_Council" TargetMode="External"/><Relationship Id="rId777" Type="http://schemas.openxmlformats.org/officeDocument/2006/relationships/hyperlink" Target="https://en.wikipedia.org/wiki/European_Commission" TargetMode="External"/><Relationship Id="rId534" Type="http://schemas.openxmlformats.org/officeDocument/2006/relationships/hyperlink" Target="https://doi.org/10.1007/s00023-017-0611-0" TargetMode="External"/><Relationship Id="rId776" Type="http://schemas.openxmlformats.org/officeDocument/2006/relationships/hyperlink" Target="https://doi.org/10.5194/os-12-379-2016" TargetMode="External"/><Relationship Id="rId533" Type="http://schemas.openxmlformats.org/officeDocument/2006/relationships/hyperlink" Target="https://doi.org/10.3390/s20216022" TargetMode="External"/><Relationship Id="rId775" Type="http://schemas.openxmlformats.org/officeDocument/2006/relationships/hyperlink" Target="https://en.wikipedia.org/wiki/National_Natural_Science_Foundation_of_China" TargetMode="External"/><Relationship Id="rId539" Type="http://schemas.openxmlformats.org/officeDocument/2006/relationships/hyperlink" Target="https://en.wikipedia.org/wiki/National_Natural_Science_Foundation_of_China" TargetMode="External"/><Relationship Id="rId538" Type="http://schemas.openxmlformats.org/officeDocument/2006/relationships/hyperlink" Target="https://doi.org/10.1049/itr2.12183" TargetMode="External"/><Relationship Id="rId537" Type="http://schemas.openxmlformats.org/officeDocument/2006/relationships/hyperlink" Target="https://doi.org/10.1186/s12938-018-0615-0" TargetMode="External"/><Relationship Id="rId779" Type="http://schemas.openxmlformats.org/officeDocument/2006/relationships/hyperlink" Target="https://doi.org/10.1063/1.4753845" TargetMode="External"/><Relationship Id="rId770" Type="http://schemas.openxmlformats.org/officeDocument/2006/relationships/hyperlink" Target="https://doi.org/10.1088/1367-2630/18/9/093023" TargetMode="External"/><Relationship Id="rId532" Type="http://schemas.openxmlformats.org/officeDocument/2006/relationships/hyperlink" Target="https://en.wikipedia.org/wiki/National_Natural_Science_Foundation_of_China" TargetMode="External"/><Relationship Id="rId774" Type="http://schemas.openxmlformats.org/officeDocument/2006/relationships/hyperlink" Target="https://doi.org/10.1016/j.ijthermalsci.2022.107542" TargetMode="External"/><Relationship Id="rId531" Type="http://schemas.openxmlformats.org/officeDocument/2006/relationships/hyperlink" Target="https://doi.org/10.1007/s12289-013-1159-2" TargetMode="External"/><Relationship Id="rId773" Type="http://schemas.openxmlformats.org/officeDocument/2006/relationships/hyperlink" Target="https://en.wikipedia.org/wiki/Novo_Nordisk" TargetMode="External"/><Relationship Id="rId530" Type="http://schemas.openxmlformats.org/officeDocument/2006/relationships/hyperlink" Target="https://en.wikipedia.org/wiki/Federal_Ministry_of_Education_and_Research_(Germany)" TargetMode="External"/><Relationship Id="rId772" Type="http://schemas.openxmlformats.org/officeDocument/2006/relationships/hyperlink" Target="https://doi.org/10.1007/s40262-016-0473-5" TargetMode="External"/><Relationship Id="rId771" Type="http://schemas.openxmlformats.org/officeDocument/2006/relationships/hyperlink" Target="https://doi.org/10.1111/bjhp.12240" TargetMode="External"/><Relationship Id="rId327" Type="http://schemas.openxmlformats.org/officeDocument/2006/relationships/hyperlink" Target="https://en.wikipedia.org/wiki/National_Natural_Science_Foundation_of_China" TargetMode="External"/><Relationship Id="rId569" Type="http://schemas.openxmlformats.org/officeDocument/2006/relationships/hyperlink" Target="https://doi.org/10.1016/j.devcel.2016.02.010" TargetMode="External"/><Relationship Id="rId326" Type="http://schemas.openxmlformats.org/officeDocument/2006/relationships/hyperlink" Target="https://doi.org/10.1039/c6cp03293a" TargetMode="External"/><Relationship Id="rId568" Type="http://schemas.openxmlformats.org/officeDocument/2006/relationships/hyperlink" Target="https://en.wikipedia.org/wiki/National_Institute_on_Aging" TargetMode="External"/><Relationship Id="rId325" Type="http://schemas.openxmlformats.org/officeDocument/2006/relationships/hyperlink" Target="https://en.wikipedia.org/wiki/United_States_Department_of_Veterans_Affairs" TargetMode="External"/><Relationship Id="rId567" Type="http://schemas.openxmlformats.org/officeDocument/2006/relationships/hyperlink" Target="https://doi.org/10.1001/jamanetworkopen.2021.48599" TargetMode="External"/><Relationship Id="rId324" Type="http://schemas.openxmlformats.org/officeDocument/2006/relationships/hyperlink" Target="https://doi.org/10.1002/jcb.25032" TargetMode="External"/><Relationship Id="rId566" Type="http://schemas.openxmlformats.org/officeDocument/2006/relationships/hyperlink" Target="https://doi.org/10.1007/s13361-017-1886-6" TargetMode="External"/><Relationship Id="rId329" Type="http://schemas.openxmlformats.org/officeDocument/2006/relationships/hyperlink" Target="https://doi.org/10.1145/3527241" TargetMode="External"/><Relationship Id="rId328" Type="http://schemas.openxmlformats.org/officeDocument/2006/relationships/hyperlink" Target="https://doi.org/10.1016/j.biomaterials.2015.02.101" TargetMode="External"/><Relationship Id="rId561" Type="http://schemas.openxmlformats.org/officeDocument/2006/relationships/hyperlink" Target="https://en.wikipedia.org/wiki/European_Commission" TargetMode="External"/><Relationship Id="rId560" Type="http://schemas.openxmlformats.org/officeDocument/2006/relationships/hyperlink" Target="https://doi.org/10.1016/j.ica.2022.120850" TargetMode="External"/><Relationship Id="rId323" Type="http://schemas.openxmlformats.org/officeDocument/2006/relationships/hyperlink" Target="https://doi.org/10.1016/j.trd.2014.08.021" TargetMode="External"/><Relationship Id="rId565" Type="http://schemas.openxmlformats.org/officeDocument/2006/relationships/hyperlink" Target="https://doi.org/10.1093/cybsec/tyx006" TargetMode="External"/><Relationship Id="rId322" Type="http://schemas.openxmlformats.org/officeDocument/2006/relationships/hyperlink" Target="https://doi.org/10.1111/j.1462-2920.2010.02351.x" TargetMode="External"/><Relationship Id="rId564" Type="http://schemas.openxmlformats.org/officeDocument/2006/relationships/hyperlink" Target="https://doi.org/10.1016/j.quaint.2016.02.050" TargetMode="External"/><Relationship Id="rId321" Type="http://schemas.openxmlformats.org/officeDocument/2006/relationships/hyperlink" Target="https://doi.org/10.1021/acs.jpca.5b12374" TargetMode="External"/><Relationship Id="rId563" Type="http://schemas.openxmlformats.org/officeDocument/2006/relationships/hyperlink" Target="https://doi.org/10.1021/ph4000357" TargetMode="External"/><Relationship Id="rId320" Type="http://schemas.openxmlformats.org/officeDocument/2006/relationships/hyperlink" Target="https://doi.org/10.1037/a0020473" TargetMode="External"/><Relationship Id="rId562" Type="http://schemas.openxmlformats.org/officeDocument/2006/relationships/hyperlink" Target="https://doi.org/10.1016/j.nanoen.2020.105309" TargetMode="External"/><Relationship Id="rId316" Type="http://schemas.openxmlformats.org/officeDocument/2006/relationships/hyperlink" Target="https://doi.org/10.1038/srep44405" TargetMode="External"/><Relationship Id="rId558" Type="http://schemas.openxmlformats.org/officeDocument/2006/relationships/hyperlink" Target="https://en.wikipedia.org/wiki/Defence_Science_and_Technology_Agency" TargetMode="External"/><Relationship Id="rId315" Type="http://schemas.openxmlformats.org/officeDocument/2006/relationships/hyperlink" Target="https://doi.org/10.1155/2020/8899299" TargetMode="External"/><Relationship Id="rId557" Type="http://schemas.openxmlformats.org/officeDocument/2006/relationships/hyperlink" Target="https://doi.org/10.1016/j.compstruct.2020.112824" TargetMode="External"/><Relationship Id="rId799" Type="http://schemas.openxmlformats.org/officeDocument/2006/relationships/hyperlink" Target="https://doi.org/10.1016/j.bbamem.2020.183466" TargetMode="External"/><Relationship Id="rId314" Type="http://schemas.openxmlformats.org/officeDocument/2006/relationships/hyperlink" Target="https://doi.org/10.1039/d0fo02122a" TargetMode="External"/><Relationship Id="rId556" Type="http://schemas.openxmlformats.org/officeDocument/2006/relationships/hyperlink" Target="https://en.wikipedia.org/wiki/National_Natural_Science_Foundation_of_China" TargetMode="External"/><Relationship Id="rId798" Type="http://schemas.openxmlformats.org/officeDocument/2006/relationships/hyperlink" Target="https://doi.org/10.3389/fnana.2015.00147" TargetMode="External"/><Relationship Id="rId313" Type="http://schemas.openxmlformats.org/officeDocument/2006/relationships/hyperlink" Target="http://en.wikipedia.org/wiki/Japan_Society_for_the_Promotion_of_Science" TargetMode="External"/><Relationship Id="rId555" Type="http://schemas.openxmlformats.org/officeDocument/2006/relationships/hyperlink" Target="https://doi.org/10.1016/j.geotexmem.2022.06.006" TargetMode="External"/><Relationship Id="rId797" Type="http://schemas.openxmlformats.org/officeDocument/2006/relationships/hyperlink" Target="https://doi.org/10.1039/c1an15856b" TargetMode="External"/><Relationship Id="rId319" Type="http://schemas.openxmlformats.org/officeDocument/2006/relationships/hyperlink" Target="https://doi.org/10.1016/j.aquaculture.2018.10.031" TargetMode="External"/><Relationship Id="rId318" Type="http://schemas.openxmlformats.org/officeDocument/2006/relationships/hyperlink" Target="https://en.wikipedia.org/wiki/Engineering_and_Physical_Sciences_Research_Council" TargetMode="External"/><Relationship Id="rId317" Type="http://schemas.openxmlformats.org/officeDocument/2006/relationships/hyperlink" Target="https://doi.org/10.1016/j.apenergy.2016.07.081" TargetMode="External"/><Relationship Id="rId559" Type="http://schemas.openxmlformats.org/officeDocument/2006/relationships/hyperlink" Target="https://doi.org/10.1021/acs.jpcc.7b01019" TargetMode="External"/><Relationship Id="rId550" Type="http://schemas.openxmlformats.org/officeDocument/2006/relationships/hyperlink" Target="https://doi.org/10.1093/aob/mct212" TargetMode="External"/><Relationship Id="rId792" Type="http://schemas.openxmlformats.org/officeDocument/2006/relationships/hyperlink" Target="https://doi.org/10.1039/c1cs15152e" TargetMode="External"/><Relationship Id="rId791" Type="http://schemas.openxmlformats.org/officeDocument/2006/relationships/hyperlink" Target="https://doi.org/10.1016/j.applthermaleng.2020.115957" TargetMode="External"/><Relationship Id="rId790" Type="http://schemas.openxmlformats.org/officeDocument/2006/relationships/hyperlink" Target="https://en.wikipedia.org/wiki/Ministry_of_Education,_Culture,_Sports,_Science_and_Technology" TargetMode="External"/><Relationship Id="rId312" Type="http://schemas.openxmlformats.org/officeDocument/2006/relationships/hyperlink" Target="https://doi.org/10.1246/bcsj.20180181" TargetMode="External"/><Relationship Id="rId554" Type="http://schemas.openxmlformats.org/officeDocument/2006/relationships/hyperlink" Target="https://doi.org/10.1016/j.scs.2017.11.026" TargetMode="External"/><Relationship Id="rId796" Type="http://schemas.openxmlformats.org/officeDocument/2006/relationships/hyperlink" Target="http://en.wikipedia.org/wiki/Deutsche_Forschungsgemeinschaft" TargetMode="External"/><Relationship Id="rId311" Type="http://schemas.openxmlformats.org/officeDocument/2006/relationships/hyperlink" Target="https://doi.org/10.1021/ol401514s" TargetMode="External"/><Relationship Id="rId553" Type="http://schemas.openxmlformats.org/officeDocument/2006/relationships/hyperlink" Target="https://en.wikipedia.org/wiki/National_Natural_Science_Foundation_of_China" TargetMode="External"/><Relationship Id="rId795" Type="http://schemas.openxmlformats.org/officeDocument/2006/relationships/hyperlink" Target="https://doi.org/10.1021/acs.jpca.0c06494" TargetMode="External"/><Relationship Id="rId310" Type="http://schemas.openxmlformats.org/officeDocument/2006/relationships/hyperlink" Target="https://doi.org/10.1016/j.jasrep.2016.12.029" TargetMode="External"/><Relationship Id="rId552" Type="http://schemas.openxmlformats.org/officeDocument/2006/relationships/hyperlink" Target="https://doi.org/10.1016/j.cjph.2017.04.008" TargetMode="External"/><Relationship Id="rId794" Type="http://schemas.openxmlformats.org/officeDocument/2006/relationships/hyperlink" Target="https://doi.org/10.1111/j.1365-2109.2012.03163.x" TargetMode="External"/><Relationship Id="rId551" Type="http://schemas.openxmlformats.org/officeDocument/2006/relationships/hyperlink" Target="https://doi.org/10.1002/adma.202200172" TargetMode="External"/><Relationship Id="rId793" Type="http://schemas.openxmlformats.org/officeDocument/2006/relationships/hyperlink" Target="http://en.wikipedia.org/wiki/Australian_Research_Council" TargetMode="External"/><Relationship Id="rId297" Type="http://schemas.openxmlformats.org/officeDocument/2006/relationships/hyperlink" Target="https://doi.org/10.1093/biostatistics/kxac032" TargetMode="External"/><Relationship Id="rId296" Type="http://schemas.openxmlformats.org/officeDocument/2006/relationships/hyperlink" Target="https://doi.org/10.1016/j.geomorph.2018.11.010" TargetMode="External"/><Relationship Id="rId295" Type="http://schemas.openxmlformats.org/officeDocument/2006/relationships/hyperlink" Target="https://doi.org/10.3390/jcm10050965" TargetMode="External"/><Relationship Id="rId294" Type="http://schemas.openxmlformats.org/officeDocument/2006/relationships/hyperlink" Target="https://en.wikipedia.org/wiki/United_States_National_Library_of_Medicine" TargetMode="External"/><Relationship Id="rId299" Type="http://schemas.openxmlformats.org/officeDocument/2006/relationships/hyperlink" Target="https://en.wikipedia.org/wiki/National_Heart,_Lung,_and_Blood_Institute" TargetMode="External"/><Relationship Id="rId298" Type="http://schemas.openxmlformats.org/officeDocument/2006/relationships/hyperlink" Target="https://doi.org/10.1371/journal.pone.0128245" TargetMode="External"/><Relationship Id="rId271" Type="http://schemas.openxmlformats.org/officeDocument/2006/relationships/hyperlink" Target="https://doi.org/10.1007/978-3-030-34983-7_31" TargetMode="External"/><Relationship Id="rId270" Type="http://schemas.openxmlformats.org/officeDocument/2006/relationships/hyperlink" Target="https://doi.org/10.1136/bmjopen-2016-013342" TargetMode="External"/><Relationship Id="rId269" Type="http://schemas.openxmlformats.org/officeDocument/2006/relationships/hyperlink" Target="https://en.wikipedia.org/wiki/Coordena%C3%A7%C3%A3o_de_Aperfeicoamento_de_Pessoal_de_N%C3%ADvel_Superior" TargetMode="External"/><Relationship Id="rId264" Type="http://schemas.openxmlformats.org/officeDocument/2006/relationships/hyperlink" Target="http://en.wikipedia.org/wiki/Australian_Research_Council" TargetMode="External"/><Relationship Id="rId263" Type="http://schemas.openxmlformats.org/officeDocument/2006/relationships/hyperlink" Target="https://doi.org/10.1007/s00221-011-2944-0" TargetMode="External"/><Relationship Id="rId262" Type="http://schemas.openxmlformats.org/officeDocument/2006/relationships/hyperlink" Target="https://doi.org/10.3390/s21196444" TargetMode="External"/><Relationship Id="rId261" Type="http://schemas.openxmlformats.org/officeDocument/2006/relationships/hyperlink" Target="https://doi.org/10.1371/journal.pone.0210817" TargetMode="External"/><Relationship Id="rId268" Type="http://schemas.openxmlformats.org/officeDocument/2006/relationships/hyperlink" Target="https://doi.org/10.1590/1806-9282.66.7.931" TargetMode="External"/><Relationship Id="rId267" Type="http://schemas.openxmlformats.org/officeDocument/2006/relationships/hyperlink" Target="https://en.wikipedia.org/wiki/National_Center_for_Advancing_Translational_Sciences" TargetMode="External"/><Relationship Id="rId266" Type="http://schemas.openxmlformats.org/officeDocument/2006/relationships/hyperlink" Target="https://doi.org/10.5811/westjem.2020.12.49171" TargetMode="External"/><Relationship Id="rId265" Type="http://schemas.openxmlformats.org/officeDocument/2006/relationships/hyperlink" Target="https://doi.org/10.1080/07350015.2016.1191500" TargetMode="External"/><Relationship Id="rId260" Type="http://schemas.openxmlformats.org/officeDocument/2006/relationships/hyperlink" Target="https://doi.org/10.1016/j.hydromet.2015.05.013" TargetMode="External"/><Relationship Id="rId259" Type="http://schemas.openxmlformats.org/officeDocument/2006/relationships/hyperlink" Target="https://doi.org/10.1016/j.foreco.2017.06.063" TargetMode="External"/><Relationship Id="rId258" Type="http://schemas.openxmlformats.org/officeDocument/2006/relationships/hyperlink" Target="https://doi.org/10.1007/s10714-014-1764-5" TargetMode="External"/><Relationship Id="rId253" Type="http://schemas.openxmlformats.org/officeDocument/2006/relationships/hyperlink" Target="https://doi.org/10.1016/j.jhazmat.2010.11.101" TargetMode="External"/><Relationship Id="rId495" Type="http://schemas.openxmlformats.org/officeDocument/2006/relationships/hyperlink" Target="https://en.wikipedia.org/wiki/National_Natural_Science_Foundation_of_China" TargetMode="External"/><Relationship Id="rId252" Type="http://schemas.openxmlformats.org/officeDocument/2006/relationships/hyperlink" Target="https://en.wikipedia.org/wiki/Natural_Sciences_and_Engineering_Research_Council" TargetMode="External"/><Relationship Id="rId494" Type="http://schemas.openxmlformats.org/officeDocument/2006/relationships/hyperlink" Target="https://doi.org/10.1016/j.watres.2020.115841" TargetMode="External"/><Relationship Id="rId251" Type="http://schemas.openxmlformats.org/officeDocument/2006/relationships/hyperlink" Target="https://doi.org/10.1186/s12874-020-0899-1" TargetMode="External"/><Relationship Id="rId493" Type="http://schemas.openxmlformats.org/officeDocument/2006/relationships/hyperlink" Target="https://doi.org/10.1016/j.neuroimage.2012.08.023" TargetMode="External"/><Relationship Id="rId250" Type="http://schemas.openxmlformats.org/officeDocument/2006/relationships/hyperlink" Target="https://doi.org/10.1016/j.amjsurg.2017.03.024" TargetMode="External"/><Relationship Id="rId492" Type="http://schemas.openxmlformats.org/officeDocument/2006/relationships/hyperlink" Target="https://en.wikipedia.org/wiki/National_Cancer_Institute" TargetMode="External"/><Relationship Id="rId257" Type="http://schemas.openxmlformats.org/officeDocument/2006/relationships/hyperlink" Target="https://doi.org/10.3390/met11050844" TargetMode="External"/><Relationship Id="rId499" Type="http://schemas.openxmlformats.org/officeDocument/2006/relationships/hyperlink" Target="https://doi.org/10.1016/j.biortech.2016.10.080" TargetMode="External"/><Relationship Id="rId256" Type="http://schemas.openxmlformats.org/officeDocument/2006/relationships/hyperlink" Target="https://doi.org/10.1007/978-3-031-08679-3_5" TargetMode="External"/><Relationship Id="rId498" Type="http://schemas.openxmlformats.org/officeDocument/2006/relationships/hyperlink" Target="https://en.wikipedia.org/wiki/National_Natural_Science_Foundation_of_China" TargetMode="External"/><Relationship Id="rId255" Type="http://schemas.openxmlformats.org/officeDocument/2006/relationships/hyperlink" Target="https://doi.org/10.1002/qj.2603" TargetMode="External"/><Relationship Id="rId497" Type="http://schemas.openxmlformats.org/officeDocument/2006/relationships/hyperlink" Target="https://doi.org/10.1002/advs.202204689" TargetMode="External"/><Relationship Id="rId254" Type="http://schemas.openxmlformats.org/officeDocument/2006/relationships/hyperlink" Target="https://en.wikipedia.org/wiki/Ministry_of_Science_and_Technology_(Thailand)" TargetMode="External"/><Relationship Id="rId496" Type="http://schemas.openxmlformats.org/officeDocument/2006/relationships/hyperlink" Target="https://doi.org/10.1002/sec.326" TargetMode="External"/><Relationship Id="rId293" Type="http://schemas.openxmlformats.org/officeDocument/2006/relationships/hyperlink" Target="https://doi.org/10.1016/j.anai.2010.09.028" TargetMode="External"/><Relationship Id="rId292" Type="http://schemas.openxmlformats.org/officeDocument/2006/relationships/hyperlink" Target="https://en.wikipedia.org/wiki/European_Commission" TargetMode="External"/><Relationship Id="rId291" Type="http://schemas.openxmlformats.org/officeDocument/2006/relationships/hyperlink" Target="https://doi.org/10.1093/brain/awu100" TargetMode="External"/><Relationship Id="rId290" Type="http://schemas.openxmlformats.org/officeDocument/2006/relationships/hyperlink" Target="https://doi.org/10.1098/rspa.2017.0844" TargetMode="External"/><Relationship Id="rId286" Type="http://schemas.openxmlformats.org/officeDocument/2006/relationships/hyperlink" Target="https://doi.org/10.1021/cm401270b" TargetMode="External"/><Relationship Id="rId285" Type="http://schemas.openxmlformats.org/officeDocument/2006/relationships/hyperlink" Target="https://en.wikipedia.org/wiki/National_Council_for_Scientific_and_Technological_Development" TargetMode="External"/><Relationship Id="rId284" Type="http://schemas.openxmlformats.org/officeDocument/2006/relationships/hyperlink" Target="https://doi.org/10.1016/j.rsma.2020.101281" TargetMode="External"/><Relationship Id="rId283" Type="http://schemas.openxmlformats.org/officeDocument/2006/relationships/hyperlink" Target="https://doi.org/10.1039/c6nr07868k" TargetMode="External"/><Relationship Id="rId289" Type="http://schemas.openxmlformats.org/officeDocument/2006/relationships/hyperlink" Target="https://doi.org/10.1016/j.tca.2012.04.031" TargetMode="External"/><Relationship Id="rId288" Type="http://schemas.openxmlformats.org/officeDocument/2006/relationships/hyperlink" Target="https://doi.org/10.1177/1550147719888167" TargetMode="External"/><Relationship Id="rId287" Type="http://schemas.openxmlformats.org/officeDocument/2006/relationships/hyperlink" Target="https://doi.org/10.1016/j.compfluid.2017.02.009" TargetMode="External"/><Relationship Id="rId282" Type="http://schemas.openxmlformats.org/officeDocument/2006/relationships/hyperlink" Target="https://en.wikipedia.org/wiki/National_Natural_Science_Foundation_of_China" TargetMode="External"/><Relationship Id="rId281" Type="http://schemas.openxmlformats.org/officeDocument/2006/relationships/hyperlink" Target="https://doi.org/10.1007/s12274-017-1583-6" TargetMode="External"/><Relationship Id="rId280" Type="http://schemas.openxmlformats.org/officeDocument/2006/relationships/hyperlink" Target="https://en.wikipedia.org/wiki/National_Natural_Science_Foundation_of_China" TargetMode="External"/><Relationship Id="rId275" Type="http://schemas.openxmlformats.org/officeDocument/2006/relationships/hyperlink" Target="https://en.wikipedia.org/wiki/Korea_Forest_Service" TargetMode="External"/><Relationship Id="rId274" Type="http://schemas.openxmlformats.org/officeDocument/2006/relationships/hyperlink" Target="https://doi.org/10.1016/j.jiec.2012.04.012" TargetMode="External"/><Relationship Id="rId273" Type="http://schemas.openxmlformats.org/officeDocument/2006/relationships/hyperlink" Target="https://en.wikipedia.org/wiki/National_Natural_Science_Foundation_of_China" TargetMode="External"/><Relationship Id="rId272" Type="http://schemas.openxmlformats.org/officeDocument/2006/relationships/hyperlink" Target="https://doi.org/10.1155/2018/8036540" TargetMode="External"/><Relationship Id="rId279" Type="http://schemas.openxmlformats.org/officeDocument/2006/relationships/hyperlink" Target="https://doi.org/10.1049/pel2.12075" TargetMode="External"/><Relationship Id="rId278" Type="http://schemas.openxmlformats.org/officeDocument/2006/relationships/hyperlink" Target="https://en.wikipedia.org/wiki/National_Natural_Science_Foundation_of_China" TargetMode="External"/><Relationship Id="rId277" Type="http://schemas.openxmlformats.org/officeDocument/2006/relationships/hyperlink" Target="https://doi.org/10.1016/j.fsi.2019.09.022" TargetMode="External"/><Relationship Id="rId276" Type="http://schemas.openxmlformats.org/officeDocument/2006/relationships/hyperlink" Target="https://doi.org/10.1007/s10681-012-0635-y" TargetMode="External"/><Relationship Id="rId907" Type="http://schemas.openxmlformats.org/officeDocument/2006/relationships/hyperlink" Target="https://doi.org/10.1016/j.cja.2020.12.024" TargetMode="External"/><Relationship Id="rId906" Type="http://schemas.openxmlformats.org/officeDocument/2006/relationships/hyperlink" Target="https://en.wikipedia.org/wiki/Coordena%C3%A7%C3%A3o_de_Aperfeicoamento_de_Pessoal_de_N%C3%ADvel_Superior" TargetMode="External"/><Relationship Id="rId905" Type="http://schemas.openxmlformats.org/officeDocument/2006/relationships/hyperlink" Target="https://doi.org/10.1007/s11011-022-00953-2" TargetMode="External"/><Relationship Id="rId904" Type="http://schemas.openxmlformats.org/officeDocument/2006/relationships/hyperlink" Target="https://doi.org/10.1039/c5ob01885d" TargetMode="External"/><Relationship Id="rId909" Type="http://schemas.openxmlformats.org/officeDocument/2006/relationships/hyperlink" Target="https://doi.org/10.1177/09544089211004724" TargetMode="External"/><Relationship Id="rId908" Type="http://schemas.openxmlformats.org/officeDocument/2006/relationships/hyperlink" Target="https://en.wikipedia.org/wiki/National_Natural_Science_Foundation_of_China" TargetMode="External"/><Relationship Id="rId903" Type="http://schemas.openxmlformats.org/officeDocument/2006/relationships/hyperlink" Target="https://doi.org/10.1177/1747021817739257" TargetMode="External"/><Relationship Id="rId902" Type="http://schemas.openxmlformats.org/officeDocument/2006/relationships/hyperlink" Target="https://doi.org/10.1007/s11760-017-1090-y" TargetMode="External"/><Relationship Id="rId901" Type="http://schemas.openxmlformats.org/officeDocument/2006/relationships/hyperlink" Target="https://en.wikipedia.org/wiki/Coordena%C3%A7%C3%A3o_de_Aperfeicoamento_de_Pessoal_de_N%C3%ADvel_Superior" TargetMode="External"/><Relationship Id="rId900" Type="http://schemas.openxmlformats.org/officeDocument/2006/relationships/hyperlink" Target="https://doi.org/10.1007/s12600-022-01005-2" TargetMode="External"/><Relationship Id="rId929" Type="http://schemas.openxmlformats.org/officeDocument/2006/relationships/hyperlink" Target="https://doi.org/10.1002/jmri.22839" TargetMode="External"/><Relationship Id="rId928" Type="http://schemas.openxmlformats.org/officeDocument/2006/relationships/hyperlink" Target="https://doi.org/10.1007/978-3-030-20912-4_48" TargetMode="External"/><Relationship Id="rId927" Type="http://schemas.openxmlformats.org/officeDocument/2006/relationships/hyperlink" Target="https://doi.org/10.1038/s43017-021-00223-2" TargetMode="External"/><Relationship Id="rId926" Type="http://schemas.openxmlformats.org/officeDocument/2006/relationships/hyperlink" Target="https://en.wikipedia.org/wiki/Natural_Sciences_and_Engineering_Research_Council" TargetMode="External"/><Relationship Id="rId921" Type="http://schemas.openxmlformats.org/officeDocument/2006/relationships/hyperlink" Target="https://doi.org/10.1007/978-3-030-29207-2_12" TargetMode="External"/><Relationship Id="rId920" Type="http://schemas.openxmlformats.org/officeDocument/2006/relationships/hyperlink" Target="https://doi.org/10.3390/ijms21020397" TargetMode="External"/><Relationship Id="rId925" Type="http://schemas.openxmlformats.org/officeDocument/2006/relationships/hyperlink" Target="https://doi.org/10.1016/j.aquabot.2012.08.006" TargetMode="External"/><Relationship Id="rId924" Type="http://schemas.openxmlformats.org/officeDocument/2006/relationships/hyperlink" Target="https://doi.org/10.1111/j.1365-3164.2010.00935.x" TargetMode="External"/><Relationship Id="rId923" Type="http://schemas.openxmlformats.org/officeDocument/2006/relationships/hyperlink" Target="https://doi.org/10.1002/mop.29109" TargetMode="External"/><Relationship Id="rId922" Type="http://schemas.openxmlformats.org/officeDocument/2006/relationships/hyperlink" Target="https://doi.org/10.1016/j.oregeorev.2020.103943" TargetMode="External"/><Relationship Id="rId918" Type="http://schemas.openxmlformats.org/officeDocument/2006/relationships/hyperlink" Target="https://doi.org/10.1093/cdj/bsv051" TargetMode="External"/><Relationship Id="rId917" Type="http://schemas.openxmlformats.org/officeDocument/2006/relationships/hyperlink" Target="https://doi.org/10.1016/j.matlet.2021.129592" TargetMode="External"/><Relationship Id="rId916" Type="http://schemas.openxmlformats.org/officeDocument/2006/relationships/hyperlink" Target="https://doi.org/10.1038/srep07828" TargetMode="External"/><Relationship Id="rId915" Type="http://schemas.openxmlformats.org/officeDocument/2006/relationships/hyperlink" Target="https://en.wikipedia.org/wiki/Engineering_and_Physical_Sciences_Research_Council" TargetMode="External"/><Relationship Id="rId919" Type="http://schemas.openxmlformats.org/officeDocument/2006/relationships/hyperlink" Target="https://doi.org/10.1371/journal.pone.0238080" TargetMode="External"/><Relationship Id="rId910" Type="http://schemas.openxmlformats.org/officeDocument/2006/relationships/hyperlink" Target="https://doi.org/10.1088/1367-2630/aae172" TargetMode="External"/><Relationship Id="rId914" Type="http://schemas.openxmlformats.org/officeDocument/2006/relationships/hyperlink" Target="https://doi.org/10.1016/j.cej.2014.01.071" TargetMode="External"/><Relationship Id="rId913" Type="http://schemas.openxmlformats.org/officeDocument/2006/relationships/hyperlink" Target="https://doi.org/10.1111/j.1365-2648.2010.05569.x" TargetMode="External"/><Relationship Id="rId912" Type="http://schemas.openxmlformats.org/officeDocument/2006/relationships/hyperlink" Target="https://en.wikipedia.org/wiki/National_Science_and_Technology_Development_Agency" TargetMode="External"/><Relationship Id="rId911" Type="http://schemas.openxmlformats.org/officeDocument/2006/relationships/hyperlink" Target="https://doi.org/10.1016/j.aca.2012.10.054" TargetMode="External"/><Relationship Id="rId629" Type="http://schemas.openxmlformats.org/officeDocument/2006/relationships/hyperlink" Target="https://doi.org/10.1080/13658816.2021.1942476" TargetMode="External"/><Relationship Id="rId624" Type="http://schemas.openxmlformats.org/officeDocument/2006/relationships/hyperlink" Target="https://doi.org/10.1785/0120150133" TargetMode="External"/><Relationship Id="rId866" Type="http://schemas.openxmlformats.org/officeDocument/2006/relationships/hyperlink" Target="https://doi.org/10.1038/srep05757" TargetMode="External"/><Relationship Id="rId623" Type="http://schemas.openxmlformats.org/officeDocument/2006/relationships/hyperlink" Target="https://en.wikipedia.org/wiki/National_Natural_Science_Foundation_of_China" TargetMode="External"/><Relationship Id="rId865" Type="http://schemas.openxmlformats.org/officeDocument/2006/relationships/hyperlink" Target="https://doi.org/10.1016/j.jtice.2011.02.006" TargetMode="External"/><Relationship Id="rId622" Type="http://schemas.openxmlformats.org/officeDocument/2006/relationships/hyperlink" Target="https://doi.org/10.1016/j.placenta.2010.12.021" TargetMode="External"/><Relationship Id="rId864" Type="http://schemas.openxmlformats.org/officeDocument/2006/relationships/hyperlink" Target="https://doi.org/10.1016/j.anbehav.2011.02.016" TargetMode="External"/><Relationship Id="rId621" Type="http://schemas.openxmlformats.org/officeDocument/2006/relationships/hyperlink" Target="https://en.wikipedia.org/wiki/Rufford_Foundation" TargetMode="External"/><Relationship Id="rId863" Type="http://schemas.openxmlformats.org/officeDocument/2006/relationships/hyperlink" Target="https://doi.org/10.1021/acsomega.7b00753" TargetMode="External"/><Relationship Id="rId628" Type="http://schemas.openxmlformats.org/officeDocument/2006/relationships/hyperlink" Target="https://doi.org/10.1039/c3ta00768e" TargetMode="External"/><Relationship Id="rId627" Type="http://schemas.openxmlformats.org/officeDocument/2006/relationships/hyperlink" Target="https://doi.org/10.1186/s13287-020-1564-7" TargetMode="External"/><Relationship Id="rId869" Type="http://schemas.openxmlformats.org/officeDocument/2006/relationships/hyperlink" Target="https://doi.org/10.1016/j.gca.2018.08.020" TargetMode="External"/><Relationship Id="rId626" Type="http://schemas.openxmlformats.org/officeDocument/2006/relationships/hyperlink" Target="http://en.wikipedia.org/wiki/German_Primate_Center" TargetMode="External"/><Relationship Id="rId868" Type="http://schemas.openxmlformats.org/officeDocument/2006/relationships/hyperlink" Target="https://en.wikipedia.org/wiki/Ministry_of_Higher_Education_and_Research" TargetMode="External"/><Relationship Id="rId625" Type="http://schemas.openxmlformats.org/officeDocument/2006/relationships/hyperlink" Target="https://doi.org/10.1016/j.ympev.2011.12.008" TargetMode="External"/><Relationship Id="rId867" Type="http://schemas.openxmlformats.org/officeDocument/2006/relationships/hyperlink" Target="https://doi.org/10.1039/c7cp00983f" TargetMode="External"/><Relationship Id="rId620" Type="http://schemas.openxmlformats.org/officeDocument/2006/relationships/hyperlink" Target="https://doi.org/10.2989/00306525.2017.1321049" TargetMode="External"/><Relationship Id="rId862" Type="http://schemas.openxmlformats.org/officeDocument/2006/relationships/hyperlink" Target="https://doi.org/10.1007/s00222-020-01023-z" TargetMode="External"/><Relationship Id="rId861" Type="http://schemas.openxmlformats.org/officeDocument/2006/relationships/hyperlink" Target="https://doi.org/10.3390/nu13010140" TargetMode="External"/><Relationship Id="rId860" Type="http://schemas.openxmlformats.org/officeDocument/2006/relationships/hyperlink" Target="https://doi.org/10.1111/pbr.12860" TargetMode="External"/><Relationship Id="rId619" Type="http://schemas.openxmlformats.org/officeDocument/2006/relationships/hyperlink" Target="https://doi.org/10.1080/02626667.2018.1473580" TargetMode="External"/><Relationship Id="rId618" Type="http://schemas.openxmlformats.org/officeDocument/2006/relationships/hyperlink" Target="https://doi.org/10.1007/s00604-022-05407-1" TargetMode="External"/><Relationship Id="rId613" Type="http://schemas.openxmlformats.org/officeDocument/2006/relationships/hyperlink" Target="https://doi.org/10.1038/s41598-019-38707-3" TargetMode="External"/><Relationship Id="rId855" Type="http://schemas.openxmlformats.org/officeDocument/2006/relationships/hyperlink" Target="https://doi.org/10.1021/acsami.1c02314" TargetMode="External"/><Relationship Id="rId612" Type="http://schemas.openxmlformats.org/officeDocument/2006/relationships/hyperlink" Target="https://en.wikipedia.org/wiki/Ajinomoto" TargetMode="External"/><Relationship Id="rId854" Type="http://schemas.openxmlformats.org/officeDocument/2006/relationships/hyperlink" Target="https://doi.org/10.1007/s11274-019-2662-5" TargetMode="External"/><Relationship Id="rId611" Type="http://schemas.openxmlformats.org/officeDocument/2006/relationships/hyperlink" Target="https://doi.org/10.1038/s41598-019-55006-z" TargetMode="External"/><Relationship Id="rId853" Type="http://schemas.openxmlformats.org/officeDocument/2006/relationships/hyperlink" Target="https://en.wikipedia.org/wiki/National_Natural_Science_Foundation_of_China" TargetMode="External"/><Relationship Id="rId610" Type="http://schemas.openxmlformats.org/officeDocument/2006/relationships/hyperlink" Target="https://en.wikipedia.org/wiki/National_Natural_Science_Foundation_of_China" TargetMode="External"/><Relationship Id="rId852" Type="http://schemas.openxmlformats.org/officeDocument/2006/relationships/hyperlink" Target="https://doi.org/10.1038/s41598-017-01686-4" TargetMode="External"/><Relationship Id="rId617" Type="http://schemas.openxmlformats.org/officeDocument/2006/relationships/hyperlink" Target="http://en.wikipedia.org/wiki/Deutsche_Forschungsgemeinschaft" TargetMode="External"/><Relationship Id="rId859" Type="http://schemas.openxmlformats.org/officeDocument/2006/relationships/hyperlink" Target="https://en.wikipedia.org/wiki/National_Natural_Science_Foundation_of_China" TargetMode="External"/><Relationship Id="rId616" Type="http://schemas.openxmlformats.org/officeDocument/2006/relationships/hyperlink" Target="https://doi.org/10.1016/j.fuel.2016.09.076" TargetMode="External"/><Relationship Id="rId858" Type="http://schemas.openxmlformats.org/officeDocument/2006/relationships/hyperlink" Target="https://doi.org/10.1016/j.ejso.2018.01.240" TargetMode="External"/><Relationship Id="rId615" Type="http://schemas.openxmlformats.org/officeDocument/2006/relationships/hyperlink" Target="https://doi.org/10.1155/2019/7581061" TargetMode="External"/><Relationship Id="rId857" Type="http://schemas.openxmlformats.org/officeDocument/2006/relationships/hyperlink" Target="https://doi.org/10.1534/genetics.111.129569" TargetMode="External"/><Relationship Id="rId614" Type="http://schemas.openxmlformats.org/officeDocument/2006/relationships/hyperlink" Target="https://doi.org/10.3390/toxins7030791" TargetMode="External"/><Relationship Id="rId856" Type="http://schemas.openxmlformats.org/officeDocument/2006/relationships/hyperlink" Target="https://doi.org/10.3390/cancers14133250" TargetMode="External"/><Relationship Id="rId851" Type="http://schemas.openxmlformats.org/officeDocument/2006/relationships/hyperlink" Target="https://en.wikipedia.org/wiki/National_Natural_Science_Foundation_of_China" TargetMode="External"/><Relationship Id="rId850" Type="http://schemas.openxmlformats.org/officeDocument/2006/relationships/hyperlink" Target="https://doi.org/10.3390/s22041532" TargetMode="External"/><Relationship Id="rId409" Type="http://schemas.openxmlformats.org/officeDocument/2006/relationships/hyperlink" Target="https://doi.org/10.1080/14783363.2017.1309128" TargetMode="External"/><Relationship Id="rId404" Type="http://schemas.openxmlformats.org/officeDocument/2006/relationships/hyperlink" Target="https://en.wikipedia.org/wiki/National_Natural_Science_Foundation_of_China" TargetMode="External"/><Relationship Id="rId646" Type="http://schemas.openxmlformats.org/officeDocument/2006/relationships/hyperlink" Target="https://doi.org/10.1080/00207721.2014.983209" TargetMode="External"/><Relationship Id="rId888" Type="http://schemas.openxmlformats.org/officeDocument/2006/relationships/hyperlink" Target="https://doi.org/10.1111/ajo.13316" TargetMode="External"/><Relationship Id="rId403" Type="http://schemas.openxmlformats.org/officeDocument/2006/relationships/hyperlink" Target="https://doi.org/10.1039/d0nr09068a" TargetMode="External"/><Relationship Id="rId645" Type="http://schemas.openxmlformats.org/officeDocument/2006/relationships/hyperlink" Target="https://doi.org/10.3390/ijms20051048" TargetMode="External"/><Relationship Id="rId887" Type="http://schemas.openxmlformats.org/officeDocument/2006/relationships/hyperlink" Target="https://doi.org/10.1039/c2sc21458j" TargetMode="External"/><Relationship Id="rId402" Type="http://schemas.openxmlformats.org/officeDocument/2006/relationships/hyperlink" Target="https://doi.org/10.1371/journal.pone.0135063" TargetMode="External"/><Relationship Id="rId644" Type="http://schemas.openxmlformats.org/officeDocument/2006/relationships/hyperlink" Target="https://doi.org/10.1371/journal.pone.0060800" TargetMode="External"/><Relationship Id="rId886" Type="http://schemas.openxmlformats.org/officeDocument/2006/relationships/hyperlink" Target="http://en.wikipedia.org/wiki/Canadian_Institutes_of_Health_Research" TargetMode="External"/><Relationship Id="rId401" Type="http://schemas.openxmlformats.org/officeDocument/2006/relationships/hyperlink" Target="http://en.wikipedia.org/wiki/Deutsche_Forschungsgemeinschaft" TargetMode="External"/><Relationship Id="rId643" Type="http://schemas.openxmlformats.org/officeDocument/2006/relationships/hyperlink" Target="https://doi.org/10.5194/essd-12-87-2020" TargetMode="External"/><Relationship Id="rId885" Type="http://schemas.openxmlformats.org/officeDocument/2006/relationships/hyperlink" Target="https://doi.org/10.1152/japplphysiol.01085.2009" TargetMode="External"/><Relationship Id="rId408" Type="http://schemas.openxmlformats.org/officeDocument/2006/relationships/hyperlink" Target="https://en.wikipedia.org/wiki/Federal_Ministry_of_Education_and_Research_(Germany)" TargetMode="External"/><Relationship Id="rId407" Type="http://schemas.openxmlformats.org/officeDocument/2006/relationships/hyperlink" Target="https://doi.org/10.1007/s10764-021-00200-y" TargetMode="External"/><Relationship Id="rId649" Type="http://schemas.openxmlformats.org/officeDocument/2006/relationships/hyperlink" Target="https://doi.org/10.3390/ijms20133250" TargetMode="External"/><Relationship Id="rId406" Type="http://schemas.openxmlformats.org/officeDocument/2006/relationships/hyperlink" Target="https://doi.org/10.1016/j.snb.2017.09.082" TargetMode="External"/><Relationship Id="rId648" Type="http://schemas.openxmlformats.org/officeDocument/2006/relationships/hyperlink" Target="https://doi.org/10.1007/s00410-016-1286-0" TargetMode="External"/><Relationship Id="rId405" Type="http://schemas.openxmlformats.org/officeDocument/2006/relationships/hyperlink" Target="https://doi.org/10.1016/j.jinorgbio.2012.09.019" TargetMode="External"/><Relationship Id="rId647" Type="http://schemas.openxmlformats.org/officeDocument/2006/relationships/hyperlink" Target="https://en.wikipedia.org/wiki/Ministry_of_Science_and_Technology_(Taiwan)" TargetMode="External"/><Relationship Id="rId889" Type="http://schemas.openxmlformats.org/officeDocument/2006/relationships/hyperlink" Target="https://doi.org/10.1007/s10876-018-1442-y" TargetMode="External"/><Relationship Id="rId880" Type="http://schemas.openxmlformats.org/officeDocument/2006/relationships/hyperlink" Target="https://doi.org/10.1016/j.asr.2021.04.049" TargetMode="External"/><Relationship Id="rId400" Type="http://schemas.openxmlformats.org/officeDocument/2006/relationships/hyperlink" Target="https://doi.org/10.1111/brv.12098" TargetMode="External"/><Relationship Id="rId642" Type="http://schemas.openxmlformats.org/officeDocument/2006/relationships/hyperlink" Target="https://doi.org/10.1111/ijpo.12852" TargetMode="External"/><Relationship Id="rId884" Type="http://schemas.openxmlformats.org/officeDocument/2006/relationships/hyperlink" Target="https://doi.org/10.1002/ceat.201400681" TargetMode="External"/><Relationship Id="rId641" Type="http://schemas.openxmlformats.org/officeDocument/2006/relationships/hyperlink" Target="https://doi.org/10.1371/journal.pone.0074232" TargetMode="External"/><Relationship Id="rId883" Type="http://schemas.openxmlformats.org/officeDocument/2006/relationships/hyperlink" Target="https://doi.org/10.1148/radiol.2015142059" TargetMode="External"/><Relationship Id="rId640" Type="http://schemas.openxmlformats.org/officeDocument/2006/relationships/hyperlink" Target="https://doi.org/10.1016/j.jcrysgro.2018.03.020" TargetMode="External"/><Relationship Id="rId882" Type="http://schemas.openxmlformats.org/officeDocument/2006/relationships/hyperlink" Target="https://doi.org/10.1016/j.foodchem.2017.04.107" TargetMode="External"/><Relationship Id="rId881" Type="http://schemas.openxmlformats.org/officeDocument/2006/relationships/hyperlink" Target="https://doi.org/10.1007/s10514-020-09926-9" TargetMode="External"/><Relationship Id="rId635" Type="http://schemas.openxmlformats.org/officeDocument/2006/relationships/hyperlink" Target="https://doi.org/10.1111/psyp.12350" TargetMode="External"/><Relationship Id="rId877" Type="http://schemas.openxmlformats.org/officeDocument/2006/relationships/hyperlink" Target="https://doi.org/10.1111/acel.12639" TargetMode="External"/><Relationship Id="rId634" Type="http://schemas.openxmlformats.org/officeDocument/2006/relationships/hyperlink" Target="https://doi.org/10.1039/c5sc02435h" TargetMode="External"/><Relationship Id="rId876" Type="http://schemas.openxmlformats.org/officeDocument/2006/relationships/hyperlink" Target="https://doi.org/10.1371/journal.pcbi.1003753" TargetMode="External"/><Relationship Id="rId633" Type="http://schemas.openxmlformats.org/officeDocument/2006/relationships/hyperlink" Target="https://doi.org/10.1016/j.expneurol.2016.07.021" TargetMode="External"/><Relationship Id="rId875" Type="http://schemas.openxmlformats.org/officeDocument/2006/relationships/hyperlink" Target="https://doi.org/10.1016/j.ymssp.2021.108164" TargetMode="External"/><Relationship Id="rId632" Type="http://schemas.openxmlformats.org/officeDocument/2006/relationships/hyperlink" Target="https://doi.org/10.1002/mas.21484" TargetMode="External"/><Relationship Id="rId874" Type="http://schemas.openxmlformats.org/officeDocument/2006/relationships/hyperlink" Target="https://doi.org/10.2140/jomms.2017.12.219" TargetMode="External"/><Relationship Id="rId639" Type="http://schemas.openxmlformats.org/officeDocument/2006/relationships/hyperlink" Target="https://doi.org/10.1088/0953-8984/25/19/195301" TargetMode="External"/><Relationship Id="rId638" Type="http://schemas.openxmlformats.org/officeDocument/2006/relationships/hyperlink" Target="https://doi.org/10.1016/j.partic.2016.01.010" TargetMode="External"/><Relationship Id="rId637" Type="http://schemas.openxmlformats.org/officeDocument/2006/relationships/hyperlink" Target="https://doi.org/10.1089/chi.2014.0004" TargetMode="External"/><Relationship Id="rId879" Type="http://schemas.openxmlformats.org/officeDocument/2006/relationships/hyperlink" Target="https://doi.org/10.2135/cropsci2011.06.0335" TargetMode="External"/><Relationship Id="rId636" Type="http://schemas.openxmlformats.org/officeDocument/2006/relationships/hyperlink" Target="https://doi.org/10.1021/acs.langmuir.6b01536" TargetMode="External"/><Relationship Id="rId878" Type="http://schemas.openxmlformats.org/officeDocument/2006/relationships/hyperlink" Target="https://en.wikipedia.org/wiki/National_Research_Foundation_of_Korea" TargetMode="External"/><Relationship Id="rId631" Type="http://schemas.openxmlformats.org/officeDocument/2006/relationships/hyperlink" Target="https://en.wikipedia.org/wiki/National_Natural_Science_Foundation_of_China" TargetMode="External"/><Relationship Id="rId873" Type="http://schemas.openxmlformats.org/officeDocument/2006/relationships/hyperlink" Target="https://en.wikipedia.org/wiki/National_Natural_Science_Foundation_of_China" TargetMode="External"/><Relationship Id="rId630" Type="http://schemas.openxmlformats.org/officeDocument/2006/relationships/hyperlink" Target="https://doi.org/10.1007/s11760-022-02256-6" TargetMode="External"/><Relationship Id="rId872" Type="http://schemas.openxmlformats.org/officeDocument/2006/relationships/hyperlink" Target="https://doi.org/10.1155/2020/5947802" TargetMode="External"/><Relationship Id="rId871" Type="http://schemas.openxmlformats.org/officeDocument/2006/relationships/hyperlink" Target="https://doi.org/10.1080/02723638.2020.1785202" TargetMode="External"/><Relationship Id="rId870" Type="http://schemas.openxmlformats.org/officeDocument/2006/relationships/hyperlink" Target="http://en.wikipedia.org/wiki/Japan_Society_for_the_Promotion_of_Science" TargetMode="External"/><Relationship Id="rId829" Type="http://schemas.openxmlformats.org/officeDocument/2006/relationships/hyperlink" Target="https://en.wikipedia.org/wiki/European_Commission" TargetMode="External"/><Relationship Id="rId828" Type="http://schemas.openxmlformats.org/officeDocument/2006/relationships/hyperlink" Target="https://doi.org/10.3390/foods10122973" TargetMode="External"/><Relationship Id="rId827" Type="http://schemas.openxmlformats.org/officeDocument/2006/relationships/hyperlink" Target="https://en.wikipedia.org/wiki/Natural_Sciences_and_Engineering_Research_Council" TargetMode="External"/><Relationship Id="rId822" Type="http://schemas.openxmlformats.org/officeDocument/2006/relationships/hyperlink" Target="https://doi.org/10.1007/s11107-017-0745-5" TargetMode="External"/><Relationship Id="rId821" Type="http://schemas.openxmlformats.org/officeDocument/2006/relationships/hyperlink" Target="https://en.wikipedia.org/wiki/Ministry_of_Science_and_Technology_(Taiwan)" TargetMode="External"/><Relationship Id="rId820" Type="http://schemas.openxmlformats.org/officeDocument/2006/relationships/hyperlink" Target="https://doi.org/10.1016/j.csite.2022.101916" TargetMode="External"/><Relationship Id="rId826" Type="http://schemas.openxmlformats.org/officeDocument/2006/relationships/hyperlink" Target="https://doi.org/10.1177/2043808719838937" TargetMode="External"/><Relationship Id="rId825" Type="http://schemas.openxmlformats.org/officeDocument/2006/relationships/hyperlink" Target="https://doi.org/10.1016/j.apsusc.2014.12.020" TargetMode="External"/><Relationship Id="rId824" Type="http://schemas.openxmlformats.org/officeDocument/2006/relationships/hyperlink" Target="https://doi.org/10.1002/aenm.201803175" TargetMode="External"/><Relationship Id="rId823" Type="http://schemas.openxmlformats.org/officeDocument/2006/relationships/hyperlink" Target="https://doi.org/10.1016/j.powtec.2018.09.014" TargetMode="External"/><Relationship Id="rId819" Type="http://schemas.openxmlformats.org/officeDocument/2006/relationships/hyperlink" Target="http://en.wikipedia.org/wiki/Japan_Society_for_the_Promotion_of_Science" TargetMode="External"/><Relationship Id="rId818" Type="http://schemas.openxmlformats.org/officeDocument/2006/relationships/hyperlink" Target="https://doi.org/10.1108/17440081111165875" TargetMode="External"/><Relationship Id="rId817" Type="http://schemas.openxmlformats.org/officeDocument/2006/relationships/hyperlink" Target="https://doi.org/10.1002/pros.23887" TargetMode="External"/><Relationship Id="rId816" Type="http://schemas.openxmlformats.org/officeDocument/2006/relationships/hyperlink" Target="https://en.wikipedia.org/wiki/World_Anti-Doping_Agency" TargetMode="External"/><Relationship Id="rId811" Type="http://schemas.openxmlformats.org/officeDocument/2006/relationships/hyperlink" Target="https://doi.org/10.3389/fimmu.2021.798811" TargetMode="External"/><Relationship Id="rId810" Type="http://schemas.openxmlformats.org/officeDocument/2006/relationships/hyperlink" Target="https://doi.org/10.1016/j.matlet.2017.12.081" TargetMode="External"/><Relationship Id="rId815" Type="http://schemas.openxmlformats.org/officeDocument/2006/relationships/hyperlink" Target="https://doi.org/10.3389/fmolb.2022.827638" TargetMode="External"/><Relationship Id="rId814" Type="http://schemas.openxmlformats.org/officeDocument/2006/relationships/hyperlink" Target="https://doi.org/10.3390/ijms19113686" TargetMode="External"/><Relationship Id="rId813" Type="http://schemas.openxmlformats.org/officeDocument/2006/relationships/hyperlink" Target="https://doi.org/10.1016/j.ijhydene.2014.12.116" TargetMode="External"/><Relationship Id="rId812" Type="http://schemas.openxmlformats.org/officeDocument/2006/relationships/hyperlink" Target="https://en.wikipedia.org/wiki/Fresenius_(company)" TargetMode="External"/><Relationship Id="rId609" Type="http://schemas.openxmlformats.org/officeDocument/2006/relationships/hyperlink" Target="https://doi.org/10.1021/acsami.0c14802" TargetMode="External"/><Relationship Id="rId608" Type="http://schemas.openxmlformats.org/officeDocument/2006/relationships/hyperlink" Target="https://doi.org/10.1016/j.desal.2021.115445" TargetMode="External"/><Relationship Id="rId607" Type="http://schemas.openxmlformats.org/officeDocument/2006/relationships/hyperlink" Target="https://doi.org/10.1016/j.ijpharm.2015.11.038" TargetMode="External"/><Relationship Id="rId849" Type="http://schemas.openxmlformats.org/officeDocument/2006/relationships/hyperlink" Target="https://doi.org/10.1016/j.amc.2016.07.038" TargetMode="External"/><Relationship Id="rId602" Type="http://schemas.openxmlformats.org/officeDocument/2006/relationships/hyperlink" Target="https://doi.org/10.1049/cit2.12090" TargetMode="External"/><Relationship Id="rId844" Type="http://schemas.openxmlformats.org/officeDocument/2006/relationships/hyperlink" Target="https://doi.org/10.1021/jp400691a" TargetMode="External"/><Relationship Id="rId601" Type="http://schemas.openxmlformats.org/officeDocument/2006/relationships/hyperlink" Target="https://doi.org/10.1038/s41574-021-00554-6" TargetMode="External"/><Relationship Id="rId843" Type="http://schemas.openxmlformats.org/officeDocument/2006/relationships/hyperlink" Target="https://en.wikipedia.org/wiki/Department_of_Science_and_Technology_(India)" TargetMode="External"/><Relationship Id="rId600" Type="http://schemas.openxmlformats.org/officeDocument/2006/relationships/hyperlink" Target="https://doi.org/10.1016/j.jct.2014.04.026" TargetMode="External"/><Relationship Id="rId842" Type="http://schemas.openxmlformats.org/officeDocument/2006/relationships/hyperlink" Target="https://doi.org/10.1177/1534735413503551" TargetMode="External"/><Relationship Id="rId841" Type="http://schemas.openxmlformats.org/officeDocument/2006/relationships/hyperlink" Target="https://en.wikipedia.org/wiki/National_Natural_Science_Foundation_of_China" TargetMode="External"/><Relationship Id="rId606" Type="http://schemas.openxmlformats.org/officeDocument/2006/relationships/hyperlink" Target="https://en.wikipedia.org/wiki/Toyota" TargetMode="External"/><Relationship Id="rId848" Type="http://schemas.openxmlformats.org/officeDocument/2006/relationships/hyperlink" Target="https://en.wikipedia.org/wiki/National_Institute_of_Food_and_Agriculture" TargetMode="External"/><Relationship Id="rId605" Type="http://schemas.openxmlformats.org/officeDocument/2006/relationships/hyperlink" Target="https://doi.org/10.1016/j.jiec.2017.03.026" TargetMode="External"/><Relationship Id="rId847" Type="http://schemas.openxmlformats.org/officeDocument/2006/relationships/hyperlink" Target="https://doi.org/10.1016/j.forpol.2021.102570" TargetMode="External"/><Relationship Id="rId604" Type="http://schemas.openxmlformats.org/officeDocument/2006/relationships/hyperlink" Target="https://doi.org/10.1038/nature18273" TargetMode="External"/><Relationship Id="rId846" Type="http://schemas.openxmlformats.org/officeDocument/2006/relationships/hyperlink" Target="https://en.wikipedia.org/wiki/Ministry_of_Health_(Spain)" TargetMode="External"/><Relationship Id="rId603" Type="http://schemas.openxmlformats.org/officeDocument/2006/relationships/hyperlink" Target="https://doi.org/10.1038/s41598-021-82007-8" TargetMode="External"/><Relationship Id="rId845" Type="http://schemas.openxmlformats.org/officeDocument/2006/relationships/hyperlink" Target="https://doi.org/10.1111/j.1600-0625.2012.01441.x" TargetMode="External"/><Relationship Id="rId840" Type="http://schemas.openxmlformats.org/officeDocument/2006/relationships/hyperlink" Target="https://doi.org/10.1007/s11571-016-9418-9" TargetMode="External"/><Relationship Id="rId839" Type="http://schemas.openxmlformats.org/officeDocument/2006/relationships/hyperlink" Target="https://en.wikipedia.org/wiki/Korea_Institute_of_Science_and_Technology" TargetMode="External"/><Relationship Id="rId838" Type="http://schemas.openxmlformats.org/officeDocument/2006/relationships/hyperlink" Target="https://doi.org/10.1039/d1an00118c" TargetMode="External"/><Relationship Id="rId833" Type="http://schemas.openxmlformats.org/officeDocument/2006/relationships/hyperlink" Target="https://doi.org/10.1038/nature14254" TargetMode="External"/><Relationship Id="rId832" Type="http://schemas.openxmlformats.org/officeDocument/2006/relationships/hyperlink" Target="https://doi.org/10.1007/s10681-014-1189-y" TargetMode="External"/><Relationship Id="rId831" Type="http://schemas.openxmlformats.org/officeDocument/2006/relationships/hyperlink" Target="http://en.wikipedia.org/wiki/Natural_Environment_Research_Council" TargetMode="External"/><Relationship Id="rId830" Type="http://schemas.openxmlformats.org/officeDocument/2006/relationships/hyperlink" Target="https://doi.org/10.1111/icad.12447" TargetMode="External"/><Relationship Id="rId837" Type="http://schemas.openxmlformats.org/officeDocument/2006/relationships/hyperlink" Target="https://doi.org/10.1021/acs.jpcc.8b11777" TargetMode="External"/><Relationship Id="rId836" Type="http://schemas.openxmlformats.org/officeDocument/2006/relationships/hyperlink" Target="https://doi.org/10.3390/s21134309" TargetMode="External"/><Relationship Id="rId835" Type="http://schemas.openxmlformats.org/officeDocument/2006/relationships/hyperlink" Target="https://doi.org/10.1002/jhet.309" TargetMode="External"/><Relationship Id="rId834" Type="http://schemas.openxmlformats.org/officeDocument/2006/relationships/hyperlink" Target="http://en.wikipedia.org/wiki/Japan_Society_for_the_Promotion_of_Science" TargetMode="External"/><Relationship Id="rId228" Type="http://schemas.openxmlformats.org/officeDocument/2006/relationships/hyperlink" Target="https://doi.org/10.1007/s42114-018-0059-9" TargetMode="External"/><Relationship Id="rId227" Type="http://schemas.openxmlformats.org/officeDocument/2006/relationships/hyperlink" Target="https://doi.org/10.1007/s00268-016-3477-2" TargetMode="External"/><Relationship Id="rId469" Type="http://schemas.openxmlformats.org/officeDocument/2006/relationships/hyperlink" Target="https://doi.org/10.1038/srep21166" TargetMode="External"/><Relationship Id="rId226" Type="http://schemas.openxmlformats.org/officeDocument/2006/relationships/hyperlink" Target="https://doi.org/10.1016/j.kjms.2011.05.008" TargetMode="External"/><Relationship Id="rId468" Type="http://schemas.openxmlformats.org/officeDocument/2006/relationships/hyperlink" Target="https://doi.org/10.1016/j.scitotenv.2019.134704" TargetMode="External"/><Relationship Id="rId225" Type="http://schemas.openxmlformats.org/officeDocument/2006/relationships/hyperlink" Target="https://en.wikipedia.org/wiki/Engineering_and_Physical_Sciences_Research_Council" TargetMode="External"/><Relationship Id="rId467" Type="http://schemas.openxmlformats.org/officeDocument/2006/relationships/hyperlink" Target="https://doi.org/10.1007/s00277-019-03888-4" TargetMode="External"/><Relationship Id="rId229" Type="http://schemas.openxmlformats.org/officeDocument/2006/relationships/hyperlink" Target="https://doi.org/10.1111/dom.12274" TargetMode="External"/><Relationship Id="rId220" Type="http://schemas.openxmlformats.org/officeDocument/2006/relationships/hyperlink" Target="https://en.wikipedia.org/wiki/National_Natural_Science_Foundation_of_China" TargetMode="External"/><Relationship Id="rId462" Type="http://schemas.openxmlformats.org/officeDocument/2006/relationships/hyperlink" Target="https://en.wikipedia.org/wiki/Funda%C3%A7%C3%A3o_para_a_Ci%C3%AAncia_e_Tecnologia" TargetMode="External"/><Relationship Id="rId461" Type="http://schemas.openxmlformats.org/officeDocument/2006/relationships/hyperlink" Target="https://doi.org/10.1088/2057-1976/ac1d88" TargetMode="External"/><Relationship Id="rId460" Type="http://schemas.openxmlformats.org/officeDocument/2006/relationships/hyperlink" Target="https://en.wikipedia.org/wiki/National_Natural_Science_Foundation_of_China" TargetMode="External"/><Relationship Id="rId224" Type="http://schemas.openxmlformats.org/officeDocument/2006/relationships/hyperlink" Target="https://doi.org/10.3762/bjoc.13.179" TargetMode="External"/><Relationship Id="rId466" Type="http://schemas.openxmlformats.org/officeDocument/2006/relationships/hyperlink" Target="http://en.wikipedia.org/wiki/Deutsche_Forschungsgemeinschaft" TargetMode="External"/><Relationship Id="rId223" Type="http://schemas.openxmlformats.org/officeDocument/2006/relationships/hyperlink" Target="https://en.wikipedia.org/wiki/National_Natural_Science_Foundation_of_China" TargetMode="External"/><Relationship Id="rId465" Type="http://schemas.openxmlformats.org/officeDocument/2006/relationships/hyperlink" Target="https://doi.org/10.1021/acsbiomaterials.5b00483" TargetMode="External"/><Relationship Id="rId222" Type="http://schemas.openxmlformats.org/officeDocument/2006/relationships/hyperlink" Target="https://doi.org/10.1007/s10854-022-08649-0" TargetMode="External"/><Relationship Id="rId464" Type="http://schemas.openxmlformats.org/officeDocument/2006/relationships/hyperlink" Target="https://doi.org/10.1007/s10107-020-01540-y" TargetMode="External"/><Relationship Id="rId221" Type="http://schemas.openxmlformats.org/officeDocument/2006/relationships/hyperlink" Target="https://doi.org/10.1080/00029157.2017.1335635" TargetMode="External"/><Relationship Id="rId463" Type="http://schemas.openxmlformats.org/officeDocument/2006/relationships/hyperlink" Target="https://doi.org/10.1016/j.jesp.2019.103916" TargetMode="External"/><Relationship Id="rId217" Type="http://schemas.openxmlformats.org/officeDocument/2006/relationships/hyperlink" Target="https://en.wikipedia.org/wiki/Ministry_of_Economy_and_Enterprise" TargetMode="External"/><Relationship Id="rId459" Type="http://schemas.openxmlformats.org/officeDocument/2006/relationships/hyperlink" Target="https://doi.org/10.1088/1742-2132/13/1/11" TargetMode="External"/><Relationship Id="rId216" Type="http://schemas.openxmlformats.org/officeDocument/2006/relationships/hyperlink" Target="https://doi.org/10.1016/j.expthermflusci.2017.06.011" TargetMode="External"/><Relationship Id="rId458" Type="http://schemas.openxmlformats.org/officeDocument/2006/relationships/hyperlink" Target="https://en.wikipedia.org/wiki/National_Natural_Science_Foundation_of_China" TargetMode="External"/><Relationship Id="rId215" Type="http://schemas.openxmlformats.org/officeDocument/2006/relationships/hyperlink" Target="https://en.wikipedia.org/wiki/Ministry_of_Education,_Culture,_Sports,_Science_and_Technology" TargetMode="External"/><Relationship Id="rId457" Type="http://schemas.openxmlformats.org/officeDocument/2006/relationships/hyperlink" Target="https://doi.org/10.1016/j.rbmo.2018.10.011" TargetMode="External"/><Relationship Id="rId699" Type="http://schemas.openxmlformats.org/officeDocument/2006/relationships/hyperlink" Target="https://en.wikipedia.org/wiki/National_Institute_of_Diabetes_and_Digestive_and_Kidney_Diseases" TargetMode="External"/><Relationship Id="rId214" Type="http://schemas.openxmlformats.org/officeDocument/2006/relationships/hyperlink" Target="https://doi.org/10.1016/j.biortech.2015.03.127" TargetMode="External"/><Relationship Id="rId456" Type="http://schemas.openxmlformats.org/officeDocument/2006/relationships/hyperlink" Target="https://doi.org/10.1016/j.urology.2016.02.003" TargetMode="External"/><Relationship Id="rId698" Type="http://schemas.openxmlformats.org/officeDocument/2006/relationships/hyperlink" Target="https://doi.org/10.1016/j.urolonc.2013.09.012" TargetMode="External"/><Relationship Id="rId219" Type="http://schemas.openxmlformats.org/officeDocument/2006/relationships/hyperlink" Target="https://doi.org/10.1080/17455030.2021.1879406" TargetMode="External"/><Relationship Id="rId218" Type="http://schemas.openxmlformats.org/officeDocument/2006/relationships/hyperlink" Target="https://doi.org/10.1016/j.ssc.2011.01.022" TargetMode="External"/><Relationship Id="rId451" Type="http://schemas.openxmlformats.org/officeDocument/2006/relationships/hyperlink" Target="https://en.wikipedia.org/wiki/Engineering_and_Physical_Sciences_Research_Council" TargetMode="External"/><Relationship Id="rId693" Type="http://schemas.openxmlformats.org/officeDocument/2006/relationships/hyperlink" Target="https://doi.org/10.1007/s11661-018-4975-7" TargetMode="External"/><Relationship Id="rId450" Type="http://schemas.openxmlformats.org/officeDocument/2006/relationships/hyperlink" Target="https://doi.org/10.1016/j.advwatres.2020.103693" TargetMode="External"/><Relationship Id="rId692" Type="http://schemas.openxmlformats.org/officeDocument/2006/relationships/hyperlink" Target="https://en.wikipedia.org/wiki/National_Natural_Science_Foundation_of_China" TargetMode="External"/><Relationship Id="rId691" Type="http://schemas.openxmlformats.org/officeDocument/2006/relationships/hyperlink" Target="https://doi.org/10.1007/s11029-018-9729-5" TargetMode="External"/><Relationship Id="rId690" Type="http://schemas.openxmlformats.org/officeDocument/2006/relationships/hyperlink" Target="https://doi.org/10.1177/00491241221082595" TargetMode="External"/><Relationship Id="rId213" Type="http://schemas.openxmlformats.org/officeDocument/2006/relationships/hyperlink" Target="https://doi.org/10.1007/s00213-019-05341-w" TargetMode="External"/><Relationship Id="rId455" Type="http://schemas.openxmlformats.org/officeDocument/2006/relationships/hyperlink" Target="https://doi.org/10.1088/1742-6596/642/1/012030" TargetMode="External"/><Relationship Id="rId697" Type="http://schemas.openxmlformats.org/officeDocument/2006/relationships/hyperlink" Target="https://doi.org/10.1016/j.envsoft.2020.104886" TargetMode="External"/><Relationship Id="rId212" Type="http://schemas.openxmlformats.org/officeDocument/2006/relationships/hyperlink" Target="https://doi.org/10.1016/j.foreco.2022.120142" TargetMode="External"/><Relationship Id="rId454" Type="http://schemas.openxmlformats.org/officeDocument/2006/relationships/hyperlink" Target="https://en.wikipedia.org/wiki/National_Natural_Science_Foundation_of_China" TargetMode="External"/><Relationship Id="rId696" Type="http://schemas.openxmlformats.org/officeDocument/2006/relationships/hyperlink" Target="https://doi.org/10.1002/joc.4599" TargetMode="External"/><Relationship Id="rId211" Type="http://schemas.openxmlformats.org/officeDocument/2006/relationships/hyperlink" Target="https://en.wikipedia.org/wiki/National_Institute_of_Allergy_and_Infectious_Diseases" TargetMode="External"/><Relationship Id="rId453" Type="http://schemas.openxmlformats.org/officeDocument/2006/relationships/hyperlink" Target="https://doi.org/10.1002/adts.202000022" TargetMode="External"/><Relationship Id="rId695" Type="http://schemas.openxmlformats.org/officeDocument/2006/relationships/hyperlink" Target="https://doi.org/10.1186/1471-2334-13-48" TargetMode="External"/><Relationship Id="rId210" Type="http://schemas.openxmlformats.org/officeDocument/2006/relationships/hyperlink" Target="https://doi.org/10.1086/650304" TargetMode="External"/><Relationship Id="rId452" Type="http://schemas.openxmlformats.org/officeDocument/2006/relationships/hyperlink" Target="https://doi.org/10.1177/13623613211035936" TargetMode="External"/><Relationship Id="rId694" Type="http://schemas.openxmlformats.org/officeDocument/2006/relationships/hyperlink" Target="https://doi.org/10.1016/j.msea.2016.07.085" TargetMode="External"/><Relationship Id="rId491" Type="http://schemas.openxmlformats.org/officeDocument/2006/relationships/hyperlink" Target="https://doi.org/10.1002/ajim.23214" TargetMode="External"/><Relationship Id="rId490" Type="http://schemas.openxmlformats.org/officeDocument/2006/relationships/hyperlink" Target="https://en.wikipedia.org/wiki/Coordena%C3%A7%C3%A3o_de_Aperfeicoamento_de_Pessoal_de_N%C3%ADvel_Superior" TargetMode="External"/><Relationship Id="rId249" Type="http://schemas.openxmlformats.org/officeDocument/2006/relationships/hyperlink" Target="https://en.wikipedia.org/wiki/National_Heart,_Lung,_and_Blood_Institute" TargetMode="External"/><Relationship Id="rId248" Type="http://schemas.openxmlformats.org/officeDocument/2006/relationships/hyperlink" Target="https://doi.org/10.1093/pan/mpp032" TargetMode="External"/><Relationship Id="rId247" Type="http://schemas.openxmlformats.org/officeDocument/2006/relationships/hyperlink" Target="https://en.wikipedia.org/wiki/University_Grants_Commission_(India)" TargetMode="External"/><Relationship Id="rId489" Type="http://schemas.openxmlformats.org/officeDocument/2006/relationships/hyperlink" Target="https://doi.org/10.1016/j.foodhyd.2018.09.012" TargetMode="External"/><Relationship Id="rId242" Type="http://schemas.openxmlformats.org/officeDocument/2006/relationships/hyperlink" Target="https://en.wikipedia.org/wiki/National_Natural_Science_Foundation_of_China" TargetMode="External"/><Relationship Id="rId484" Type="http://schemas.openxmlformats.org/officeDocument/2006/relationships/hyperlink" Target="https://en.wikipedia.org/wiki/National_Natural_Science_Foundation_of_China" TargetMode="External"/><Relationship Id="rId241" Type="http://schemas.openxmlformats.org/officeDocument/2006/relationships/hyperlink" Target="https://doi.org/10.3390/su11215919" TargetMode="External"/><Relationship Id="rId483" Type="http://schemas.openxmlformats.org/officeDocument/2006/relationships/hyperlink" Target="https://doi.org/10.1371/journal.pcbi.1008842" TargetMode="External"/><Relationship Id="rId240" Type="http://schemas.openxmlformats.org/officeDocument/2006/relationships/hyperlink" Target="https://doi.org/10.1016/j.jclepro.2020.123367" TargetMode="External"/><Relationship Id="rId482" Type="http://schemas.openxmlformats.org/officeDocument/2006/relationships/hyperlink" Target="https://en.wikipedia.org/wiki/National_Institute_of_Food_and_Agriculture" TargetMode="External"/><Relationship Id="rId481" Type="http://schemas.openxmlformats.org/officeDocument/2006/relationships/hyperlink" Target="https://doi.org/10.3382/ps/pex395" TargetMode="External"/><Relationship Id="rId246" Type="http://schemas.openxmlformats.org/officeDocument/2006/relationships/hyperlink" Target="https://doi.org/10.1007/s10967-011-1158-z" TargetMode="External"/><Relationship Id="rId488" Type="http://schemas.openxmlformats.org/officeDocument/2006/relationships/hyperlink" Target="https://doi.org/10.1016/j.snb.2012.12.121" TargetMode="External"/><Relationship Id="rId245" Type="http://schemas.openxmlformats.org/officeDocument/2006/relationships/hyperlink" Target="https://doi.org/10.1007/s10236-018-1170-8" TargetMode="External"/><Relationship Id="rId487" Type="http://schemas.openxmlformats.org/officeDocument/2006/relationships/hyperlink" Target="https://doi.org/10.2174/1381612825666190312110836" TargetMode="External"/><Relationship Id="rId244" Type="http://schemas.openxmlformats.org/officeDocument/2006/relationships/hyperlink" Target="https://en.wikipedia.org/wiki/National_Natural_Science_Foundation_of_China" TargetMode="External"/><Relationship Id="rId486" Type="http://schemas.openxmlformats.org/officeDocument/2006/relationships/hyperlink" Target="https://en.wikipedia.org/wiki/Dutch_Research_Council" TargetMode="External"/><Relationship Id="rId243" Type="http://schemas.openxmlformats.org/officeDocument/2006/relationships/hyperlink" Target="https://doi.org/10.1016/j.atherosclerosis.2018.08.031" TargetMode="External"/><Relationship Id="rId485" Type="http://schemas.openxmlformats.org/officeDocument/2006/relationships/hyperlink" Target="https://doi.org/10.3389/fnins.2019.00546" TargetMode="External"/><Relationship Id="rId480" Type="http://schemas.openxmlformats.org/officeDocument/2006/relationships/hyperlink" Target="https://doi.org/10.3389/fmicb.2018.02760" TargetMode="External"/><Relationship Id="rId239" Type="http://schemas.openxmlformats.org/officeDocument/2006/relationships/hyperlink" Target="http://en.wikipedia.org/wiki/Deutsche_Forschungsgemeinschaft" TargetMode="External"/><Relationship Id="rId238" Type="http://schemas.openxmlformats.org/officeDocument/2006/relationships/hyperlink" Target="https://doi.org/10.1007/978-3-030-00934-2_19" TargetMode="External"/><Relationship Id="rId237" Type="http://schemas.openxmlformats.org/officeDocument/2006/relationships/hyperlink" Target="https://en.wikipedia.org/wiki/Ministry_of_Higher_Education_(Malaysia)" TargetMode="External"/><Relationship Id="rId479" Type="http://schemas.openxmlformats.org/officeDocument/2006/relationships/hyperlink" Target="https://en.wikipedia.org/wiki/National_Natural_Science_Foundation_of_China" TargetMode="External"/><Relationship Id="rId236" Type="http://schemas.openxmlformats.org/officeDocument/2006/relationships/hyperlink" Target="https://doi.org/10.1007/s00202-020-00950-7" TargetMode="External"/><Relationship Id="rId478" Type="http://schemas.openxmlformats.org/officeDocument/2006/relationships/hyperlink" Target="https://doi.org/10.1007/s42154-018-0022-z" TargetMode="External"/><Relationship Id="rId231" Type="http://schemas.openxmlformats.org/officeDocument/2006/relationships/hyperlink" Target="https://doi.org/10.1021/jp2009989" TargetMode="External"/><Relationship Id="rId473" Type="http://schemas.openxmlformats.org/officeDocument/2006/relationships/hyperlink" Target="https://en.wikipedia.org/wiki/National_Heart,_Lung,_and_Blood_Institute" TargetMode="External"/><Relationship Id="rId230" Type="http://schemas.openxmlformats.org/officeDocument/2006/relationships/hyperlink" Target="https://doi.org/10.1016/j.jssc.2016.03.010" TargetMode="External"/><Relationship Id="rId472" Type="http://schemas.openxmlformats.org/officeDocument/2006/relationships/hyperlink" Target="https://doi.org/10.1093/cvr/cvac171" TargetMode="External"/><Relationship Id="rId471" Type="http://schemas.openxmlformats.org/officeDocument/2006/relationships/hyperlink" Target="https://doi.org/10.1136/bmjopen-2019-029376" TargetMode="External"/><Relationship Id="rId470" Type="http://schemas.openxmlformats.org/officeDocument/2006/relationships/hyperlink" Target="https://doi.org/10.1002/pmic.201400171" TargetMode="External"/><Relationship Id="rId235" Type="http://schemas.openxmlformats.org/officeDocument/2006/relationships/hyperlink" Target="https://en.wikipedia.org/wiki/European_Commission" TargetMode="External"/><Relationship Id="rId477" Type="http://schemas.openxmlformats.org/officeDocument/2006/relationships/hyperlink" Target="https://doi.org/10.1016/j.ijggc.2016.12.013" TargetMode="External"/><Relationship Id="rId234" Type="http://schemas.openxmlformats.org/officeDocument/2006/relationships/hyperlink" Target="https://doi.org/10.1002/for.2354" TargetMode="External"/><Relationship Id="rId476" Type="http://schemas.openxmlformats.org/officeDocument/2006/relationships/hyperlink" Target="https://doi.org/10.1016/j.precamres.2022.106720" TargetMode="External"/><Relationship Id="rId233" Type="http://schemas.openxmlformats.org/officeDocument/2006/relationships/hyperlink" Target="https://en.wikipedia.org/wiki/National_Natural_Science_Foundation_of_China" TargetMode="External"/><Relationship Id="rId475" Type="http://schemas.openxmlformats.org/officeDocument/2006/relationships/hyperlink" Target="https://en.wikipedia.org/wiki/National_Natural_Science_Foundation_of_China" TargetMode="External"/><Relationship Id="rId232" Type="http://schemas.openxmlformats.org/officeDocument/2006/relationships/hyperlink" Target="https://doi.org/10.1016/j.msea.2020.139586" TargetMode="External"/><Relationship Id="rId474" Type="http://schemas.openxmlformats.org/officeDocument/2006/relationships/hyperlink" Target="https://doi.org/10.1016/j.ijheatmasstransfer.2019.03.002" TargetMode="External"/><Relationship Id="rId426" Type="http://schemas.openxmlformats.org/officeDocument/2006/relationships/hyperlink" Target="https://en.wikipedia.org/wiki/National_Institute_of_General_Medical_Sciences" TargetMode="External"/><Relationship Id="rId668" Type="http://schemas.openxmlformats.org/officeDocument/2006/relationships/hyperlink" Target="https://en.wikipedia.org/wiki/Science_and_Engineering_Research_Board" TargetMode="External"/><Relationship Id="rId425" Type="http://schemas.openxmlformats.org/officeDocument/2006/relationships/hyperlink" Target="https://doi.org/10.1007/s10577-019-09619-9" TargetMode="External"/><Relationship Id="rId667" Type="http://schemas.openxmlformats.org/officeDocument/2006/relationships/hyperlink" Target="https://doi.org/10.1016/j.ijbiomac.2021.11.142" TargetMode="External"/><Relationship Id="rId424" Type="http://schemas.openxmlformats.org/officeDocument/2006/relationships/hyperlink" Target="https://doi.org/10.1021/acscatal.5b02586" TargetMode="External"/><Relationship Id="rId666" Type="http://schemas.openxmlformats.org/officeDocument/2006/relationships/hyperlink" Target="https://en.wikipedia.org/wiki/Lee_Foundation" TargetMode="External"/><Relationship Id="rId423" Type="http://schemas.openxmlformats.org/officeDocument/2006/relationships/hyperlink" Target="https://en.wikipedia.org/wiki/National_Natural_Science_Foundation_of_China" TargetMode="External"/><Relationship Id="rId665" Type="http://schemas.openxmlformats.org/officeDocument/2006/relationships/hyperlink" Target="https://doi.org/10.1016/j.archger.2018.11.006" TargetMode="External"/><Relationship Id="rId429" Type="http://schemas.openxmlformats.org/officeDocument/2006/relationships/hyperlink" Target="https://doi.org/10.1002/ejoc.201000858" TargetMode="External"/><Relationship Id="rId428" Type="http://schemas.openxmlformats.org/officeDocument/2006/relationships/hyperlink" Target="https://doi.org/10.1002/cncr.30642" TargetMode="External"/><Relationship Id="rId427" Type="http://schemas.openxmlformats.org/officeDocument/2006/relationships/hyperlink" Target="https://doi.org/10.1095/biolreprod.113.116814" TargetMode="External"/><Relationship Id="rId669" Type="http://schemas.openxmlformats.org/officeDocument/2006/relationships/hyperlink" Target="https://doi.org/10.1177/0009922820910820" TargetMode="External"/><Relationship Id="rId660" Type="http://schemas.openxmlformats.org/officeDocument/2006/relationships/hyperlink" Target="https://doi.org/10.1155/2019/9864246" TargetMode="External"/><Relationship Id="rId422" Type="http://schemas.openxmlformats.org/officeDocument/2006/relationships/hyperlink" Target="https://doi.org/10.1016/j.foodchem.2015.02.049" TargetMode="External"/><Relationship Id="rId664" Type="http://schemas.openxmlformats.org/officeDocument/2006/relationships/hyperlink" Target="https://doi.org/10.1038/srep08785" TargetMode="External"/><Relationship Id="rId421" Type="http://schemas.openxmlformats.org/officeDocument/2006/relationships/hyperlink" Target="https://en.wikipedia.org/wiki/Ministry_of_Research,_Technology_and_Higher_Education_(Indonesia)" TargetMode="External"/><Relationship Id="rId663" Type="http://schemas.openxmlformats.org/officeDocument/2006/relationships/hyperlink" Target="https://doi.org/10.1016/j.jbc.2021.101359" TargetMode="External"/><Relationship Id="rId420" Type="http://schemas.openxmlformats.org/officeDocument/2006/relationships/hyperlink" Target="https://doi.org/10.1016/j.bbrc.2019.05.107" TargetMode="External"/><Relationship Id="rId662" Type="http://schemas.openxmlformats.org/officeDocument/2006/relationships/hyperlink" Target="https://doi.org/10.7717/peerj.10340" TargetMode="External"/><Relationship Id="rId661" Type="http://schemas.openxmlformats.org/officeDocument/2006/relationships/hyperlink" Target="https://en.wikipedia.org/wiki/European_Commission" TargetMode="External"/><Relationship Id="rId415" Type="http://schemas.openxmlformats.org/officeDocument/2006/relationships/hyperlink" Target="https://doi.org/10.1007/s40263-013-0055-0" TargetMode="External"/><Relationship Id="rId657" Type="http://schemas.openxmlformats.org/officeDocument/2006/relationships/hyperlink" Target="http://en.wikipedia.org/wiki/Japan_Society_for_the_Promotion_of_Science" TargetMode="External"/><Relationship Id="rId899" Type="http://schemas.openxmlformats.org/officeDocument/2006/relationships/hyperlink" Target="https://doi.org/10.1111/jbi.12194" TargetMode="External"/><Relationship Id="rId414" Type="http://schemas.openxmlformats.org/officeDocument/2006/relationships/hyperlink" Target="https://doi.org/10.1016/j.ophtha.2009.12.012" TargetMode="External"/><Relationship Id="rId656" Type="http://schemas.openxmlformats.org/officeDocument/2006/relationships/hyperlink" Target="https://doi.org/10.1093/eurpub/ckt120" TargetMode="External"/><Relationship Id="rId898" Type="http://schemas.openxmlformats.org/officeDocument/2006/relationships/hyperlink" Target="https://doi.org/10.1111/iju.13702" TargetMode="External"/><Relationship Id="rId413" Type="http://schemas.openxmlformats.org/officeDocument/2006/relationships/hyperlink" Target="https://doi.org/10.1016/j.jallcom.2015.10.259" TargetMode="External"/><Relationship Id="rId655" Type="http://schemas.openxmlformats.org/officeDocument/2006/relationships/hyperlink" Target="https://doi.org/10.1016/j.tsf.2010.12.022" TargetMode="External"/><Relationship Id="rId897" Type="http://schemas.openxmlformats.org/officeDocument/2006/relationships/hyperlink" Target="https://doi.org/10.1002/lpor.202100423" TargetMode="External"/><Relationship Id="rId412" Type="http://schemas.openxmlformats.org/officeDocument/2006/relationships/hyperlink" Target="https://en.wikipedia.org/wiki/Fisheries_Research_and_Development_Corporation" TargetMode="External"/><Relationship Id="rId654" Type="http://schemas.openxmlformats.org/officeDocument/2006/relationships/hyperlink" Target="http://en.wikipedia.org/wiki/Japan_Society_for_the_Promotion_of_Science" TargetMode="External"/><Relationship Id="rId896" Type="http://schemas.openxmlformats.org/officeDocument/2006/relationships/hyperlink" Target="https://en.wikipedia.org/wiki/National_Research_Foundation_of_Korea" TargetMode="External"/><Relationship Id="rId419" Type="http://schemas.openxmlformats.org/officeDocument/2006/relationships/hyperlink" Target="https://en.wikipedia.org/wiki/National_Research_Foundation_of_Korea" TargetMode="External"/><Relationship Id="rId418" Type="http://schemas.openxmlformats.org/officeDocument/2006/relationships/hyperlink" Target="https://doi.org/10.1007/s11102-019-00959-7" TargetMode="External"/><Relationship Id="rId417" Type="http://schemas.openxmlformats.org/officeDocument/2006/relationships/hyperlink" Target="https://en.wikipedia.org/wiki/National_Natural_Science_Foundation_of_China" TargetMode="External"/><Relationship Id="rId659" Type="http://schemas.openxmlformats.org/officeDocument/2006/relationships/hyperlink" Target="https://en.wikipedia.org/wiki/Ministry_of_Business,_Innovation_and_Employment" TargetMode="External"/><Relationship Id="rId416" Type="http://schemas.openxmlformats.org/officeDocument/2006/relationships/hyperlink" Target="https://doi.org/10.1371/journal.pone.0077556" TargetMode="External"/><Relationship Id="rId658" Type="http://schemas.openxmlformats.org/officeDocument/2006/relationships/hyperlink" Target="https://doi.org/10.3390/geosciences10040138" TargetMode="External"/><Relationship Id="rId891" Type="http://schemas.openxmlformats.org/officeDocument/2006/relationships/hyperlink" Target="https://doi.org/10.1039/d2cp03073j" TargetMode="External"/><Relationship Id="rId890" Type="http://schemas.openxmlformats.org/officeDocument/2006/relationships/hyperlink" Target="https://en.wikipedia.org/wiki/National_Natural_Science_Foundation_of_China" TargetMode="External"/><Relationship Id="rId411" Type="http://schemas.openxmlformats.org/officeDocument/2006/relationships/hyperlink" Target="https://doi.org/10.1016/j.fishres.2016.01.007" TargetMode="External"/><Relationship Id="rId653" Type="http://schemas.openxmlformats.org/officeDocument/2006/relationships/hyperlink" Target="https://doi.org/10.1049/iet-opt.2014.0137" TargetMode="External"/><Relationship Id="rId895" Type="http://schemas.openxmlformats.org/officeDocument/2006/relationships/hyperlink" Target="https://doi.org/10.5115/acb.2015.48.4.235" TargetMode="External"/><Relationship Id="rId410" Type="http://schemas.openxmlformats.org/officeDocument/2006/relationships/hyperlink" Target="http://en.wikipedia.org/wiki/Deutsche_Forschungsgemeinschaft" TargetMode="External"/><Relationship Id="rId652" Type="http://schemas.openxmlformats.org/officeDocument/2006/relationships/hyperlink" Target="https://doi.org/10.1093/gerona/glab196" TargetMode="External"/><Relationship Id="rId894" Type="http://schemas.openxmlformats.org/officeDocument/2006/relationships/hyperlink" Target="https://en.wikipedia.org/wiki/Ministry_of_Science_and_Technology_(Taiwan)" TargetMode="External"/><Relationship Id="rId651" Type="http://schemas.openxmlformats.org/officeDocument/2006/relationships/hyperlink" Target="https://doi.org/10.1038/s41592-019-0613-6" TargetMode="External"/><Relationship Id="rId893" Type="http://schemas.openxmlformats.org/officeDocument/2006/relationships/hyperlink" Target="https://doi.org/10.1021/acssuschemeng.0c02813" TargetMode="External"/><Relationship Id="rId650" Type="http://schemas.openxmlformats.org/officeDocument/2006/relationships/hyperlink" Target="https://doi.org/10.1016/j.ces.2013.05.067" TargetMode="External"/><Relationship Id="rId892" Type="http://schemas.openxmlformats.org/officeDocument/2006/relationships/hyperlink" Target="https://en.wikipedia.org/wiki/National_Natural_Science_Foundation_of_China" TargetMode="External"/><Relationship Id="rId206" Type="http://schemas.openxmlformats.org/officeDocument/2006/relationships/hyperlink" Target="http://en.wikipedia.org/wiki/Japan_Society_for_the_Promotion_of_Science" TargetMode="External"/><Relationship Id="rId448" Type="http://schemas.openxmlformats.org/officeDocument/2006/relationships/hyperlink" Target="https://en.wikipedia.org/wiki/University_Grants_Commission_(India)" TargetMode="External"/><Relationship Id="rId205" Type="http://schemas.openxmlformats.org/officeDocument/2006/relationships/hyperlink" Target="https://doi.org/10.1090/jag/771" TargetMode="External"/><Relationship Id="rId447" Type="http://schemas.openxmlformats.org/officeDocument/2006/relationships/hyperlink" Target="https://doi.org/10.1055/a-1777-2423" TargetMode="External"/><Relationship Id="rId689" Type="http://schemas.openxmlformats.org/officeDocument/2006/relationships/hyperlink" Target="https://en.wikipedia.org/wiki/Agency_for_Healthcare_Research_and_Quality" TargetMode="External"/><Relationship Id="rId204" Type="http://schemas.openxmlformats.org/officeDocument/2006/relationships/hyperlink" Target="https://doi.org/10.1016/j.jbiomech.2020.109856" TargetMode="External"/><Relationship Id="rId446" Type="http://schemas.openxmlformats.org/officeDocument/2006/relationships/hyperlink" Target="https://doi.org/10.1016/j.bmcl.2014.09.089" TargetMode="External"/><Relationship Id="rId688" Type="http://schemas.openxmlformats.org/officeDocument/2006/relationships/hyperlink" Target="https://doi.org/10.1093/ofid/ofz067" TargetMode="External"/><Relationship Id="rId203" Type="http://schemas.openxmlformats.org/officeDocument/2006/relationships/hyperlink" Target="https://doi.org/10.3382/ps.2009-00216" TargetMode="External"/><Relationship Id="rId445" Type="http://schemas.openxmlformats.org/officeDocument/2006/relationships/hyperlink" Target="https://en.wikipedia.org/wiki/National_Cancer_Institute" TargetMode="External"/><Relationship Id="rId687" Type="http://schemas.openxmlformats.org/officeDocument/2006/relationships/hyperlink" Target="http://en.wikipedia.org/wiki/Japan_Society_for_the_Promotion_of_Science" TargetMode="External"/><Relationship Id="rId209" Type="http://schemas.openxmlformats.org/officeDocument/2006/relationships/hyperlink" Target="https://en.wikipedia.org/wiki/Ministry_of_Health_(British_Columbia)" TargetMode="External"/><Relationship Id="rId208" Type="http://schemas.openxmlformats.org/officeDocument/2006/relationships/hyperlink" Target="https://doi.org/10.1016/j.hlpt.2016.07.004" TargetMode="External"/><Relationship Id="rId207" Type="http://schemas.openxmlformats.org/officeDocument/2006/relationships/hyperlink" Target="https://doi.org/10.3201/eid1904.120117" TargetMode="External"/><Relationship Id="rId449" Type="http://schemas.openxmlformats.org/officeDocument/2006/relationships/hyperlink" Target="https://doi.org/10.2217/pgs-2018-0047" TargetMode="External"/><Relationship Id="rId440" Type="http://schemas.openxmlformats.org/officeDocument/2006/relationships/hyperlink" Target="https://doi.org/10.1016/j.phymed.2016.10.015" TargetMode="External"/><Relationship Id="rId682" Type="http://schemas.openxmlformats.org/officeDocument/2006/relationships/hyperlink" Target="https://doi.org/10.3390/ijerph16071093" TargetMode="External"/><Relationship Id="rId681" Type="http://schemas.openxmlformats.org/officeDocument/2006/relationships/hyperlink" Target="https://doi.org/10.1021/acsanm.1c01982" TargetMode="External"/><Relationship Id="rId680" Type="http://schemas.openxmlformats.org/officeDocument/2006/relationships/hyperlink" Target="http://en.wikipedia.org/wiki/Japan_Society_for_the_Promotion_of_Science" TargetMode="External"/><Relationship Id="rId202" Type="http://schemas.openxmlformats.org/officeDocument/2006/relationships/hyperlink" Target="https://doi.org/10.1016/j.carbon.2021.03.006" TargetMode="External"/><Relationship Id="rId444" Type="http://schemas.openxmlformats.org/officeDocument/2006/relationships/hyperlink" Target="https://doi.org/10.1186/s13578-016-0080-z" TargetMode="External"/><Relationship Id="rId686" Type="http://schemas.openxmlformats.org/officeDocument/2006/relationships/hyperlink" Target="https://doi.org/10.1002/chem.201301146" TargetMode="External"/><Relationship Id="rId201" Type="http://schemas.openxmlformats.org/officeDocument/2006/relationships/hyperlink" Target="https://doi.org/10.1083/jcb.201603081" TargetMode="External"/><Relationship Id="rId443" Type="http://schemas.openxmlformats.org/officeDocument/2006/relationships/hyperlink" Target="https://en.wikipedia.org/wiki/University_Grants_Committee_(Hong_Kong)" TargetMode="External"/><Relationship Id="rId685" Type="http://schemas.openxmlformats.org/officeDocument/2006/relationships/hyperlink" Target="https://en.wikipedia.org/wiki/National_Institute_of_Dental_and_Craniofacial_Research" TargetMode="External"/><Relationship Id="rId200" Type="http://schemas.openxmlformats.org/officeDocument/2006/relationships/hyperlink" Target="https://en.wikipedia.org/wiki/National_Institute_of_Arthritis_and_Musculoskeletal_and_Skin_Diseases" TargetMode="External"/><Relationship Id="rId442" Type="http://schemas.openxmlformats.org/officeDocument/2006/relationships/hyperlink" Target="https://doi.org/10.1371/journal.pone.0022901" TargetMode="External"/><Relationship Id="rId684" Type="http://schemas.openxmlformats.org/officeDocument/2006/relationships/hyperlink" Target="https://doi.org/10.1177/0022034510376401" TargetMode="External"/><Relationship Id="rId441" Type="http://schemas.openxmlformats.org/officeDocument/2006/relationships/hyperlink" Target="https://en.wikipedia.org/wiki/National_Natural_Science_Foundation_of_China" TargetMode="External"/><Relationship Id="rId683" Type="http://schemas.openxmlformats.org/officeDocument/2006/relationships/hyperlink" Target="https://doi.org/10.1016/j.electacta.2017.10.073" TargetMode="External"/><Relationship Id="rId437" Type="http://schemas.openxmlformats.org/officeDocument/2006/relationships/hyperlink" Target="https://doi.org/10.1039/c7qm00209b" TargetMode="External"/><Relationship Id="rId679" Type="http://schemas.openxmlformats.org/officeDocument/2006/relationships/hyperlink" Target="https://doi.org/10.1111/1467-8489.12445" TargetMode="External"/><Relationship Id="rId436" Type="http://schemas.openxmlformats.org/officeDocument/2006/relationships/hyperlink" Target="https://doi.org/10.1038/s41565-021-00848-w" TargetMode="External"/><Relationship Id="rId678" Type="http://schemas.openxmlformats.org/officeDocument/2006/relationships/hyperlink" Target="http://en.wikipedia.org/wiki/Medical_Research_Council_%28United_Kingdom%29" TargetMode="External"/><Relationship Id="rId435" Type="http://schemas.openxmlformats.org/officeDocument/2006/relationships/hyperlink" Target="https://doi.org/10.1116/1.4913872" TargetMode="External"/><Relationship Id="rId677" Type="http://schemas.openxmlformats.org/officeDocument/2006/relationships/hyperlink" Target="https://doi.org/10.1007/s00213-018-4860-5" TargetMode="External"/><Relationship Id="rId434" Type="http://schemas.openxmlformats.org/officeDocument/2006/relationships/hyperlink" Target="https://en.wikipedia.org/wiki/Ministry_of_Economy_and_Enterprise" TargetMode="External"/><Relationship Id="rId676" Type="http://schemas.openxmlformats.org/officeDocument/2006/relationships/hyperlink" Target="http://en.wikipedia.org/wiki/United_States_Department_of_Energy" TargetMode="External"/><Relationship Id="rId439" Type="http://schemas.openxmlformats.org/officeDocument/2006/relationships/hyperlink" Target="https://doi.org/10.1002/dev.22057" TargetMode="External"/><Relationship Id="rId438" Type="http://schemas.openxmlformats.org/officeDocument/2006/relationships/hyperlink" Target="https://en.wikipedia.org/wiki/National_Natural_Science_Foundation_of_China" TargetMode="External"/><Relationship Id="rId671" Type="http://schemas.openxmlformats.org/officeDocument/2006/relationships/hyperlink" Target="https://doi.org/10.1038/srep17771" TargetMode="External"/><Relationship Id="rId670" Type="http://schemas.openxmlformats.org/officeDocument/2006/relationships/hyperlink" Target="https://en.wikipedia.org/wiki/National_Heart,_Lung,_and_Blood_Institute" TargetMode="External"/><Relationship Id="rId433" Type="http://schemas.openxmlformats.org/officeDocument/2006/relationships/hyperlink" Target="https://doi.org/10.1007/s11266-017-9882-9" TargetMode="External"/><Relationship Id="rId675" Type="http://schemas.openxmlformats.org/officeDocument/2006/relationships/hyperlink" Target="https://doi.org/10.1063/1.3478571" TargetMode="External"/><Relationship Id="rId432" Type="http://schemas.openxmlformats.org/officeDocument/2006/relationships/hyperlink" Target="https://en.wikipedia.org/wiki/National_Institute_of_General_Medical_Sciences" TargetMode="External"/><Relationship Id="rId674" Type="http://schemas.openxmlformats.org/officeDocument/2006/relationships/hyperlink" Target="https://doi.org/10.1021/acs.estlett.0c00587" TargetMode="External"/><Relationship Id="rId431" Type="http://schemas.openxmlformats.org/officeDocument/2006/relationships/hyperlink" Target="https://doi.org/10.1021/jacs.7b10639" TargetMode="External"/><Relationship Id="rId673" Type="http://schemas.openxmlformats.org/officeDocument/2006/relationships/hyperlink" Target="https://doi.org/10.1002/chem.201301518" TargetMode="External"/><Relationship Id="rId430" Type="http://schemas.openxmlformats.org/officeDocument/2006/relationships/hyperlink" Target="http://en.wikipedia.org/wiki/Deutsche_Forschungsgemeinschaft" TargetMode="External"/><Relationship Id="rId672" Type="http://schemas.openxmlformats.org/officeDocument/2006/relationships/hyperlink" Target="https://doi.org/10.1007/s00125-018-4658-3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doi.org/10.1016/j.neures.2014.02.004" TargetMode="External"/><Relationship Id="rId194" Type="http://schemas.openxmlformats.org/officeDocument/2006/relationships/hyperlink" Target="https://doi.org/10.1093/jjco/hyq084" TargetMode="External"/><Relationship Id="rId193" Type="http://schemas.openxmlformats.org/officeDocument/2006/relationships/hyperlink" Target="https://openalex.org/funders/f4320321732" TargetMode="External"/><Relationship Id="rId192" Type="http://schemas.openxmlformats.org/officeDocument/2006/relationships/hyperlink" Target="https://doi.org/10.1111/jfd.12290" TargetMode="External"/><Relationship Id="rId191" Type="http://schemas.openxmlformats.org/officeDocument/2006/relationships/hyperlink" Target="https://doi.org/10.1039/d1sc03774a" TargetMode="External"/><Relationship Id="rId187" Type="http://schemas.openxmlformats.org/officeDocument/2006/relationships/hyperlink" Target="https://openalex.org/funders/f4320320912" TargetMode="External"/><Relationship Id="rId186" Type="http://schemas.openxmlformats.org/officeDocument/2006/relationships/hyperlink" Target="https://doi.org/10.1016/j.apacoust.2009.10.007" TargetMode="External"/><Relationship Id="rId185" Type="http://schemas.openxmlformats.org/officeDocument/2006/relationships/hyperlink" Target="https://doi.org/10.1155/2020/3484568" TargetMode="External"/><Relationship Id="rId184" Type="http://schemas.openxmlformats.org/officeDocument/2006/relationships/hyperlink" Target="https://doi.org/10.1016/j.tibs.2017.01.004" TargetMode="External"/><Relationship Id="rId189" Type="http://schemas.openxmlformats.org/officeDocument/2006/relationships/hyperlink" Target="https://openalex.org/funders/f4320335777" TargetMode="External"/><Relationship Id="rId188" Type="http://schemas.openxmlformats.org/officeDocument/2006/relationships/hyperlink" Target="https://doi.org/10.1016/j.jid.2018.08.013" TargetMode="External"/><Relationship Id="rId183" Type="http://schemas.openxmlformats.org/officeDocument/2006/relationships/hyperlink" Target="https://doi.org/10.1186/2040-2392-5-27" TargetMode="External"/><Relationship Id="rId182" Type="http://schemas.openxmlformats.org/officeDocument/2006/relationships/hyperlink" Target="https://doi.org/10.3390/antibiotics11111572" TargetMode="External"/><Relationship Id="rId181" Type="http://schemas.openxmlformats.org/officeDocument/2006/relationships/hyperlink" Target="https://openalex.org/funders/f4320322928" TargetMode="External"/><Relationship Id="rId180" Type="http://schemas.openxmlformats.org/officeDocument/2006/relationships/hyperlink" Target="https://doi.org/10.1021/acs.est.2c00309" TargetMode="External"/><Relationship Id="rId176" Type="http://schemas.openxmlformats.org/officeDocument/2006/relationships/hyperlink" Target="https://doi.org/10.1039/c4ra06913g" TargetMode="External"/><Relationship Id="rId175" Type="http://schemas.openxmlformats.org/officeDocument/2006/relationships/hyperlink" Target="https://openalex.org/funders/f4320337346" TargetMode="External"/><Relationship Id="rId174" Type="http://schemas.openxmlformats.org/officeDocument/2006/relationships/hyperlink" Target="https://doi.org/10.1016/j.brainres.2006.10.054" TargetMode="External"/><Relationship Id="rId173" Type="http://schemas.openxmlformats.org/officeDocument/2006/relationships/hyperlink" Target="https://doi.org/10.1021/acs.jproteome.1c00331" TargetMode="External"/><Relationship Id="rId179" Type="http://schemas.openxmlformats.org/officeDocument/2006/relationships/hyperlink" Target="https://openalex.org/funders/f4320338073" TargetMode="External"/><Relationship Id="rId178" Type="http://schemas.openxmlformats.org/officeDocument/2006/relationships/hyperlink" Target="https://doi.org/10.1016/j.patcog.2014.12.006" TargetMode="External"/><Relationship Id="rId177" Type="http://schemas.openxmlformats.org/officeDocument/2006/relationships/hyperlink" Target="https://openalex.org/funders/f4320321722" TargetMode="External"/><Relationship Id="rId198" Type="http://schemas.openxmlformats.org/officeDocument/2006/relationships/hyperlink" Target="https://doi.org/10.1002/esp.4964" TargetMode="External"/><Relationship Id="rId197" Type="http://schemas.openxmlformats.org/officeDocument/2006/relationships/hyperlink" Target="https://doi.org/10.1137/120870554" TargetMode="External"/><Relationship Id="rId196" Type="http://schemas.openxmlformats.org/officeDocument/2006/relationships/hyperlink" Target="https://doi.org/10.1016/j.jcp.2015.12.006" TargetMode="External"/><Relationship Id="rId195" Type="http://schemas.openxmlformats.org/officeDocument/2006/relationships/hyperlink" Target="https://doi.org/10.3389/fchem.2016.00049" TargetMode="External"/><Relationship Id="rId199" Type="http://schemas.openxmlformats.org/officeDocument/2006/relationships/hyperlink" Target="https://openalex.org/funders/f4320334764" TargetMode="External"/><Relationship Id="rId150" Type="http://schemas.openxmlformats.org/officeDocument/2006/relationships/hyperlink" Target="https://doi.org/10.3938/jkps.61.1994" TargetMode="External"/><Relationship Id="rId392" Type="http://schemas.openxmlformats.org/officeDocument/2006/relationships/hyperlink" Target="https://doi.org/10.1002/qj.2603" TargetMode="External"/><Relationship Id="rId391" Type="http://schemas.openxmlformats.org/officeDocument/2006/relationships/hyperlink" Target="https://openalex.org/institutions/i4210129478" TargetMode="External"/><Relationship Id="rId390" Type="http://schemas.openxmlformats.org/officeDocument/2006/relationships/hyperlink" Target="https://doi.org/10.1016/j.jhazmat.2010.11.101" TargetMode="External"/><Relationship Id="rId1" Type="http://schemas.openxmlformats.org/officeDocument/2006/relationships/hyperlink" Target="https://doi.org/10.1155/2021/9990439" TargetMode="External"/><Relationship Id="rId2" Type="http://schemas.openxmlformats.org/officeDocument/2006/relationships/hyperlink" Target="https://openalex.org/funders/f4320327702" TargetMode="External"/><Relationship Id="rId3" Type="http://schemas.openxmlformats.org/officeDocument/2006/relationships/hyperlink" Target="https://doi.org/10.1037/0022-006X.75.5.823" TargetMode="External"/><Relationship Id="rId149" Type="http://schemas.openxmlformats.org/officeDocument/2006/relationships/hyperlink" Target="https://doi.org/10.1016/j.geoderma.2022.116026" TargetMode="External"/><Relationship Id="rId4" Type="http://schemas.openxmlformats.org/officeDocument/2006/relationships/hyperlink" Target="https://doi.org/10.1016/j.jvir.2008.10.030" TargetMode="External"/><Relationship Id="rId148" Type="http://schemas.openxmlformats.org/officeDocument/2006/relationships/hyperlink" Target="https://doi.org/10.1021/acs.orglett.2c00519" TargetMode="External"/><Relationship Id="rId1090" Type="http://schemas.openxmlformats.org/officeDocument/2006/relationships/hyperlink" Target="https://doi.org/10.1007/s13344-019-0023-7" TargetMode="External"/><Relationship Id="rId1091" Type="http://schemas.openxmlformats.org/officeDocument/2006/relationships/hyperlink" Target="https://doi.org/10.1007/s11029-018-9729-5" TargetMode="External"/><Relationship Id="rId1092" Type="http://schemas.openxmlformats.org/officeDocument/2006/relationships/hyperlink" Target="https://doi.org/10.14411/fp.2018.014" TargetMode="External"/><Relationship Id="rId1093" Type="http://schemas.openxmlformats.org/officeDocument/2006/relationships/hyperlink" Target="https://doi.org/10.1007/s11661-018-4975-7" TargetMode="External"/><Relationship Id="rId1094" Type="http://schemas.openxmlformats.org/officeDocument/2006/relationships/hyperlink" Target="https://doi.org/10.1161/CIRCRESAHA.109.194191" TargetMode="External"/><Relationship Id="rId9" Type="http://schemas.openxmlformats.org/officeDocument/2006/relationships/hyperlink" Target="https://openalex.org/institutions/i4210095069" TargetMode="External"/><Relationship Id="rId143" Type="http://schemas.openxmlformats.org/officeDocument/2006/relationships/hyperlink" Target="https://doi.org/10.1016/j.astropartphys.2009.05.002" TargetMode="External"/><Relationship Id="rId385" Type="http://schemas.openxmlformats.org/officeDocument/2006/relationships/hyperlink" Target="https://doi.org/10.1093/pan/mpp032" TargetMode="External"/><Relationship Id="rId1095" Type="http://schemas.openxmlformats.org/officeDocument/2006/relationships/hyperlink" Target="https://openalex.org/funders/f4320337338" TargetMode="External"/><Relationship Id="rId142" Type="http://schemas.openxmlformats.org/officeDocument/2006/relationships/hyperlink" Target="https://openalex.org/institutions/i2800882159" TargetMode="External"/><Relationship Id="rId384" Type="http://schemas.openxmlformats.org/officeDocument/2006/relationships/hyperlink" Target="https://openalex.org/funders/f4320320767" TargetMode="External"/><Relationship Id="rId1096" Type="http://schemas.openxmlformats.org/officeDocument/2006/relationships/hyperlink" Target="https://doi.org/10.1111/j.1745-7254.2008.00893.x" TargetMode="External"/><Relationship Id="rId141" Type="http://schemas.openxmlformats.org/officeDocument/2006/relationships/hyperlink" Target="https://doi.org/10.1136/bmjopen-2019-032351" TargetMode="External"/><Relationship Id="rId383" Type="http://schemas.openxmlformats.org/officeDocument/2006/relationships/hyperlink" Target="https://doi.org/10.1007/s10967-011-1158-z" TargetMode="External"/><Relationship Id="rId1097" Type="http://schemas.openxmlformats.org/officeDocument/2006/relationships/hyperlink" Target="https://doi.org/10.1055/s-0031-1298592" TargetMode="External"/><Relationship Id="rId140" Type="http://schemas.openxmlformats.org/officeDocument/2006/relationships/hyperlink" Target="https://doi.org/10.1021/ja201841p" TargetMode="External"/><Relationship Id="rId382" Type="http://schemas.openxmlformats.org/officeDocument/2006/relationships/hyperlink" Target="https://doi.org/10.1007/s10236-018-1170-8" TargetMode="External"/><Relationship Id="rId1098" Type="http://schemas.openxmlformats.org/officeDocument/2006/relationships/hyperlink" Target="https://doi.org/10.1016/j.renene.2022.07.154" TargetMode="External"/><Relationship Id="rId5" Type="http://schemas.openxmlformats.org/officeDocument/2006/relationships/hyperlink" Target="https://doi.org/10.3390/catal10070775" TargetMode="External"/><Relationship Id="rId147" Type="http://schemas.openxmlformats.org/officeDocument/2006/relationships/hyperlink" Target="https://openalex.org/funders/f4320336052" TargetMode="External"/><Relationship Id="rId389" Type="http://schemas.openxmlformats.org/officeDocument/2006/relationships/hyperlink" Target="https://openalex.org/institutions/i122879082" TargetMode="External"/><Relationship Id="rId1099" Type="http://schemas.openxmlformats.org/officeDocument/2006/relationships/hyperlink" Target="https://openalex.org/funders/f4320318614" TargetMode="External"/><Relationship Id="rId6" Type="http://schemas.openxmlformats.org/officeDocument/2006/relationships/hyperlink" Target="https://doi.org/10.1088/1361-6528/ab8b91" TargetMode="External"/><Relationship Id="rId146" Type="http://schemas.openxmlformats.org/officeDocument/2006/relationships/hyperlink" Target="https://doi.org/10.1002/mop.24748" TargetMode="External"/><Relationship Id="rId388" Type="http://schemas.openxmlformats.org/officeDocument/2006/relationships/hyperlink" Target="https://doi.org/10.1186/s12874-020-0899-1" TargetMode="External"/><Relationship Id="rId7" Type="http://schemas.openxmlformats.org/officeDocument/2006/relationships/hyperlink" Target="https://openalex.org/funders/f4320335777" TargetMode="External"/><Relationship Id="rId145" Type="http://schemas.openxmlformats.org/officeDocument/2006/relationships/hyperlink" Target="https://openalex.org/funders/f4320335869" TargetMode="External"/><Relationship Id="rId387" Type="http://schemas.openxmlformats.org/officeDocument/2006/relationships/hyperlink" Target="https://doi.org/10.1016/j.amjsurg.2017.03.024" TargetMode="External"/><Relationship Id="rId8" Type="http://schemas.openxmlformats.org/officeDocument/2006/relationships/hyperlink" Target="https://doi.org/10.1007/s11548-021-02401-5" TargetMode="External"/><Relationship Id="rId144" Type="http://schemas.openxmlformats.org/officeDocument/2006/relationships/hyperlink" Target="https://doi.org/10.1080/10357823.2022.2111547" TargetMode="External"/><Relationship Id="rId386" Type="http://schemas.openxmlformats.org/officeDocument/2006/relationships/hyperlink" Target="https://openalex.org/funders/f4320337338" TargetMode="External"/><Relationship Id="rId381" Type="http://schemas.openxmlformats.org/officeDocument/2006/relationships/hyperlink" Target="https://openalex.org/funders/f4320321001" TargetMode="External"/><Relationship Id="rId380" Type="http://schemas.openxmlformats.org/officeDocument/2006/relationships/hyperlink" Target="https://doi.org/10.1016/j.atherosclerosis.2018.08.031" TargetMode="External"/><Relationship Id="rId139" Type="http://schemas.openxmlformats.org/officeDocument/2006/relationships/hyperlink" Target="https://openalex.org/funders/f4320310371" TargetMode="External"/><Relationship Id="rId138" Type="http://schemas.openxmlformats.org/officeDocument/2006/relationships/hyperlink" Target="https://doi.org/10.1080/08164649.2015.1046305" TargetMode="External"/><Relationship Id="rId137" Type="http://schemas.openxmlformats.org/officeDocument/2006/relationships/hyperlink" Target="https://doi.org/10.1021/ja3010896" TargetMode="External"/><Relationship Id="rId379" Type="http://schemas.openxmlformats.org/officeDocument/2006/relationships/hyperlink" Target="https://openalex.org/funders/f4320321001" TargetMode="External"/><Relationship Id="rId1080" Type="http://schemas.openxmlformats.org/officeDocument/2006/relationships/hyperlink" Target="https://doi.org/10.1177/0022034510376401" TargetMode="External"/><Relationship Id="rId1081" Type="http://schemas.openxmlformats.org/officeDocument/2006/relationships/hyperlink" Target="https://doi.org/10.1364/OE.23.007038" TargetMode="External"/><Relationship Id="rId1082" Type="http://schemas.openxmlformats.org/officeDocument/2006/relationships/hyperlink" Target="https://doi.org/10.1016/j.foodres.2022.111963" TargetMode="External"/><Relationship Id="rId1083" Type="http://schemas.openxmlformats.org/officeDocument/2006/relationships/hyperlink" Target="https://openalex.org/funders/f4320335777" TargetMode="External"/><Relationship Id="rId132" Type="http://schemas.openxmlformats.org/officeDocument/2006/relationships/hyperlink" Target="https://doi.org/10.1111/cmi.12138" TargetMode="External"/><Relationship Id="rId374" Type="http://schemas.openxmlformats.org/officeDocument/2006/relationships/hyperlink" Target="https://doi.org/10.3750/AIP2008.38.2.12" TargetMode="External"/><Relationship Id="rId1084" Type="http://schemas.openxmlformats.org/officeDocument/2006/relationships/hyperlink" Target="https://doi.org/10.1161/HYPERTENSIONAHA.120.15702" TargetMode="External"/><Relationship Id="rId131" Type="http://schemas.openxmlformats.org/officeDocument/2006/relationships/hyperlink" Target="https://openalex.org/funders/f4320338080" TargetMode="External"/><Relationship Id="rId373" Type="http://schemas.openxmlformats.org/officeDocument/2006/relationships/hyperlink" Target="https://openalex.org/funders/f4320320879" TargetMode="External"/><Relationship Id="rId1085" Type="http://schemas.openxmlformats.org/officeDocument/2006/relationships/hyperlink" Target="https://doi.org/10.1002/chem.201301146" TargetMode="External"/><Relationship Id="rId130" Type="http://schemas.openxmlformats.org/officeDocument/2006/relationships/hyperlink" Target="https://doi.org/10.3390/su132111853" TargetMode="External"/><Relationship Id="rId372" Type="http://schemas.openxmlformats.org/officeDocument/2006/relationships/hyperlink" Target="https://doi.org/10.1007/978-3-030-00934-2_19" TargetMode="External"/><Relationship Id="rId1086" Type="http://schemas.openxmlformats.org/officeDocument/2006/relationships/hyperlink" Target="https://doi.org/10.1093/ofid/ofz067" TargetMode="External"/><Relationship Id="rId371" Type="http://schemas.openxmlformats.org/officeDocument/2006/relationships/hyperlink" Target="https://doi.org/10.1103/PhysRevLett.126.125701" TargetMode="External"/><Relationship Id="rId1087" Type="http://schemas.openxmlformats.org/officeDocument/2006/relationships/hyperlink" Target="https://openalex.org/funders/f4320332177" TargetMode="External"/><Relationship Id="rId136" Type="http://schemas.openxmlformats.org/officeDocument/2006/relationships/hyperlink" Target="https://doi.org/10.1007/978-3-642-38524-7_17" TargetMode="External"/><Relationship Id="rId378" Type="http://schemas.openxmlformats.org/officeDocument/2006/relationships/hyperlink" Target="https://doi.org/10.3390/su11215919" TargetMode="External"/><Relationship Id="rId1088" Type="http://schemas.openxmlformats.org/officeDocument/2006/relationships/hyperlink" Target="https://doi.org/10.1177/00491241221082595" TargetMode="External"/><Relationship Id="rId135" Type="http://schemas.openxmlformats.org/officeDocument/2006/relationships/hyperlink" Target="https://openalex.org/funders/f4320323380" TargetMode="External"/><Relationship Id="rId377" Type="http://schemas.openxmlformats.org/officeDocument/2006/relationships/hyperlink" Target="https://openalex.org/funders/f4320321764" TargetMode="External"/><Relationship Id="rId1089" Type="http://schemas.openxmlformats.org/officeDocument/2006/relationships/hyperlink" Target="https://openalex.org/funders/f4320310753" TargetMode="External"/><Relationship Id="rId134" Type="http://schemas.openxmlformats.org/officeDocument/2006/relationships/hyperlink" Target="https://doi.org/10.1016/j.polymdegradstab.2014.02.016" TargetMode="External"/><Relationship Id="rId376" Type="http://schemas.openxmlformats.org/officeDocument/2006/relationships/hyperlink" Target="https://doi.org/10.1016/j.jclepro.2020.123367" TargetMode="External"/><Relationship Id="rId133" Type="http://schemas.openxmlformats.org/officeDocument/2006/relationships/hyperlink" Target="https://doi.org/10.1029/2020EA001248" TargetMode="External"/><Relationship Id="rId375" Type="http://schemas.openxmlformats.org/officeDocument/2006/relationships/hyperlink" Target="https://openalex.org/funders/f4320321881" TargetMode="External"/><Relationship Id="rId172" Type="http://schemas.openxmlformats.org/officeDocument/2006/relationships/hyperlink" Target="https://doi.org/10.1038/ncomms4441" TargetMode="External"/><Relationship Id="rId171" Type="http://schemas.openxmlformats.org/officeDocument/2006/relationships/hyperlink" Target="https://doi.org/10.1111/aje.12084" TargetMode="External"/><Relationship Id="rId170" Type="http://schemas.openxmlformats.org/officeDocument/2006/relationships/hyperlink" Target="https://openalex.org/institutions/i4210093673" TargetMode="External"/><Relationship Id="rId165" Type="http://schemas.openxmlformats.org/officeDocument/2006/relationships/hyperlink" Target="https://doi.org/10.1186/1476-4598-13-207" TargetMode="External"/><Relationship Id="rId164" Type="http://schemas.openxmlformats.org/officeDocument/2006/relationships/hyperlink" Target="https://openalex.org/funders/f4320306076" TargetMode="External"/><Relationship Id="rId163" Type="http://schemas.openxmlformats.org/officeDocument/2006/relationships/hyperlink" Target="https://doi.org/10.1039/c2lc21012f" TargetMode="External"/><Relationship Id="rId162" Type="http://schemas.openxmlformats.org/officeDocument/2006/relationships/hyperlink" Target="https://openalex.org/funders/f4320334678" TargetMode="External"/><Relationship Id="rId169" Type="http://schemas.openxmlformats.org/officeDocument/2006/relationships/hyperlink" Target="https://doi.org/10.21638/11701/spbu02.2019.213" TargetMode="External"/><Relationship Id="rId168" Type="http://schemas.openxmlformats.org/officeDocument/2006/relationships/hyperlink" Target="https://openalex.org/funders/f4320323834" TargetMode="External"/><Relationship Id="rId167" Type="http://schemas.openxmlformats.org/officeDocument/2006/relationships/hyperlink" Target="https://doi.org/10.3390/su14074324" TargetMode="External"/><Relationship Id="rId166" Type="http://schemas.openxmlformats.org/officeDocument/2006/relationships/hyperlink" Target="https://doi.org/10.1523/JNEUROSCI.3116-12.2012" TargetMode="External"/><Relationship Id="rId161" Type="http://schemas.openxmlformats.org/officeDocument/2006/relationships/hyperlink" Target="https://doi.org/10.1002/stem.2529" TargetMode="External"/><Relationship Id="rId160" Type="http://schemas.openxmlformats.org/officeDocument/2006/relationships/hyperlink" Target="https://openalex.org/funders/f4320334627" TargetMode="External"/><Relationship Id="rId159" Type="http://schemas.openxmlformats.org/officeDocument/2006/relationships/hyperlink" Target="https://doi.org/10.1098/rspa.2008.0489" TargetMode="External"/><Relationship Id="rId154" Type="http://schemas.openxmlformats.org/officeDocument/2006/relationships/hyperlink" Target="https://openalex.org/institutions/i4210135595" TargetMode="External"/><Relationship Id="rId396" Type="http://schemas.openxmlformats.org/officeDocument/2006/relationships/hyperlink" Target="https://doi.org/10.1007/978-3-031-08679-3_5" TargetMode="External"/><Relationship Id="rId153" Type="http://schemas.openxmlformats.org/officeDocument/2006/relationships/hyperlink" Target="https://doi.org/10.1016/j.combustflame.2014.09.022" TargetMode="External"/><Relationship Id="rId395" Type="http://schemas.openxmlformats.org/officeDocument/2006/relationships/hyperlink" Target="https://doi.org/10.1073/pnas.0901194106" TargetMode="External"/><Relationship Id="rId152" Type="http://schemas.openxmlformats.org/officeDocument/2006/relationships/hyperlink" Target="https://doi.org/10.1016/j.chom.2021.08.001" TargetMode="External"/><Relationship Id="rId394" Type="http://schemas.openxmlformats.org/officeDocument/2006/relationships/hyperlink" Target="https://openalex.org/funders/f4320321131" TargetMode="External"/><Relationship Id="rId151" Type="http://schemas.openxmlformats.org/officeDocument/2006/relationships/hyperlink" Target="https://openalex.org/funders/f4320322120" TargetMode="External"/><Relationship Id="rId393" Type="http://schemas.openxmlformats.org/officeDocument/2006/relationships/hyperlink" Target="https://doi.org/10.1186/s13071-020-04509-0" TargetMode="External"/><Relationship Id="rId158" Type="http://schemas.openxmlformats.org/officeDocument/2006/relationships/hyperlink" Target="https://doi.org/10.1063/1.4823852" TargetMode="External"/><Relationship Id="rId157" Type="http://schemas.openxmlformats.org/officeDocument/2006/relationships/hyperlink" Target="https://openalex.org/institutions/i4210103624" TargetMode="External"/><Relationship Id="rId399" Type="http://schemas.openxmlformats.org/officeDocument/2006/relationships/hyperlink" Target="https://openalex.org/funders/f4320334789" TargetMode="External"/><Relationship Id="rId156" Type="http://schemas.openxmlformats.org/officeDocument/2006/relationships/hyperlink" Target="https://doi.org/10.1016/j.ijmultiphaseflow.2018.05.027" TargetMode="External"/><Relationship Id="rId398" Type="http://schemas.openxmlformats.org/officeDocument/2006/relationships/hyperlink" Target="https://doi.org/10.1295/polymj.PJ2009143" TargetMode="External"/><Relationship Id="rId155" Type="http://schemas.openxmlformats.org/officeDocument/2006/relationships/hyperlink" Target="https://doi.org/10.1016/j.ijepes.2017.05.001" TargetMode="External"/><Relationship Id="rId397" Type="http://schemas.openxmlformats.org/officeDocument/2006/relationships/hyperlink" Target="https://openalex.org/funders/f4320306076" TargetMode="External"/><Relationship Id="rId808" Type="http://schemas.openxmlformats.org/officeDocument/2006/relationships/hyperlink" Target="https://openalex.org/funders/f4320321001" TargetMode="External"/><Relationship Id="rId807" Type="http://schemas.openxmlformats.org/officeDocument/2006/relationships/hyperlink" Target="https://doi.org/10.1002/advs.202204689" TargetMode="External"/><Relationship Id="rId806" Type="http://schemas.openxmlformats.org/officeDocument/2006/relationships/hyperlink" Target="https://doi.org/10.1002/sec.326" TargetMode="External"/><Relationship Id="rId805" Type="http://schemas.openxmlformats.org/officeDocument/2006/relationships/hyperlink" Target="https://openalex.org/funders/f4320321001" TargetMode="External"/><Relationship Id="rId809" Type="http://schemas.openxmlformats.org/officeDocument/2006/relationships/hyperlink" Target="https://doi.org/10.1136/ebmh.12.2.45" TargetMode="External"/><Relationship Id="rId800" Type="http://schemas.openxmlformats.org/officeDocument/2006/relationships/hyperlink" Target="https://openalex.org/funders/f4320321091" TargetMode="External"/><Relationship Id="rId804" Type="http://schemas.openxmlformats.org/officeDocument/2006/relationships/hyperlink" Target="https://doi.org/10.1016/j.watres.2020.115841" TargetMode="External"/><Relationship Id="rId803" Type="http://schemas.openxmlformats.org/officeDocument/2006/relationships/hyperlink" Target="https://doi.org/10.1016/j.neuroimage.2012.08.023" TargetMode="External"/><Relationship Id="rId802" Type="http://schemas.openxmlformats.org/officeDocument/2006/relationships/hyperlink" Target="https://openalex.org/funders/f4320337351" TargetMode="External"/><Relationship Id="rId801" Type="http://schemas.openxmlformats.org/officeDocument/2006/relationships/hyperlink" Target="https://doi.org/10.1002/ajim.23214" TargetMode="External"/><Relationship Id="rId1500" Type="http://schemas.openxmlformats.org/officeDocument/2006/relationships/hyperlink" Target="https://openalex.org/funders/f4320334704" TargetMode="External"/><Relationship Id="rId1501" Type="http://schemas.openxmlformats.org/officeDocument/2006/relationships/hyperlink" Target="https://doi.org/10.1016/j.physleta.2021.127520" TargetMode="External"/><Relationship Id="rId1502" Type="http://schemas.openxmlformats.org/officeDocument/2006/relationships/hyperlink" Target="https://doi.org/10.1093/occmed/kqr129" TargetMode="External"/><Relationship Id="rId1503" Type="http://schemas.openxmlformats.org/officeDocument/2006/relationships/hyperlink" Target="https://doi.org/10.3390/coatings11091134" TargetMode="External"/><Relationship Id="rId1504" Type="http://schemas.openxmlformats.org/officeDocument/2006/relationships/hyperlink" Target="https://openalex.org/funders/f4320310824" TargetMode="External"/><Relationship Id="rId1505" Type="http://schemas.openxmlformats.org/officeDocument/2006/relationships/drawing" Target="../drawings/drawing4.xml"/><Relationship Id="rId40" Type="http://schemas.openxmlformats.org/officeDocument/2006/relationships/hyperlink" Target="https://doi.org/10.1016/j.jad.2010.02.107" TargetMode="External"/><Relationship Id="rId1334" Type="http://schemas.openxmlformats.org/officeDocument/2006/relationships/hyperlink" Target="https://openalex.org/funders/f4320335777" TargetMode="External"/><Relationship Id="rId1335" Type="http://schemas.openxmlformats.org/officeDocument/2006/relationships/hyperlink" Target="https://doi.org/10.1002/rra.1174" TargetMode="External"/><Relationship Id="rId42" Type="http://schemas.openxmlformats.org/officeDocument/2006/relationships/hyperlink" Target="https://openalex.org/funders/f4320321001" TargetMode="External"/><Relationship Id="rId1336" Type="http://schemas.openxmlformats.org/officeDocument/2006/relationships/hyperlink" Target="https://doi.org/10.1021/jp400691a" TargetMode="External"/><Relationship Id="rId41" Type="http://schemas.openxmlformats.org/officeDocument/2006/relationships/hyperlink" Target="https://doi.org/10.1016/j.seppur.2008.10.005" TargetMode="External"/><Relationship Id="rId1337" Type="http://schemas.openxmlformats.org/officeDocument/2006/relationships/hyperlink" Target="https://doi.org/10.1111/j.1600-0625.2012.01441.x" TargetMode="External"/><Relationship Id="rId44" Type="http://schemas.openxmlformats.org/officeDocument/2006/relationships/hyperlink" Target="https://openalex.org/funders/f4320321147" TargetMode="External"/><Relationship Id="rId1338" Type="http://schemas.openxmlformats.org/officeDocument/2006/relationships/hyperlink" Target="https://openalex.org/funders/f4320316381" TargetMode="External"/><Relationship Id="rId43" Type="http://schemas.openxmlformats.org/officeDocument/2006/relationships/hyperlink" Target="https://doi.org/10.17221/128/2009-VETMED" TargetMode="External"/><Relationship Id="rId1339" Type="http://schemas.openxmlformats.org/officeDocument/2006/relationships/hyperlink" Target="https://doi.org/10.1016/j.forpol.2021.102570" TargetMode="External"/><Relationship Id="rId46" Type="http://schemas.openxmlformats.org/officeDocument/2006/relationships/hyperlink" Target="https://openalex.org/funders/f4320318963" TargetMode="External"/><Relationship Id="rId45" Type="http://schemas.openxmlformats.org/officeDocument/2006/relationships/hyperlink" Target="https://doi.org/10.1139/cjas-2018-0036" TargetMode="External"/><Relationship Id="rId509" Type="http://schemas.openxmlformats.org/officeDocument/2006/relationships/hyperlink" Target="https://doi.org/10.1038/srep44405" TargetMode="External"/><Relationship Id="rId508" Type="http://schemas.openxmlformats.org/officeDocument/2006/relationships/hyperlink" Target="https://doi.org/10.1097/MBP.0000000000000376" TargetMode="External"/><Relationship Id="rId503" Type="http://schemas.openxmlformats.org/officeDocument/2006/relationships/hyperlink" Target="https://openalex.org/funders/f4320321001" TargetMode="External"/><Relationship Id="rId745" Type="http://schemas.openxmlformats.org/officeDocument/2006/relationships/hyperlink" Target="https://openalex.org/funders/f4320334779" TargetMode="External"/><Relationship Id="rId987" Type="http://schemas.openxmlformats.org/officeDocument/2006/relationships/hyperlink" Target="https://doi.org/10.1088/0031-9155/55/7/018" TargetMode="External"/><Relationship Id="rId502" Type="http://schemas.openxmlformats.org/officeDocument/2006/relationships/hyperlink" Target="https://doi.org/10.1039/d0fo02122a" TargetMode="External"/><Relationship Id="rId744" Type="http://schemas.openxmlformats.org/officeDocument/2006/relationships/hyperlink" Target="https://doi.org/10.1088/2057-1976/ac1d88" TargetMode="External"/><Relationship Id="rId986" Type="http://schemas.openxmlformats.org/officeDocument/2006/relationships/hyperlink" Target="https://doi.org/10.1080/02626667.2018.1473580" TargetMode="External"/><Relationship Id="rId501" Type="http://schemas.openxmlformats.org/officeDocument/2006/relationships/hyperlink" Target="https://doi.org/10.1246/bcsj.20180181" TargetMode="External"/><Relationship Id="rId743" Type="http://schemas.openxmlformats.org/officeDocument/2006/relationships/hyperlink" Target="https://openalex.org/funders/f4320321001" TargetMode="External"/><Relationship Id="rId985" Type="http://schemas.openxmlformats.org/officeDocument/2006/relationships/hyperlink" Target="https://doi.org/10.2174/1389203717666160627083604" TargetMode="External"/><Relationship Id="rId500" Type="http://schemas.openxmlformats.org/officeDocument/2006/relationships/hyperlink" Target="https://doi.org/10.1021/ol401514s" TargetMode="External"/><Relationship Id="rId742" Type="http://schemas.openxmlformats.org/officeDocument/2006/relationships/hyperlink" Target="https://doi.org/10.1088/1742-2132/13/1/11" TargetMode="External"/><Relationship Id="rId984" Type="http://schemas.openxmlformats.org/officeDocument/2006/relationships/hyperlink" Target="https://doi.org/10.1007/s00604-022-05407-1" TargetMode="External"/><Relationship Id="rId507" Type="http://schemas.openxmlformats.org/officeDocument/2006/relationships/hyperlink" Target="https://doi.org/10.1097/JGP.0b013e3181c534b5" TargetMode="External"/><Relationship Id="rId749" Type="http://schemas.openxmlformats.org/officeDocument/2006/relationships/hyperlink" Target="https://doi.org/10.1016/j.jesp.2019.103916" TargetMode="External"/><Relationship Id="rId506" Type="http://schemas.openxmlformats.org/officeDocument/2006/relationships/hyperlink" Target="https://openalex.org/funders/f4320322120" TargetMode="External"/><Relationship Id="rId748" Type="http://schemas.openxmlformats.org/officeDocument/2006/relationships/hyperlink" Target="https://doi.org/10.1016/j.crhy.2009.10.001" TargetMode="External"/><Relationship Id="rId505" Type="http://schemas.openxmlformats.org/officeDocument/2006/relationships/hyperlink" Target="https://doi.org/10.1109/ICOIN53446.2022.9687251" TargetMode="External"/><Relationship Id="rId747" Type="http://schemas.openxmlformats.org/officeDocument/2006/relationships/hyperlink" Target="https://openalex.org/funders/f4320337355" TargetMode="External"/><Relationship Id="rId989" Type="http://schemas.openxmlformats.org/officeDocument/2006/relationships/hyperlink" Target="https://doi.org/10.2989/00306525.2017.1321049" TargetMode="External"/><Relationship Id="rId504" Type="http://schemas.openxmlformats.org/officeDocument/2006/relationships/hyperlink" Target="https://doi.org/10.1155/2020/8899299" TargetMode="External"/><Relationship Id="rId746" Type="http://schemas.openxmlformats.org/officeDocument/2006/relationships/hyperlink" Target="https://doi.org/10.1016/j.tim.2006.01.008" TargetMode="External"/><Relationship Id="rId988" Type="http://schemas.openxmlformats.org/officeDocument/2006/relationships/hyperlink" Target="https://openalex.org/funders/f4320320879" TargetMode="External"/><Relationship Id="rId48" Type="http://schemas.openxmlformats.org/officeDocument/2006/relationships/hyperlink" Target="https://openalex.org/funders/f4320337362" TargetMode="External"/><Relationship Id="rId47" Type="http://schemas.openxmlformats.org/officeDocument/2006/relationships/hyperlink" Target="https://doi.org/10.1152/ajpcell.00221.2007" TargetMode="External"/><Relationship Id="rId49" Type="http://schemas.openxmlformats.org/officeDocument/2006/relationships/hyperlink" Target="https://doi.org/10.1016/j.compstruct.2018.04.001" TargetMode="External"/><Relationship Id="rId741" Type="http://schemas.openxmlformats.org/officeDocument/2006/relationships/hyperlink" Target="https://openalex.org/funders/f4320321001" TargetMode="External"/><Relationship Id="rId983" Type="http://schemas.openxmlformats.org/officeDocument/2006/relationships/hyperlink" Target="https://openalex.org/funders/f4320320879" TargetMode="External"/><Relationship Id="rId1330" Type="http://schemas.openxmlformats.org/officeDocument/2006/relationships/hyperlink" Target="https://doi.org/10.1007/s11571-016-9418-9" TargetMode="External"/><Relationship Id="rId740" Type="http://schemas.openxmlformats.org/officeDocument/2006/relationships/hyperlink" Target="https://doi.org/10.1016/j.rbmo.2018.10.011" TargetMode="External"/><Relationship Id="rId982" Type="http://schemas.openxmlformats.org/officeDocument/2006/relationships/hyperlink" Target="https://doi.org/10.1016/j.fuel.2016.09.076" TargetMode="External"/><Relationship Id="rId1331" Type="http://schemas.openxmlformats.org/officeDocument/2006/relationships/hyperlink" Target="https://doi.org/10.1177/1534735413503551" TargetMode="External"/><Relationship Id="rId981" Type="http://schemas.openxmlformats.org/officeDocument/2006/relationships/hyperlink" Target="https://doi.org/10.1155/2019/7581061" TargetMode="External"/><Relationship Id="rId1332" Type="http://schemas.openxmlformats.org/officeDocument/2006/relationships/hyperlink" Target="https://openalex.org/funders/f4320320719" TargetMode="External"/><Relationship Id="rId980" Type="http://schemas.openxmlformats.org/officeDocument/2006/relationships/hyperlink" Target="https://doi.org/10.3390/toxins7030791" TargetMode="External"/><Relationship Id="rId1333" Type="http://schemas.openxmlformats.org/officeDocument/2006/relationships/hyperlink" Target="https://doi.org/10.1007/s12559-020-09792-8" TargetMode="External"/><Relationship Id="rId1323" Type="http://schemas.openxmlformats.org/officeDocument/2006/relationships/hyperlink" Target="https://doi.org/10.1038/nature14254" TargetMode="External"/><Relationship Id="rId1324" Type="http://schemas.openxmlformats.org/officeDocument/2006/relationships/hyperlink" Target="https://doi.org/10.1002/jhet.309" TargetMode="External"/><Relationship Id="rId31" Type="http://schemas.openxmlformats.org/officeDocument/2006/relationships/hyperlink" Target="https://doi.org/10.1103/PhysRevLett.123.057403" TargetMode="External"/><Relationship Id="rId1325" Type="http://schemas.openxmlformats.org/officeDocument/2006/relationships/hyperlink" Target="https://doi.org/10.3390/s21134309" TargetMode="External"/><Relationship Id="rId30" Type="http://schemas.openxmlformats.org/officeDocument/2006/relationships/hyperlink" Target="https://doi.org/10.1016/j.yexcr.2006.05.023" TargetMode="External"/><Relationship Id="rId1326" Type="http://schemas.openxmlformats.org/officeDocument/2006/relationships/hyperlink" Target="https://openalex.org/institutions/i1320481043" TargetMode="External"/><Relationship Id="rId33" Type="http://schemas.openxmlformats.org/officeDocument/2006/relationships/hyperlink" Target="https://openalex.org/funders/f4320320879" TargetMode="External"/><Relationship Id="rId1327" Type="http://schemas.openxmlformats.org/officeDocument/2006/relationships/hyperlink" Target="https://doi.org/10.1021/acs.jpcc.8b11777" TargetMode="External"/><Relationship Id="rId32" Type="http://schemas.openxmlformats.org/officeDocument/2006/relationships/hyperlink" Target="https://doi.org/10.1002/path.4418" TargetMode="External"/><Relationship Id="rId1328" Type="http://schemas.openxmlformats.org/officeDocument/2006/relationships/hyperlink" Target="https://doi.org/10.1039/d1an00118c" TargetMode="External"/><Relationship Id="rId35" Type="http://schemas.openxmlformats.org/officeDocument/2006/relationships/hyperlink" Target="https://openalex.org/funders/f4320321079" TargetMode="External"/><Relationship Id="rId1329" Type="http://schemas.openxmlformats.org/officeDocument/2006/relationships/hyperlink" Target="https://openalex.org/funders/f4320322091" TargetMode="External"/><Relationship Id="rId34" Type="http://schemas.openxmlformats.org/officeDocument/2006/relationships/hyperlink" Target="https://doi.org/10.15405/epsbs.2019.03.02.216" TargetMode="External"/><Relationship Id="rId739" Type="http://schemas.openxmlformats.org/officeDocument/2006/relationships/hyperlink" Target="https://doi.org/10.1016/j.urology.2016.02.003" TargetMode="External"/><Relationship Id="rId734" Type="http://schemas.openxmlformats.org/officeDocument/2006/relationships/hyperlink" Target="https://doi.org/10.1124/jpet.105.098467" TargetMode="External"/><Relationship Id="rId976" Type="http://schemas.openxmlformats.org/officeDocument/2006/relationships/hyperlink" Target="https://doi.org/10.1038/s41598-019-38707-3" TargetMode="External"/><Relationship Id="rId733" Type="http://schemas.openxmlformats.org/officeDocument/2006/relationships/hyperlink" Target="https://doi.org/10.1002/adts.202000022" TargetMode="External"/><Relationship Id="rId975" Type="http://schemas.openxmlformats.org/officeDocument/2006/relationships/hyperlink" Target="https://openalex.org/funders/f4320307765" TargetMode="External"/><Relationship Id="rId732" Type="http://schemas.openxmlformats.org/officeDocument/2006/relationships/hyperlink" Target="https://openalex.org/funders/f4320311215" TargetMode="External"/><Relationship Id="rId974" Type="http://schemas.openxmlformats.org/officeDocument/2006/relationships/hyperlink" Target="https://doi.org/10.1017/S0950268820000400" TargetMode="External"/><Relationship Id="rId731" Type="http://schemas.openxmlformats.org/officeDocument/2006/relationships/hyperlink" Target="https://doi.org/10.1371/journal.pone.0229600" TargetMode="External"/><Relationship Id="rId973" Type="http://schemas.openxmlformats.org/officeDocument/2006/relationships/hyperlink" Target="https://doi.org/10.1109/TAP.2014.2330596" TargetMode="External"/><Relationship Id="rId738" Type="http://schemas.openxmlformats.org/officeDocument/2006/relationships/hyperlink" Target="https://openalex.org/funders/f4320332171" TargetMode="External"/><Relationship Id="rId737" Type="http://schemas.openxmlformats.org/officeDocument/2006/relationships/hyperlink" Target="https://doi.org/10.1088/1742-6596/642/1/012030" TargetMode="External"/><Relationship Id="rId979" Type="http://schemas.openxmlformats.org/officeDocument/2006/relationships/hyperlink" Target="https://openalex.org/funders/f4320322348" TargetMode="External"/><Relationship Id="rId736" Type="http://schemas.openxmlformats.org/officeDocument/2006/relationships/hyperlink" Target="https://doi.org/10.1121/1.1756615" TargetMode="External"/><Relationship Id="rId978" Type="http://schemas.openxmlformats.org/officeDocument/2006/relationships/hyperlink" Target="https://doi.org/10.1111/j.1474-9726.2009.00487.x" TargetMode="External"/><Relationship Id="rId735" Type="http://schemas.openxmlformats.org/officeDocument/2006/relationships/hyperlink" Target="https://openalex.org/funders/f4320337359" TargetMode="External"/><Relationship Id="rId977" Type="http://schemas.openxmlformats.org/officeDocument/2006/relationships/hyperlink" Target="https://openalex.org/funders/f4320334771" TargetMode="External"/><Relationship Id="rId37" Type="http://schemas.openxmlformats.org/officeDocument/2006/relationships/hyperlink" Target="https://openalex.org/funders/f4320324096" TargetMode="External"/><Relationship Id="rId36" Type="http://schemas.openxmlformats.org/officeDocument/2006/relationships/hyperlink" Target="https://doi.org/10.1007/s10558-010-9093-0" TargetMode="External"/><Relationship Id="rId39" Type="http://schemas.openxmlformats.org/officeDocument/2006/relationships/hyperlink" Target="https://doi.org/10.1093/heapol/czv104" TargetMode="External"/><Relationship Id="rId38" Type="http://schemas.openxmlformats.org/officeDocument/2006/relationships/hyperlink" Target="https://doi.org/10.1021/acs.chemrestox.8b00225" TargetMode="External"/><Relationship Id="rId730" Type="http://schemas.openxmlformats.org/officeDocument/2006/relationships/hyperlink" Target="https://doi.org/10.1177/13623613211035936" TargetMode="External"/><Relationship Id="rId972" Type="http://schemas.openxmlformats.org/officeDocument/2006/relationships/hyperlink" Target="https://doi.org/10.1038/s41598-019-55006-z" TargetMode="External"/><Relationship Id="rId971" Type="http://schemas.openxmlformats.org/officeDocument/2006/relationships/hyperlink" Target="https://doi.org/10.1021/acsami.0c14802" TargetMode="External"/><Relationship Id="rId1320" Type="http://schemas.openxmlformats.org/officeDocument/2006/relationships/hyperlink" Target="https://doi.org/10.3390/foods10122973" TargetMode="External"/><Relationship Id="rId970" Type="http://schemas.openxmlformats.org/officeDocument/2006/relationships/hyperlink" Target="https://doi.org/10.1016/j.desal.2021.115445" TargetMode="External"/><Relationship Id="rId1321" Type="http://schemas.openxmlformats.org/officeDocument/2006/relationships/hyperlink" Target="https://doi.org/10.1111/icad.12447" TargetMode="External"/><Relationship Id="rId1322" Type="http://schemas.openxmlformats.org/officeDocument/2006/relationships/hyperlink" Target="https://doi.org/10.1007/s10681-014-1189-y" TargetMode="External"/><Relationship Id="rId1114" Type="http://schemas.openxmlformats.org/officeDocument/2006/relationships/hyperlink" Target="https://openalex.org/funders/f4320325014" TargetMode="External"/><Relationship Id="rId1356" Type="http://schemas.openxmlformats.org/officeDocument/2006/relationships/hyperlink" Target="https://openalex.org/funders/f4320321543" TargetMode="External"/><Relationship Id="rId1115" Type="http://schemas.openxmlformats.org/officeDocument/2006/relationships/hyperlink" Target="https://doi.org/10.1080/03650340.2020.1795138" TargetMode="External"/><Relationship Id="rId1357" Type="http://schemas.openxmlformats.org/officeDocument/2006/relationships/hyperlink" Target="https://doi.org/10.3109/02713683.2015.1050737" TargetMode="External"/><Relationship Id="rId20" Type="http://schemas.openxmlformats.org/officeDocument/2006/relationships/hyperlink" Target="https://doi.org/10.3390/brainsci9040074" TargetMode="External"/><Relationship Id="rId1116" Type="http://schemas.openxmlformats.org/officeDocument/2006/relationships/hyperlink" Target="https://openalex.org/institutions/i4210105427" TargetMode="External"/><Relationship Id="rId1358" Type="http://schemas.openxmlformats.org/officeDocument/2006/relationships/hyperlink" Target="https://openalex.org/institutions/i4210156736" TargetMode="External"/><Relationship Id="rId1117" Type="http://schemas.openxmlformats.org/officeDocument/2006/relationships/hyperlink" Target="https://doi.org/10.1007/s10876-014-0779-0" TargetMode="External"/><Relationship Id="rId1359" Type="http://schemas.openxmlformats.org/officeDocument/2006/relationships/hyperlink" Target="https://doi.org/10.1021/acsami.1c02314" TargetMode="External"/><Relationship Id="rId22" Type="http://schemas.openxmlformats.org/officeDocument/2006/relationships/hyperlink" Target="https://doi.org/10.1128/jvi.00624-22" TargetMode="External"/><Relationship Id="rId1118" Type="http://schemas.openxmlformats.org/officeDocument/2006/relationships/hyperlink" Target="https://openalex.org/funders/f4320321739" TargetMode="External"/><Relationship Id="rId21" Type="http://schemas.openxmlformats.org/officeDocument/2006/relationships/hyperlink" Target="https://openalex.org/funders/f4320306084" TargetMode="External"/><Relationship Id="rId1119" Type="http://schemas.openxmlformats.org/officeDocument/2006/relationships/hyperlink" Target="https://doi.org/10.1016/j.phycom.2018.01.001" TargetMode="External"/><Relationship Id="rId24" Type="http://schemas.openxmlformats.org/officeDocument/2006/relationships/hyperlink" Target="https://doi.org/10.1093/sysbio/syaa076" TargetMode="External"/><Relationship Id="rId23" Type="http://schemas.openxmlformats.org/officeDocument/2006/relationships/hyperlink" Target="https://openalex.org/funders/f4320337357" TargetMode="External"/><Relationship Id="rId525" Type="http://schemas.openxmlformats.org/officeDocument/2006/relationships/hyperlink" Target="https://doi.org/10.1002/jcb.25032" TargetMode="External"/><Relationship Id="rId767" Type="http://schemas.openxmlformats.org/officeDocument/2006/relationships/hyperlink" Target="https://openalex.org/funders/f4320335961" TargetMode="External"/><Relationship Id="rId524" Type="http://schemas.openxmlformats.org/officeDocument/2006/relationships/hyperlink" Target="https://doi.org/10.1016/j.trd.2014.08.021" TargetMode="External"/><Relationship Id="rId766" Type="http://schemas.openxmlformats.org/officeDocument/2006/relationships/hyperlink" Target="https://doi.org/10.1007/s12221-013-1953-y" TargetMode="External"/><Relationship Id="rId523" Type="http://schemas.openxmlformats.org/officeDocument/2006/relationships/hyperlink" Target="https://openalex.org/funders/f4320328515" TargetMode="External"/><Relationship Id="rId765" Type="http://schemas.openxmlformats.org/officeDocument/2006/relationships/hyperlink" Target="https://openalex.org/institutions/i4210116369" TargetMode="External"/><Relationship Id="rId522" Type="http://schemas.openxmlformats.org/officeDocument/2006/relationships/hyperlink" Target="https://doi.org/10.5220/0011151900003283" TargetMode="External"/><Relationship Id="rId764" Type="http://schemas.openxmlformats.org/officeDocument/2006/relationships/hyperlink" Target="https://doi.org/10.1097/MJT.0000000000000345" TargetMode="External"/><Relationship Id="rId529" Type="http://schemas.openxmlformats.org/officeDocument/2006/relationships/hyperlink" Target="https://doi.org/10.1111/j.1524-4725.2011.01999.x" TargetMode="External"/><Relationship Id="rId528" Type="http://schemas.openxmlformats.org/officeDocument/2006/relationships/hyperlink" Target="https://doi.org/10.1016/j.biomaterials.2015.02.101" TargetMode="External"/><Relationship Id="rId527" Type="http://schemas.openxmlformats.org/officeDocument/2006/relationships/hyperlink" Target="https://openalex.org/funders/f4320321001" TargetMode="External"/><Relationship Id="rId769" Type="http://schemas.openxmlformats.org/officeDocument/2006/relationships/hyperlink" Target="https://doi.org/10.1016/j.scitotenv.2019.134704" TargetMode="External"/><Relationship Id="rId526" Type="http://schemas.openxmlformats.org/officeDocument/2006/relationships/hyperlink" Target="https://doi.org/10.1039/c6cp03293a" TargetMode="External"/><Relationship Id="rId768" Type="http://schemas.openxmlformats.org/officeDocument/2006/relationships/hyperlink" Target="https://doi.org/10.1007/s00277-019-03888-4" TargetMode="External"/><Relationship Id="rId26" Type="http://schemas.openxmlformats.org/officeDocument/2006/relationships/hyperlink" Target="https://doi.org/10.1021/ol502506g" TargetMode="External"/><Relationship Id="rId25" Type="http://schemas.openxmlformats.org/officeDocument/2006/relationships/hyperlink" Target="https://doi.org/10.1017/S0021875819000033" TargetMode="External"/><Relationship Id="rId28" Type="http://schemas.openxmlformats.org/officeDocument/2006/relationships/hyperlink" Target="https://openalex.org/funders/f4320319808" TargetMode="External"/><Relationship Id="rId1350" Type="http://schemas.openxmlformats.org/officeDocument/2006/relationships/hyperlink" Target="https://openalex.org/funders/f4320321001" TargetMode="External"/><Relationship Id="rId27" Type="http://schemas.openxmlformats.org/officeDocument/2006/relationships/hyperlink" Target="https://doi.org/10.1016/j.jphotochem.2020.112802" TargetMode="External"/><Relationship Id="rId1351" Type="http://schemas.openxmlformats.org/officeDocument/2006/relationships/hyperlink" Target="https://doi.org/10.1063/1.5119500" TargetMode="External"/><Relationship Id="rId521" Type="http://schemas.openxmlformats.org/officeDocument/2006/relationships/hyperlink" Target="https://doi.org/10.1111/j.1462-2920.2010.02351.x" TargetMode="External"/><Relationship Id="rId763" Type="http://schemas.openxmlformats.org/officeDocument/2006/relationships/hyperlink" Target="https://openalex.org/funders/f4320321001" TargetMode="External"/><Relationship Id="rId1110" Type="http://schemas.openxmlformats.org/officeDocument/2006/relationships/hyperlink" Target="https://openalex.org/funders/f4320323457" TargetMode="External"/><Relationship Id="rId1352" Type="http://schemas.openxmlformats.org/officeDocument/2006/relationships/hyperlink" Target="https://doi.org/10.1007/JHEP09(2018)092" TargetMode="External"/><Relationship Id="rId29" Type="http://schemas.openxmlformats.org/officeDocument/2006/relationships/hyperlink" Target="https://doi.org/10.1200/JCO.2018.79.2259" TargetMode="External"/><Relationship Id="rId520" Type="http://schemas.openxmlformats.org/officeDocument/2006/relationships/hyperlink" Target="https://openalex.org/funders/f4320321837" TargetMode="External"/><Relationship Id="rId762" Type="http://schemas.openxmlformats.org/officeDocument/2006/relationships/hyperlink" Target="https://doi.org/10.1691/ph.2016.6012" TargetMode="External"/><Relationship Id="rId1111" Type="http://schemas.openxmlformats.org/officeDocument/2006/relationships/hyperlink" Target="https://doi.org/10.3389/fnagi.2017.00111" TargetMode="External"/><Relationship Id="rId1353" Type="http://schemas.openxmlformats.org/officeDocument/2006/relationships/hyperlink" Target="https://doi.org/10.1038/s41598-017-01686-4" TargetMode="External"/><Relationship Id="rId761" Type="http://schemas.openxmlformats.org/officeDocument/2006/relationships/hyperlink" Target="https://openalex.org/funders/f4320310112" TargetMode="External"/><Relationship Id="rId1112" Type="http://schemas.openxmlformats.org/officeDocument/2006/relationships/hyperlink" Target="https://doi.org/10.1371/journal.pone.0044843" TargetMode="External"/><Relationship Id="rId1354" Type="http://schemas.openxmlformats.org/officeDocument/2006/relationships/hyperlink" Target="https://openalex.org/funders/f4320321001" TargetMode="External"/><Relationship Id="rId760" Type="http://schemas.openxmlformats.org/officeDocument/2006/relationships/hyperlink" Target="https://doi.org/10.1088/1742-6596/995/1/012045" TargetMode="External"/><Relationship Id="rId1113" Type="http://schemas.openxmlformats.org/officeDocument/2006/relationships/hyperlink" Target="https://doi.org/10.1155/2022/2124462" TargetMode="External"/><Relationship Id="rId1355" Type="http://schemas.openxmlformats.org/officeDocument/2006/relationships/hyperlink" Target="https://doi.org/10.1007/s11274-019-2662-5" TargetMode="External"/><Relationship Id="rId1103" Type="http://schemas.openxmlformats.org/officeDocument/2006/relationships/hyperlink" Target="https://doi.org/10.1186/1471-2334-13-48" TargetMode="External"/><Relationship Id="rId1345" Type="http://schemas.openxmlformats.org/officeDocument/2006/relationships/hyperlink" Target="https://doi.org/10.1016/j.amc.2016.07.038" TargetMode="External"/><Relationship Id="rId1104" Type="http://schemas.openxmlformats.org/officeDocument/2006/relationships/hyperlink" Target="https://doi.org/10.1002/joc.4599" TargetMode="External"/><Relationship Id="rId1346" Type="http://schemas.openxmlformats.org/officeDocument/2006/relationships/hyperlink" Target="https://openalex.org/funders/f4320309617" TargetMode="External"/><Relationship Id="rId1105" Type="http://schemas.openxmlformats.org/officeDocument/2006/relationships/hyperlink" Target="https://doi.org/10.1038/NMAT3150" TargetMode="External"/><Relationship Id="rId1347" Type="http://schemas.openxmlformats.org/officeDocument/2006/relationships/hyperlink" Target="https://doi.org/10.1016/S2214-109X(19)30309-2" TargetMode="External"/><Relationship Id="rId1106" Type="http://schemas.openxmlformats.org/officeDocument/2006/relationships/hyperlink" Target="https://doi.org/10.1016/j.envsoft.2020.104886" TargetMode="External"/><Relationship Id="rId1348" Type="http://schemas.openxmlformats.org/officeDocument/2006/relationships/hyperlink" Target="https://openalex.org/funders/f4320307856" TargetMode="External"/><Relationship Id="rId11" Type="http://schemas.openxmlformats.org/officeDocument/2006/relationships/hyperlink" Target="https://openalex.org/institutions/i176037994" TargetMode="External"/><Relationship Id="rId1107" Type="http://schemas.openxmlformats.org/officeDocument/2006/relationships/hyperlink" Target="https://doi.org/10.1016/j.urolonc.2013.09.012" TargetMode="External"/><Relationship Id="rId1349" Type="http://schemas.openxmlformats.org/officeDocument/2006/relationships/hyperlink" Target="https://doi.org/10.3390/s22041532" TargetMode="External"/><Relationship Id="rId10" Type="http://schemas.openxmlformats.org/officeDocument/2006/relationships/hyperlink" Target="https://doi.org/10.1016/j.ttbdis.2013.12.004" TargetMode="External"/><Relationship Id="rId1108" Type="http://schemas.openxmlformats.org/officeDocument/2006/relationships/hyperlink" Target="https://openalex.org/funders/f4320337357" TargetMode="External"/><Relationship Id="rId13" Type="http://schemas.openxmlformats.org/officeDocument/2006/relationships/hyperlink" Target="https://doi.org/10.1111/j.1440-1800.2011.00526.x" TargetMode="External"/><Relationship Id="rId1109" Type="http://schemas.openxmlformats.org/officeDocument/2006/relationships/hyperlink" Target="https://doi.org/10.1007/s12031-018-1240-x" TargetMode="External"/><Relationship Id="rId12" Type="http://schemas.openxmlformats.org/officeDocument/2006/relationships/hyperlink" Target="https://doi.org/10.1016/j.bmc.2007.08.015" TargetMode="External"/><Relationship Id="rId519" Type="http://schemas.openxmlformats.org/officeDocument/2006/relationships/hyperlink" Target="https://doi.org/10.1021/acs.jpca.5b12374" TargetMode="External"/><Relationship Id="rId514" Type="http://schemas.openxmlformats.org/officeDocument/2006/relationships/hyperlink" Target="https://doi.org/10.1109/JSEN.2016.2594135" TargetMode="External"/><Relationship Id="rId756" Type="http://schemas.openxmlformats.org/officeDocument/2006/relationships/hyperlink" Target="https://openalex.org/funders/f4320332605" TargetMode="External"/><Relationship Id="rId998" Type="http://schemas.openxmlformats.org/officeDocument/2006/relationships/hyperlink" Target="https://doi.org/10.1186/s13287-020-1564-7" TargetMode="External"/><Relationship Id="rId513" Type="http://schemas.openxmlformats.org/officeDocument/2006/relationships/hyperlink" Target="https://doi.org/10.1016/j.aquaculture.2018.10.031" TargetMode="External"/><Relationship Id="rId755" Type="http://schemas.openxmlformats.org/officeDocument/2006/relationships/hyperlink" Target="https://doi.org/10.1007/s00198-011-1694-y" TargetMode="External"/><Relationship Id="rId997" Type="http://schemas.openxmlformats.org/officeDocument/2006/relationships/hyperlink" Target="https://openalex.org/funders/f4320306115" TargetMode="External"/><Relationship Id="rId512" Type="http://schemas.openxmlformats.org/officeDocument/2006/relationships/hyperlink" Target="https://openalex.org/funders/f4320334627" TargetMode="External"/><Relationship Id="rId754" Type="http://schemas.openxmlformats.org/officeDocument/2006/relationships/hyperlink" Target="https://openalex.org/funders/f4320320879" TargetMode="External"/><Relationship Id="rId996" Type="http://schemas.openxmlformats.org/officeDocument/2006/relationships/hyperlink" Target="https://doi.org/10.1097/QAI.0000000000000640" TargetMode="External"/><Relationship Id="rId511" Type="http://schemas.openxmlformats.org/officeDocument/2006/relationships/hyperlink" Target="https://doi.org/10.1016/j.apenergy.2016.07.081" TargetMode="External"/><Relationship Id="rId753" Type="http://schemas.openxmlformats.org/officeDocument/2006/relationships/hyperlink" Target="https://doi.org/10.1021/acsbiomaterials.5b00483" TargetMode="External"/><Relationship Id="rId995" Type="http://schemas.openxmlformats.org/officeDocument/2006/relationships/hyperlink" Target="https://openalex.org/funders/f4320323016" TargetMode="External"/><Relationship Id="rId518" Type="http://schemas.openxmlformats.org/officeDocument/2006/relationships/hyperlink" Target="https://openalex.org/funders/f4320317010" TargetMode="External"/><Relationship Id="rId517" Type="http://schemas.openxmlformats.org/officeDocument/2006/relationships/hyperlink" Target="https://doi.org/10.1061/(ASCE)GM.1943-5622.0001138" TargetMode="External"/><Relationship Id="rId759" Type="http://schemas.openxmlformats.org/officeDocument/2006/relationships/hyperlink" Target="https://doi.org/10.1109/TNNLS.2013.2262180" TargetMode="External"/><Relationship Id="rId516" Type="http://schemas.openxmlformats.org/officeDocument/2006/relationships/hyperlink" Target="https://doi.org/10.1037/a0020473" TargetMode="External"/><Relationship Id="rId758" Type="http://schemas.openxmlformats.org/officeDocument/2006/relationships/hyperlink" Target="https://openalex.org/funders/f4320321001" TargetMode="External"/><Relationship Id="rId515" Type="http://schemas.openxmlformats.org/officeDocument/2006/relationships/hyperlink" Target="https://openalex.org/funders/f4320320834" TargetMode="External"/><Relationship Id="rId757" Type="http://schemas.openxmlformats.org/officeDocument/2006/relationships/hyperlink" Target="https://doi.org/10.1142/S0219498822500414" TargetMode="External"/><Relationship Id="rId999" Type="http://schemas.openxmlformats.org/officeDocument/2006/relationships/hyperlink" Target="https://doi.org/10.1039/c3ta00768e" TargetMode="External"/><Relationship Id="rId15" Type="http://schemas.openxmlformats.org/officeDocument/2006/relationships/hyperlink" Target="https://doi.org/10.1039/c7bm00162b" TargetMode="External"/><Relationship Id="rId990" Type="http://schemas.openxmlformats.org/officeDocument/2006/relationships/hyperlink" Target="https://doi.org/10.1016/j.placenta.2010.12.021" TargetMode="External"/><Relationship Id="rId14" Type="http://schemas.openxmlformats.org/officeDocument/2006/relationships/hyperlink" Target="https://openalex.org/funders/f4320334506" TargetMode="External"/><Relationship Id="rId17" Type="http://schemas.openxmlformats.org/officeDocument/2006/relationships/hyperlink" Target="https://doi.org/10.1128/MCB.00019-15" TargetMode="External"/><Relationship Id="rId16" Type="http://schemas.openxmlformats.org/officeDocument/2006/relationships/hyperlink" Target="https://doi.org/10.1039/c5ra17015j" TargetMode="External"/><Relationship Id="rId1340" Type="http://schemas.openxmlformats.org/officeDocument/2006/relationships/hyperlink" Target="https://openalex.org/funders/f4320332299" TargetMode="External"/><Relationship Id="rId19" Type="http://schemas.openxmlformats.org/officeDocument/2006/relationships/hyperlink" Target="https://openalex.org/funders/f4320338464" TargetMode="External"/><Relationship Id="rId510" Type="http://schemas.openxmlformats.org/officeDocument/2006/relationships/hyperlink" Target="https://doi.org/10.37236/9604" TargetMode="External"/><Relationship Id="rId752" Type="http://schemas.openxmlformats.org/officeDocument/2006/relationships/hyperlink" Target="https://doi.org/10.1109/TPAMI.2019.2914651" TargetMode="External"/><Relationship Id="rId994" Type="http://schemas.openxmlformats.org/officeDocument/2006/relationships/hyperlink" Target="https://doi.org/10.1016/j.ympev.2011.12.008" TargetMode="External"/><Relationship Id="rId1341" Type="http://schemas.openxmlformats.org/officeDocument/2006/relationships/hyperlink" Target="https://doi.org/10.1016/j.tet.2014.09.017" TargetMode="External"/><Relationship Id="rId18" Type="http://schemas.openxmlformats.org/officeDocument/2006/relationships/hyperlink" Target="https://doi.org/10.1111/j.1745-4514.2010.00492.x" TargetMode="External"/><Relationship Id="rId751" Type="http://schemas.openxmlformats.org/officeDocument/2006/relationships/hyperlink" Target="https://doi.org/10.1007/s10107-020-01540-y" TargetMode="External"/><Relationship Id="rId993" Type="http://schemas.openxmlformats.org/officeDocument/2006/relationships/hyperlink" Target="https://openalex.org/funders/f4320306101" TargetMode="External"/><Relationship Id="rId1100" Type="http://schemas.openxmlformats.org/officeDocument/2006/relationships/hyperlink" Target="https://doi.org/10.1134/S0031918X15040080" TargetMode="External"/><Relationship Id="rId1342" Type="http://schemas.openxmlformats.org/officeDocument/2006/relationships/hyperlink" Target="https://doi.org/10.1271/bbb.80346" TargetMode="External"/><Relationship Id="rId750" Type="http://schemas.openxmlformats.org/officeDocument/2006/relationships/hyperlink" Target="https://openalex.org/funders/f4320306193" TargetMode="External"/><Relationship Id="rId992" Type="http://schemas.openxmlformats.org/officeDocument/2006/relationships/hyperlink" Target="https://doi.org/10.1785/0120150133" TargetMode="External"/><Relationship Id="rId1101" Type="http://schemas.openxmlformats.org/officeDocument/2006/relationships/hyperlink" Target="https://openalex.org/funders/f4320321079" TargetMode="External"/><Relationship Id="rId1343" Type="http://schemas.openxmlformats.org/officeDocument/2006/relationships/hyperlink" Target="https://openalex.org/funders/f4320322266" TargetMode="External"/><Relationship Id="rId991" Type="http://schemas.openxmlformats.org/officeDocument/2006/relationships/hyperlink" Target="https://openalex.org/funders/f4320321001" TargetMode="External"/><Relationship Id="rId1102" Type="http://schemas.openxmlformats.org/officeDocument/2006/relationships/hyperlink" Target="https://doi.org/10.1016/j.msea.2016.07.085" TargetMode="External"/><Relationship Id="rId1344" Type="http://schemas.openxmlformats.org/officeDocument/2006/relationships/hyperlink" Target="https://doi.org/10.1088/1674-1056/23/5/050508" TargetMode="External"/><Relationship Id="rId84" Type="http://schemas.openxmlformats.org/officeDocument/2006/relationships/hyperlink" Target="https://doi.org/10.1093/bioinformatics/btl241" TargetMode="External"/><Relationship Id="rId83" Type="http://schemas.openxmlformats.org/officeDocument/2006/relationships/hyperlink" Target="https://openalex.org/funders/f4320326679" TargetMode="External"/><Relationship Id="rId86" Type="http://schemas.openxmlformats.org/officeDocument/2006/relationships/hyperlink" Target="https://doi.org/10.1109/TAES.2021.3087836" TargetMode="External"/><Relationship Id="rId85" Type="http://schemas.openxmlformats.org/officeDocument/2006/relationships/hyperlink" Target="https://openalex.org/funders/f4320337347" TargetMode="External"/><Relationship Id="rId88" Type="http://schemas.openxmlformats.org/officeDocument/2006/relationships/hyperlink" Target="https://openalex.org/funders/f4320335366" TargetMode="External"/><Relationship Id="rId87" Type="http://schemas.openxmlformats.org/officeDocument/2006/relationships/hyperlink" Target="https://doi.org/10.2174/1385272821666170428123013" TargetMode="External"/><Relationship Id="rId89" Type="http://schemas.openxmlformats.org/officeDocument/2006/relationships/hyperlink" Target="https://doi.org/10.1109/TCYB.2018.2876511" TargetMode="External"/><Relationship Id="rId709" Type="http://schemas.openxmlformats.org/officeDocument/2006/relationships/hyperlink" Target="https://openalex.org/funders/f4320321040" TargetMode="External"/><Relationship Id="rId708" Type="http://schemas.openxmlformats.org/officeDocument/2006/relationships/hyperlink" Target="https://doi.org/10.1002/pola.22956" TargetMode="External"/><Relationship Id="rId707" Type="http://schemas.openxmlformats.org/officeDocument/2006/relationships/hyperlink" Target="https://openalex.org/funders/f4320321001" TargetMode="External"/><Relationship Id="rId949" Type="http://schemas.openxmlformats.org/officeDocument/2006/relationships/hyperlink" Target="https://doi.org/10.1007/s12274-015-0840-9" TargetMode="External"/><Relationship Id="rId706" Type="http://schemas.openxmlformats.org/officeDocument/2006/relationships/hyperlink" Target="https://doi.org/10.1039/c7qm00209b" TargetMode="External"/><Relationship Id="rId948" Type="http://schemas.openxmlformats.org/officeDocument/2006/relationships/hyperlink" Target="https://openalex.org/funders/f4320322725" TargetMode="External"/><Relationship Id="rId80" Type="http://schemas.openxmlformats.org/officeDocument/2006/relationships/hyperlink" Target="https://doi.org/10.1093/gerona/glab323" TargetMode="External"/><Relationship Id="rId82" Type="http://schemas.openxmlformats.org/officeDocument/2006/relationships/hyperlink" Target="https://doi.org/10.3389/fenrg.2021.752592" TargetMode="External"/><Relationship Id="rId81" Type="http://schemas.openxmlformats.org/officeDocument/2006/relationships/hyperlink" Target="https://doi.org/10.1016/j.shaw.2020.05.003" TargetMode="External"/><Relationship Id="rId701" Type="http://schemas.openxmlformats.org/officeDocument/2006/relationships/hyperlink" Target="https://doi.org/10.1007/s11266-017-9882-9" TargetMode="External"/><Relationship Id="rId943" Type="http://schemas.openxmlformats.org/officeDocument/2006/relationships/hyperlink" Target="https://doi.org/10.1089/acm.2011.0404" TargetMode="External"/><Relationship Id="rId700" Type="http://schemas.openxmlformats.org/officeDocument/2006/relationships/hyperlink" Target="https://openalex.org/institutions/i3004594783" TargetMode="External"/><Relationship Id="rId942" Type="http://schemas.openxmlformats.org/officeDocument/2006/relationships/hyperlink" Target="https://doi.org/10.1161/HYPERTENSIONAHA.111.188706" TargetMode="External"/><Relationship Id="rId941" Type="http://schemas.openxmlformats.org/officeDocument/2006/relationships/hyperlink" Target="https://doi.org/10.1109/PIERS53385.2021.9694841" TargetMode="External"/><Relationship Id="rId940" Type="http://schemas.openxmlformats.org/officeDocument/2006/relationships/hyperlink" Target="https://openalex.org/funders/f4320321001" TargetMode="External"/><Relationship Id="rId705" Type="http://schemas.openxmlformats.org/officeDocument/2006/relationships/hyperlink" Target="https://doi.org/10.1038/s41565-021-00848-w" TargetMode="External"/><Relationship Id="rId947" Type="http://schemas.openxmlformats.org/officeDocument/2006/relationships/hyperlink" Target="https://doi.org/10.1016/j.scitotenv.2020.137040" TargetMode="External"/><Relationship Id="rId704" Type="http://schemas.openxmlformats.org/officeDocument/2006/relationships/hyperlink" Target="https://openalex.org/funders/f4320322120" TargetMode="External"/><Relationship Id="rId946" Type="http://schemas.openxmlformats.org/officeDocument/2006/relationships/hyperlink" Target="https://openalex.org/funders/f4320321145" TargetMode="External"/><Relationship Id="rId703" Type="http://schemas.openxmlformats.org/officeDocument/2006/relationships/hyperlink" Target="https://doi.org/10.1116/1.4913872" TargetMode="External"/><Relationship Id="rId945" Type="http://schemas.openxmlformats.org/officeDocument/2006/relationships/hyperlink" Target="https://doi.org/10.1016/j.ecoenv.2022.114128" TargetMode="External"/><Relationship Id="rId702" Type="http://schemas.openxmlformats.org/officeDocument/2006/relationships/hyperlink" Target="https://openalex.org/funders/f4320321837" TargetMode="External"/><Relationship Id="rId944" Type="http://schemas.openxmlformats.org/officeDocument/2006/relationships/hyperlink" Target="https://doi.org/10.3390/en10121951" TargetMode="External"/><Relationship Id="rId73" Type="http://schemas.openxmlformats.org/officeDocument/2006/relationships/hyperlink" Target="https://doi.org/10.1002/mrm.22850" TargetMode="External"/><Relationship Id="rId72" Type="http://schemas.openxmlformats.org/officeDocument/2006/relationships/hyperlink" Target="https://doi.org/10.1007/s11249-018-1127-6" TargetMode="External"/><Relationship Id="rId75" Type="http://schemas.openxmlformats.org/officeDocument/2006/relationships/hyperlink" Target="https://openalex.org/funders/f4320322120" TargetMode="External"/><Relationship Id="rId74" Type="http://schemas.openxmlformats.org/officeDocument/2006/relationships/hyperlink" Target="https://doi.org/10.1245/s10434-019-08102-3" TargetMode="External"/><Relationship Id="rId77" Type="http://schemas.openxmlformats.org/officeDocument/2006/relationships/hyperlink" Target="https://doi.org/10.1016/S1003-6326(20)65305-5" TargetMode="External"/><Relationship Id="rId76" Type="http://schemas.openxmlformats.org/officeDocument/2006/relationships/hyperlink" Target="https://doi.org/10.1007/s10459-022-10171-1" TargetMode="External"/><Relationship Id="rId79" Type="http://schemas.openxmlformats.org/officeDocument/2006/relationships/hyperlink" Target="https://openalex.org/funders/f4320335787" TargetMode="External"/><Relationship Id="rId78" Type="http://schemas.openxmlformats.org/officeDocument/2006/relationships/hyperlink" Target="https://doi.org/10.4208/eajam.100620.170920" TargetMode="External"/><Relationship Id="rId939" Type="http://schemas.openxmlformats.org/officeDocument/2006/relationships/hyperlink" Target="https://doi.org/10.1039/d2cc04868j" TargetMode="External"/><Relationship Id="rId938" Type="http://schemas.openxmlformats.org/officeDocument/2006/relationships/hyperlink" Target="https://openalex.org/funders/f4320321800" TargetMode="External"/><Relationship Id="rId937" Type="http://schemas.openxmlformats.org/officeDocument/2006/relationships/hyperlink" Target="https://doi.org/10.1111/fwb.12089" TargetMode="External"/><Relationship Id="rId71" Type="http://schemas.openxmlformats.org/officeDocument/2006/relationships/hyperlink" Target="https://openalex.org/funders/f4320337337" TargetMode="External"/><Relationship Id="rId70" Type="http://schemas.openxmlformats.org/officeDocument/2006/relationships/hyperlink" Target="https://doi.org/10.3758/s13415-011-0039-9" TargetMode="External"/><Relationship Id="rId932" Type="http://schemas.openxmlformats.org/officeDocument/2006/relationships/hyperlink" Target="https://doi.org/10.1016/j.combustflame.2022.112051" TargetMode="External"/><Relationship Id="rId931" Type="http://schemas.openxmlformats.org/officeDocument/2006/relationships/hyperlink" Target="https://openalex.org/funders/f4320332161" TargetMode="External"/><Relationship Id="rId930" Type="http://schemas.openxmlformats.org/officeDocument/2006/relationships/hyperlink" Target="https://doi.org/10.1021/acsbiomaterials.6b00328" TargetMode="External"/><Relationship Id="rId936" Type="http://schemas.openxmlformats.org/officeDocument/2006/relationships/hyperlink" Target="https://openalex.org/funders/f4320322025" TargetMode="External"/><Relationship Id="rId935" Type="http://schemas.openxmlformats.org/officeDocument/2006/relationships/hyperlink" Target="https://doi.org/10.4081/reumatismo.2021.1357" TargetMode="External"/><Relationship Id="rId934" Type="http://schemas.openxmlformats.org/officeDocument/2006/relationships/hyperlink" Target="https://doi.org/10.1103/PhysRevA.97.053838" TargetMode="External"/><Relationship Id="rId933" Type="http://schemas.openxmlformats.org/officeDocument/2006/relationships/hyperlink" Target="https://doi.org/10.1038/s41524-022-00797-5" TargetMode="External"/><Relationship Id="rId62" Type="http://schemas.openxmlformats.org/officeDocument/2006/relationships/hyperlink" Target="https://doi.org/10.1080/17451000903478327" TargetMode="External"/><Relationship Id="rId1312" Type="http://schemas.openxmlformats.org/officeDocument/2006/relationships/hyperlink" Target="https://doi.org/10.1002/aenm.201803175" TargetMode="External"/><Relationship Id="rId61" Type="http://schemas.openxmlformats.org/officeDocument/2006/relationships/hyperlink" Target="https://doi.org/10.3390/s21031011" TargetMode="External"/><Relationship Id="rId1313" Type="http://schemas.openxmlformats.org/officeDocument/2006/relationships/hyperlink" Target="https://doi.org/10.1016/j.toxlet.2011.05.1021" TargetMode="External"/><Relationship Id="rId64" Type="http://schemas.openxmlformats.org/officeDocument/2006/relationships/hyperlink" Target="https://doi.org/10.1016/j.ijleo.2016.03.064" TargetMode="External"/><Relationship Id="rId1314" Type="http://schemas.openxmlformats.org/officeDocument/2006/relationships/hyperlink" Target="https://openalex.org/funders/f4320334631" TargetMode="External"/><Relationship Id="rId63" Type="http://schemas.openxmlformats.org/officeDocument/2006/relationships/hyperlink" Target="https://openalex.org/funders/f4320321594" TargetMode="External"/><Relationship Id="rId1315" Type="http://schemas.openxmlformats.org/officeDocument/2006/relationships/hyperlink" Target="https://doi.org/10.15376/biores.18.1.228-246" TargetMode="External"/><Relationship Id="rId66" Type="http://schemas.openxmlformats.org/officeDocument/2006/relationships/hyperlink" Target="https://openalex.org/institutions/i2800982320" TargetMode="External"/><Relationship Id="rId1316" Type="http://schemas.openxmlformats.org/officeDocument/2006/relationships/hyperlink" Target="https://doi.org/10.1016/j.apsusc.2014.12.020" TargetMode="External"/><Relationship Id="rId65" Type="http://schemas.openxmlformats.org/officeDocument/2006/relationships/hyperlink" Target="https://doi.org/10.1016/j.ijpharm.2015.07.033" TargetMode="External"/><Relationship Id="rId1317" Type="http://schemas.openxmlformats.org/officeDocument/2006/relationships/hyperlink" Target="https://openalex.org/funders/f4320322120" TargetMode="External"/><Relationship Id="rId68" Type="http://schemas.openxmlformats.org/officeDocument/2006/relationships/hyperlink" Target="https://doi.org/10.1021/acs.est.8b00462" TargetMode="External"/><Relationship Id="rId1318" Type="http://schemas.openxmlformats.org/officeDocument/2006/relationships/hyperlink" Target="https://doi.org/10.1177/2043808719838937" TargetMode="External"/><Relationship Id="rId67" Type="http://schemas.openxmlformats.org/officeDocument/2006/relationships/hyperlink" Target="https://doi.org/10.1016/j.fishres.2015.03.018" TargetMode="External"/><Relationship Id="rId1319" Type="http://schemas.openxmlformats.org/officeDocument/2006/relationships/hyperlink" Target="https://openalex.org/institutions/i122879082" TargetMode="External"/><Relationship Id="rId729" Type="http://schemas.openxmlformats.org/officeDocument/2006/relationships/hyperlink" Target="https://doi.org/10.1515/jpem-2014-0242" TargetMode="External"/><Relationship Id="rId728" Type="http://schemas.openxmlformats.org/officeDocument/2006/relationships/hyperlink" Target="https://openalex.org/funders/f4320334627" TargetMode="External"/><Relationship Id="rId60" Type="http://schemas.openxmlformats.org/officeDocument/2006/relationships/hyperlink" Target="https://openalex.org/funders/f4320321040" TargetMode="External"/><Relationship Id="rId723" Type="http://schemas.openxmlformats.org/officeDocument/2006/relationships/hyperlink" Target="https://doi.org/10.1055/a-1777-2423" TargetMode="External"/><Relationship Id="rId965" Type="http://schemas.openxmlformats.org/officeDocument/2006/relationships/hyperlink" Target="https://doi.org/10.1177/097542531100200206" TargetMode="External"/><Relationship Id="rId722" Type="http://schemas.openxmlformats.org/officeDocument/2006/relationships/hyperlink" Target="https://openalex.org/funders/f4320322030" TargetMode="External"/><Relationship Id="rId964" Type="http://schemas.openxmlformats.org/officeDocument/2006/relationships/hyperlink" Target="https://doi.org/10.1038/s41598-021-82007-8" TargetMode="External"/><Relationship Id="rId721" Type="http://schemas.openxmlformats.org/officeDocument/2006/relationships/hyperlink" Target="https://doi.org/10.1016/j.bmcl.2014.09.089" TargetMode="External"/><Relationship Id="rId963" Type="http://schemas.openxmlformats.org/officeDocument/2006/relationships/hyperlink" Target="https://doi.org/10.1049/cit2.12090" TargetMode="External"/><Relationship Id="rId720" Type="http://schemas.openxmlformats.org/officeDocument/2006/relationships/hyperlink" Target="https://openalex.org/institutions/i4210093762" TargetMode="External"/><Relationship Id="rId962" Type="http://schemas.openxmlformats.org/officeDocument/2006/relationships/hyperlink" Target="https://openalex.org/funders/f4320322120" TargetMode="External"/><Relationship Id="rId727" Type="http://schemas.openxmlformats.org/officeDocument/2006/relationships/hyperlink" Target="https://doi.org/10.1016/j.advwatres.2020.103693" TargetMode="External"/><Relationship Id="rId969" Type="http://schemas.openxmlformats.org/officeDocument/2006/relationships/hyperlink" Target="https://doi.org/10.1016/j.ijpharm.2015.11.038" TargetMode="External"/><Relationship Id="rId726" Type="http://schemas.openxmlformats.org/officeDocument/2006/relationships/hyperlink" Target="https://openalex.org/funders/f4320337354" TargetMode="External"/><Relationship Id="rId968" Type="http://schemas.openxmlformats.org/officeDocument/2006/relationships/hyperlink" Target="https://openalex.org/funders/f4320322622" TargetMode="External"/><Relationship Id="rId725" Type="http://schemas.openxmlformats.org/officeDocument/2006/relationships/hyperlink" Target="https://doi.org/10.2217/pgs-2018-0047" TargetMode="External"/><Relationship Id="rId967" Type="http://schemas.openxmlformats.org/officeDocument/2006/relationships/hyperlink" Target="https://doi.org/10.1016/j.jiec.2017.03.026" TargetMode="External"/><Relationship Id="rId724" Type="http://schemas.openxmlformats.org/officeDocument/2006/relationships/hyperlink" Target="https://openalex.org/funders/f4320320767" TargetMode="External"/><Relationship Id="rId966" Type="http://schemas.openxmlformats.org/officeDocument/2006/relationships/hyperlink" Target="https://doi.org/10.1038/nature18273" TargetMode="External"/><Relationship Id="rId69" Type="http://schemas.openxmlformats.org/officeDocument/2006/relationships/hyperlink" Target="https://openalex.org/funders/f4320313659" TargetMode="External"/><Relationship Id="rId961" Type="http://schemas.openxmlformats.org/officeDocument/2006/relationships/hyperlink" Target="https://doi.org/10.1038/s41574-021-00554-6" TargetMode="External"/><Relationship Id="rId960" Type="http://schemas.openxmlformats.org/officeDocument/2006/relationships/hyperlink" Target="https://doi.org/10.1016/j.jct.2014.04.026" TargetMode="External"/><Relationship Id="rId1310" Type="http://schemas.openxmlformats.org/officeDocument/2006/relationships/hyperlink" Target="https://doi.org/10.1016/j.ymeth.2008.01.011" TargetMode="External"/><Relationship Id="rId1311" Type="http://schemas.openxmlformats.org/officeDocument/2006/relationships/hyperlink" Target="https://doi.org/10.1016/j.powtec.2018.09.014" TargetMode="External"/><Relationship Id="rId51" Type="http://schemas.openxmlformats.org/officeDocument/2006/relationships/hyperlink" Target="https://openalex.org/funders/f4320321001" TargetMode="External"/><Relationship Id="rId1301" Type="http://schemas.openxmlformats.org/officeDocument/2006/relationships/hyperlink" Target="https://doi.org/10.1089/fpd.2008.0125" TargetMode="External"/><Relationship Id="rId50" Type="http://schemas.openxmlformats.org/officeDocument/2006/relationships/hyperlink" Target="https://doi.org/10.1016/j.scitotenv.2022.157369" TargetMode="External"/><Relationship Id="rId1302" Type="http://schemas.openxmlformats.org/officeDocument/2006/relationships/hyperlink" Target="https://openalex.org/institutions/i1336096307" TargetMode="External"/><Relationship Id="rId53" Type="http://schemas.openxmlformats.org/officeDocument/2006/relationships/hyperlink" Target="https://doi.org/10.1007/s12098-015-1818-z" TargetMode="External"/><Relationship Id="rId1303" Type="http://schemas.openxmlformats.org/officeDocument/2006/relationships/hyperlink" Target="https://doi.org/10.1109/LPT.2014.2325935" TargetMode="External"/><Relationship Id="rId52" Type="http://schemas.openxmlformats.org/officeDocument/2006/relationships/hyperlink" Target="https://doi.org/10.1117/1.3494556" TargetMode="External"/><Relationship Id="rId1304" Type="http://schemas.openxmlformats.org/officeDocument/2006/relationships/hyperlink" Target="https://doi.org/10.1108/17440081111165875" TargetMode="External"/><Relationship Id="rId55" Type="http://schemas.openxmlformats.org/officeDocument/2006/relationships/hyperlink" Target="https://doi.org/10.1109/ACCESS.2021.3128399" TargetMode="External"/><Relationship Id="rId1305" Type="http://schemas.openxmlformats.org/officeDocument/2006/relationships/hyperlink" Target="https://doi.org/10.1021/ja807435q" TargetMode="External"/><Relationship Id="rId54" Type="http://schemas.openxmlformats.org/officeDocument/2006/relationships/hyperlink" Target="https://openalex.org/funders/f4320309209" TargetMode="External"/><Relationship Id="rId1306" Type="http://schemas.openxmlformats.org/officeDocument/2006/relationships/hyperlink" Target="https://openalex.org/funders/f4320306076" TargetMode="External"/><Relationship Id="rId57" Type="http://schemas.openxmlformats.org/officeDocument/2006/relationships/hyperlink" Target="https://doi.org/10.1055/s-0043-104934" TargetMode="External"/><Relationship Id="rId1307" Type="http://schemas.openxmlformats.org/officeDocument/2006/relationships/hyperlink" Target="https://doi.org/10.1016/j.csite.2022.101916" TargetMode="External"/><Relationship Id="rId56" Type="http://schemas.openxmlformats.org/officeDocument/2006/relationships/hyperlink" Target="https://openalex.org/funders/f4320334468" TargetMode="External"/><Relationship Id="rId1308" Type="http://schemas.openxmlformats.org/officeDocument/2006/relationships/hyperlink" Target="https://openalex.org/funders/f4320322795" TargetMode="External"/><Relationship Id="rId1309" Type="http://schemas.openxmlformats.org/officeDocument/2006/relationships/hyperlink" Target="https://doi.org/10.1007/s11107-017-0745-5" TargetMode="External"/><Relationship Id="rId719" Type="http://schemas.openxmlformats.org/officeDocument/2006/relationships/hyperlink" Target="https://doi.org/10.1088/0953-8984/22/49/495102" TargetMode="External"/><Relationship Id="rId718" Type="http://schemas.openxmlformats.org/officeDocument/2006/relationships/hyperlink" Target="https://openalex.org/funders/f4320337351" TargetMode="External"/><Relationship Id="rId717" Type="http://schemas.openxmlformats.org/officeDocument/2006/relationships/hyperlink" Target="https://doi.org/10.1186/s13578-016-0080-z" TargetMode="External"/><Relationship Id="rId959" Type="http://schemas.openxmlformats.org/officeDocument/2006/relationships/hyperlink" Target="https://doi.org/10.1364/AO.451861" TargetMode="External"/><Relationship Id="rId712" Type="http://schemas.openxmlformats.org/officeDocument/2006/relationships/hyperlink" Target="https://doi.org/10.1016/j.phymed.2016.10.015" TargetMode="External"/><Relationship Id="rId954" Type="http://schemas.openxmlformats.org/officeDocument/2006/relationships/hyperlink" Target="https://openalex.org/funders/f4320319387" TargetMode="External"/><Relationship Id="rId711" Type="http://schemas.openxmlformats.org/officeDocument/2006/relationships/hyperlink" Target="https://openalex.org/funders/f4320337346" TargetMode="External"/><Relationship Id="rId953" Type="http://schemas.openxmlformats.org/officeDocument/2006/relationships/hyperlink" Target="https://doi.org/10.1111/j.1365-2621.2009.02006.x" TargetMode="External"/><Relationship Id="rId710" Type="http://schemas.openxmlformats.org/officeDocument/2006/relationships/hyperlink" Target="https://doi.org/10.1002/dev.22057" TargetMode="External"/><Relationship Id="rId952" Type="http://schemas.openxmlformats.org/officeDocument/2006/relationships/hyperlink" Target="https://doi.org/10.1007/s11107-014-0440-8" TargetMode="External"/><Relationship Id="rId951" Type="http://schemas.openxmlformats.org/officeDocument/2006/relationships/hyperlink" Target="https://doi.org/10.1080/15476286.2017.1379645" TargetMode="External"/><Relationship Id="rId716" Type="http://schemas.openxmlformats.org/officeDocument/2006/relationships/hyperlink" Target="https://openalex.org/funders/f4320321408" TargetMode="External"/><Relationship Id="rId958" Type="http://schemas.openxmlformats.org/officeDocument/2006/relationships/hyperlink" Target="https://openalex.org/funders/f4320334627" TargetMode="External"/><Relationship Id="rId715" Type="http://schemas.openxmlformats.org/officeDocument/2006/relationships/hyperlink" Target="https://doi.org/10.1007/s12540-015-4338-5" TargetMode="External"/><Relationship Id="rId957" Type="http://schemas.openxmlformats.org/officeDocument/2006/relationships/hyperlink" Target="https://doi.org/10.1007/s10586-015-0510-4" TargetMode="External"/><Relationship Id="rId714" Type="http://schemas.openxmlformats.org/officeDocument/2006/relationships/hyperlink" Target="https://doi.org/10.1371/journal.pone.0022901" TargetMode="External"/><Relationship Id="rId956" Type="http://schemas.openxmlformats.org/officeDocument/2006/relationships/hyperlink" Target="https://doi.org/10.1017/jfm.2019.171" TargetMode="External"/><Relationship Id="rId713" Type="http://schemas.openxmlformats.org/officeDocument/2006/relationships/hyperlink" Target="https://openalex.org/funders/f4320321001" TargetMode="External"/><Relationship Id="rId955" Type="http://schemas.openxmlformats.org/officeDocument/2006/relationships/hyperlink" Target="https://doi.org/10.1103/PhysRevA.91.022307" TargetMode="External"/><Relationship Id="rId59" Type="http://schemas.openxmlformats.org/officeDocument/2006/relationships/hyperlink" Target="https://doi.org/10.1080/09593330.2011.556670" TargetMode="External"/><Relationship Id="rId58" Type="http://schemas.openxmlformats.org/officeDocument/2006/relationships/hyperlink" Target="https://openalex.org/funders/f4320322120" TargetMode="External"/><Relationship Id="rId950" Type="http://schemas.openxmlformats.org/officeDocument/2006/relationships/hyperlink" Target="https://doi.org/10.1016/j.palaeo.2018.02.017" TargetMode="External"/><Relationship Id="rId1300" Type="http://schemas.openxmlformats.org/officeDocument/2006/relationships/hyperlink" Target="https://openalex.org/institutions/i4390039376" TargetMode="External"/><Relationship Id="rId590" Type="http://schemas.openxmlformats.org/officeDocument/2006/relationships/hyperlink" Target="https://openalex.org/funders/f4320321001" TargetMode="External"/><Relationship Id="rId107" Type="http://schemas.openxmlformats.org/officeDocument/2006/relationships/hyperlink" Target="https://doi.org/10.3390/md20030188" TargetMode="External"/><Relationship Id="rId349" Type="http://schemas.openxmlformats.org/officeDocument/2006/relationships/hyperlink" Target="https://doi.org/10.1080/00029157.2017.1335635" TargetMode="External"/><Relationship Id="rId106" Type="http://schemas.openxmlformats.org/officeDocument/2006/relationships/hyperlink" Target="https://openalex.org/funders/f4320334627" TargetMode="External"/><Relationship Id="rId348" Type="http://schemas.openxmlformats.org/officeDocument/2006/relationships/hyperlink" Target="https://openalex.org/funders/f4320321001" TargetMode="External"/><Relationship Id="rId105" Type="http://schemas.openxmlformats.org/officeDocument/2006/relationships/hyperlink" Target="https://doi.org/10.1017/S0305004112000564" TargetMode="External"/><Relationship Id="rId347" Type="http://schemas.openxmlformats.org/officeDocument/2006/relationships/hyperlink" Target="https://doi.org/10.1080/17455030.2021.1879406" TargetMode="External"/><Relationship Id="rId589" Type="http://schemas.openxmlformats.org/officeDocument/2006/relationships/hyperlink" Target="https://doi.org/10.1002/mma.4355" TargetMode="External"/><Relationship Id="rId104" Type="http://schemas.openxmlformats.org/officeDocument/2006/relationships/hyperlink" Target="https://openalex.org/funders/f4320320847" TargetMode="External"/><Relationship Id="rId346" Type="http://schemas.openxmlformats.org/officeDocument/2006/relationships/hyperlink" Target="https://doi.org/10.1016/j.ssc.2011.01.022" TargetMode="External"/><Relationship Id="rId588" Type="http://schemas.openxmlformats.org/officeDocument/2006/relationships/hyperlink" Target="https://openalex.org/funders/f4320321079" TargetMode="External"/><Relationship Id="rId109" Type="http://schemas.openxmlformats.org/officeDocument/2006/relationships/hyperlink" Target="https://doi.org/10.1109/LMWC.2020.3008494" TargetMode="External"/><Relationship Id="rId1170" Type="http://schemas.openxmlformats.org/officeDocument/2006/relationships/hyperlink" Target="https://openalex.org/funders/f4320335787" TargetMode="External"/><Relationship Id="rId108" Type="http://schemas.openxmlformats.org/officeDocument/2006/relationships/hyperlink" Target="https://openalex.org/funders/f4320316071" TargetMode="External"/><Relationship Id="rId1171" Type="http://schemas.openxmlformats.org/officeDocument/2006/relationships/hyperlink" Target="https://doi.org/10.1016/j.neuroimage.2018.01.075" TargetMode="External"/><Relationship Id="rId341" Type="http://schemas.openxmlformats.org/officeDocument/2006/relationships/hyperlink" Target="https://doi.org/10.1007/s11771-019-4111-x" TargetMode="External"/><Relationship Id="rId583" Type="http://schemas.openxmlformats.org/officeDocument/2006/relationships/hyperlink" Target="https://openalex.org/funders/f4320321040" TargetMode="External"/><Relationship Id="rId1172" Type="http://schemas.openxmlformats.org/officeDocument/2006/relationships/hyperlink" Target="https://doi.org/10.1016/j.ajog.2014.09.035" TargetMode="External"/><Relationship Id="rId340" Type="http://schemas.openxmlformats.org/officeDocument/2006/relationships/hyperlink" Target="https://openalex.org/funders/f4320312633" TargetMode="External"/><Relationship Id="rId582" Type="http://schemas.openxmlformats.org/officeDocument/2006/relationships/hyperlink" Target="https://doi.org/10.1109/TVLSI.2008.2005672" TargetMode="External"/><Relationship Id="rId1173" Type="http://schemas.openxmlformats.org/officeDocument/2006/relationships/hyperlink" Target="https://openalex.org/funders/f4320337611" TargetMode="External"/><Relationship Id="rId581" Type="http://schemas.openxmlformats.org/officeDocument/2006/relationships/hyperlink" Target="https://openalex.org/funders/f4320322120" TargetMode="External"/><Relationship Id="rId1174" Type="http://schemas.openxmlformats.org/officeDocument/2006/relationships/hyperlink" Target="https://doi.org/10.1016/j.fitote.2017.07.018" TargetMode="External"/><Relationship Id="rId580" Type="http://schemas.openxmlformats.org/officeDocument/2006/relationships/hyperlink" Target="https://doi.org/10.1039/d1ay02077c" TargetMode="External"/><Relationship Id="rId1175" Type="http://schemas.openxmlformats.org/officeDocument/2006/relationships/hyperlink" Target="https://openalex.org/funders/f4320324202" TargetMode="External"/><Relationship Id="rId103" Type="http://schemas.openxmlformats.org/officeDocument/2006/relationships/hyperlink" Target="https://doi.org/10.1016/j.animal.2021.100321" TargetMode="External"/><Relationship Id="rId345" Type="http://schemas.openxmlformats.org/officeDocument/2006/relationships/hyperlink" Target="https://doi.org/10.1016/j.expthermflusci.2017.06.011" TargetMode="External"/><Relationship Id="rId587" Type="http://schemas.openxmlformats.org/officeDocument/2006/relationships/hyperlink" Target="https://doi.org/10.1134/S0081543811050099" TargetMode="External"/><Relationship Id="rId1176" Type="http://schemas.openxmlformats.org/officeDocument/2006/relationships/hyperlink" Target="https://doi.org/10.1016/j.resmic.2016.06.009" TargetMode="External"/><Relationship Id="rId102" Type="http://schemas.openxmlformats.org/officeDocument/2006/relationships/hyperlink" Target="https://doi.org/10.1002/hep.29499" TargetMode="External"/><Relationship Id="rId344" Type="http://schemas.openxmlformats.org/officeDocument/2006/relationships/hyperlink" Target="https://openalex.org/funders/f4320320912" TargetMode="External"/><Relationship Id="rId586" Type="http://schemas.openxmlformats.org/officeDocument/2006/relationships/hyperlink" Target="https://openalex.org/institutions/i1320481043" TargetMode="External"/><Relationship Id="rId1177" Type="http://schemas.openxmlformats.org/officeDocument/2006/relationships/hyperlink" Target="https://openalex.org/institutions/i2800866597" TargetMode="External"/><Relationship Id="rId101" Type="http://schemas.openxmlformats.org/officeDocument/2006/relationships/hyperlink" Target="https://openalex.org/funders/f4320321040" TargetMode="External"/><Relationship Id="rId343" Type="http://schemas.openxmlformats.org/officeDocument/2006/relationships/hyperlink" Target="https://doi.org/10.1016/j.biortech.2015.03.127" TargetMode="External"/><Relationship Id="rId585" Type="http://schemas.openxmlformats.org/officeDocument/2006/relationships/hyperlink" Target="https://doi.org/10.1364/OE.23.029715" TargetMode="External"/><Relationship Id="rId1178" Type="http://schemas.openxmlformats.org/officeDocument/2006/relationships/hyperlink" Target="https://doi.org/10.1038/ncomms3195" TargetMode="External"/><Relationship Id="rId100" Type="http://schemas.openxmlformats.org/officeDocument/2006/relationships/hyperlink" Target="https://doi.org/10.1016/j.jinf.2013.07.029" TargetMode="External"/><Relationship Id="rId342" Type="http://schemas.openxmlformats.org/officeDocument/2006/relationships/hyperlink" Target="https://doi.org/10.1007/s00213-019-05341-w" TargetMode="External"/><Relationship Id="rId584" Type="http://schemas.openxmlformats.org/officeDocument/2006/relationships/hyperlink" Target="https://doi.org/10.1016/j.apor.2021.102836" TargetMode="External"/><Relationship Id="rId1179" Type="http://schemas.openxmlformats.org/officeDocument/2006/relationships/hyperlink" Target="https://doi.org/10.1007/s10653-015-9716-x" TargetMode="External"/><Relationship Id="rId1169" Type="http://schemas.openxmlformats.org/officeDocument/2006/relationships/hyperlink" Target="https://doi.org/10.1002/ghg.1874" TargetMode="External"/><Relationship Id="rId338" Type="http://schemas.openxmlformats.org/officeDocument/2006/relationships/hyperlink" Target="https://openalex.org/funders/f4320308269" TargetMode="External"/><Relationship Id="rId337" Type="http://schemas.openxmlformats.org/officeDocument/2006/relationships/hyperlink" Target="https://doi.org/10.1103/PhysRevA.97.013426" TargetMode="External"/><Relationship Id="rId579" Type="http://schemas.openxmlformats.org/officeDocument/2006/relationships/hyperlink" Target="https://openalex.org/funders/f4320321181" TargetMode="External"/><Relationship Id="rId336" Type="http://schemas.openxmlformats.org/officeDocument/2006/relationships/hyperlink" Target="https://openalex.org/funders/f4320337355" TargetMode="External"/><Relationship Id="rId578" Type="http://schemas.openxmlformats.org/officeDocument/2006/relationships/hyperlink" Target="https://doi.org/10.1038/s41598-021-82613-6" TargetMode="External"/><Relationship Id="rId335" Type="http://schemas.openxmlformats.org/officeDocument/2006/relationships/hyperlink" Target="https://doi.org/10.1086/650304" TargetMode="External"/><Relationship Id="rId577" Type="http://schemas.openxmlformats.org/officeDocument/2006/relationships/hyperlink" Target="https://doi.org/10.1016/j.cclet.2022.01.013" TargetMode="External"/><Relationship Id="rId339" Type="http://schemas.openxmlformats.org/officeDocument/2006/relationships/hyperlink" Target="https://doi.org/10.1016/j.foreco.2022.120142" TargetMode="External"/><Relationship Id="rId1160" Type="http://schemas.openxmlformats.org/officeDocument/2006/relationships/hyperlink" Target="https://openalex.org/funders/f4320334764" TargetMode="External"/><Relationship Id="rId330" Type="http://schemas.openxmlformats.org/officeDocument/2006/relationships/hyperlink" Target="https://doi.org/10.19195/0208-4147.38.2.11" TargetMode="External"/><Relationship Id="rId572" Type="http://schemas.openxmlformats.org/officeDocument/2006/relationships/hyperlink" Target="https://openalex.org/funders/f4320321408" TargetMode="External"/><Relationship Id="rId1161" Type="http://schemas.openxmlformats.org/officeDocument/2006/relationships/hyperlink" Target="https://doi.org/10.1177/1043659611404424" TargetMode="External"/><Relationship Id="rId571" Type="http://schemas.openxmlformats.org/officeDocument/2006/relationships/hyperlink" Target="https://doi.org/10.1186/s40100-022-00215-w" TargetMode="External"/><Relationship Id="rId1162" Type="http://schemas.openxmlformats.org/officeDocument/2006/relationships/hyperlink" Target="https://openalex.org/funders/f4320322716" TargetMode="External"/><Relationship Id="rId570" Type="http://schemas.openxmlformats.org/officeDocument/2006/relationships/hyperlink" Target="https://doi.org/10.1088/0004-637X/770/1/57" TargetMode="External"/><Relationship Id="rId1163" Type="http://schemas.openxmlformats.org/officeDocument/2006/relationships/hyperlink" Target="https://doi.org/10.1161/STROKEAHA.111.620187" TargetMode="External"/><Relationship Id="rId1164" Type="http://schemas.openxmlformats.org/officeDocument/2006/relationships/hyperlink" Target="https://doi.org/10.1515/cclm-2013-0209" TargetMode="External"/><Relationship Id="rId334" Type="http://schemas.openxmlformats.org/officeDocument/2006/relationships/hyperlink" Target="https://doi.org/10.4028/www.scientific.net/AMR.382.396" TargetMode="External"/><Relationship Id="rId576" Type="http://schemas.openxmlformats.org/officeDocument/2006/relationships/hyperlink" Target="https://doi.org/10.3390/molecules19068472" TargetMode="External"/><Relationship Id="rId1165" Type="http://schemas.openxmlformats.org/officeDocument/2006/relationships/hyperlink" Target="https://openalex.org/funders/f4320322218" TargetMode="External"/><Relationship Id="rId333" Type="http://schemas.openxmlformats.org/officeDocument/2006/relationships/hyperlink" Target="https://openalex.org/institutions/i1279684262" TargetMode="External"/><Relationship Id="rId575" Type="http://schemas.openxmlformats.org/officeDocument/2006/relationships/hyperlink" Target="https://openalex.org/funders/f4320320912" TargetMode="External"/><Relationship Id="rId1166" Type="http://schemas.openxmlformats.org/officeDocument/2006/relationships/hyperlink" Target="https://doi.org/10.1016/j.aml.2010.01.014" TargetMode="External"/><Relationship Id="rId332" Type="http://schemas.openxmlformats.org/officeDocument/2006/relationships/hyperlink" Target="https://doi.org/10.1016/j.hlpt.2016.07.004" TargetMode="External"/><Relationship Id="rId574" Type="http://schemas.openxmlformats.org/officeDocument/2006/relationships/hyperlink" Target="https://doi.org/10.1088/1361-6579/aac033" TargetMode="External"/><Relationship Id="rId1167" Type="http://schemas.openxmlformats.org/officeDocument/2006/relationships/hyperlink" Target="https://openalex.org/funders/f4320326754" TargetMode="External"/><Relationship Id="rId331" Type="http://schemas.openxmlformats.org/officeDocument/2006/relationships/hyperlink" Target="https://openalex.org/institutions/i4210144085" TargetMode="External"/><Relationship Id="rId573" Type="http://schemas.openxmlformats.org/officeDocument/2006/relationships/hyperlink" Target="https://doi.org/10.1016/j.colsurfb.2017.01.045" TargetMode="External"/><Relationship Id="rId1168" Type="http://schemas.openxmlformats.org/officeDocument/2006/relationships/hyperlink" Target="https://doi.org/10.1016/j.enconman.2022.115557" TargetMode="External"/><Relationship Id="rId370" Type="http://schemas.openxmlformats.org/officeDocument/2006/relationships/hyperlink" Target="https://doi.org/10.1007/s00202-020-00950-7" TargetMode="External"/><Relationship Id="rId129" Type="http://schemas.openxmlformats.org/officeDocument/2006/relationships/hyperlink" Target="https://openalex.org/funders/f4320337509" TargetMode="External"/><Relationship Id="rId128" Type="http://schemas.openxmlformats.org/officeDocument/2006/relationships/hyperlink" Target="https://doi.org/10.1016/j.jnucmat.2015.12.023" TargetMode="External"/><Relationship Id="rId127" Type="http://schemas.openxmlformats.org/officeDocument/2006/relationships/hyperlink" Target="https://doi.org/10.1016/j.ijbiomac.2019.01.048" TargetMode="External"/><Relationship Id="rId369" Type="http://schemas.openxmlformats.org/officeDocument/2006/relationships/hyperlink" Target="https://openalex.org/funders/f4320327853" TargetMode="External"/><Relationship Id="rId126" Type="http://schemas.openxmlformats.org/officeDocument/2006/relationships/hyperlink" Target="https://doi.org/10.1016/j.biortech.2017.04.009" TargetMode="External"/><Relationship Id="rId368" Type="http://schemas.openxmlformats.org/officeDocument/2006/relationships/hyperlink" Target="https://doi.org/10.1615/ICHMT.2012.ProcSevIntSympTurbHeatTransfPal.950" TargetMode="External"/><Relationship Id="rId1190" Type="http://schemas.openxmlformats.org/officeDocument/2006/relationships/hyperlink" Target="https://doi.org/10.1016/j.foodchem.2021.129552" TargetMode="External"/><Relationship Id="rId1191" Type="http://schemas.openxmlformats.org/officeDocument/2006/relationships/hyperlink" Target="https://openalex.org/funders/f4320335777" TargetMode="External"/><Relationship Id="rId1192" Type="http://schemas.openxmlformats.org/officeDocument/2006/relationships/hyperlink" Target="https://doi.org/10.1111/1365-2664.13075" TargetMode="External"/><Relationship Id="rId1193" Type="http://schemas.openxmlformats.org/officeDocument/2006/relationships/hyperlink" Target="https://doi.org/10.1016/j.radonc.2017.10.032" TargetMode="External"/><Relationship Id="rId121" Type="http://schemas.openxmlformats.org/officeDocument/2006/relationships/hyperlink" Target="https://doi.org/10.1007/s10900-017-0463-z" TargetMode="External"/><Relationship Id="rId363" Type="http://schemas.openxmlformats.org/officeDocument/2006/relationships/hyperlink" Target="https://doi.org/10.1016/j.jssc.2016.03.010" TargetMode="External"/><Relationship Id="rId1194" Type="http://schemas.openxmlformats.org/officeDocument/2006/relationships/hyperlink" Target="https://doi.org/10.1016/j.cep.2012.07.011" TargetMode="External"/><Relationship Id="rId120" Type="http://schemas.openxmlformats.org/officeDocument/2006/relationships/hyperlink" Target="https://doi.org/10.1093/cercor/bhw353" TargetMode="External"/><Relationship Id="rId362" Type="http://schemas.openxmlformats.org/officeDocument/2006/relationships/hyperlink" Target="https://doi.org/10.1111/dom.12274" TargetMode="External"/><Relationship Id="rId1195" Type="http://schemas.openxmlformats.org/officeDocument/2006/relationships/hyperlink" Target="https://openalex.org/funders/f4320322930" TargetMode="External"/><Relationship Id="rId361" Type="http://schemas.openxmlformats.org/officeDocument/2006/relationships/hyperlink" Target="https://doi.org/10.7566/JPSJ.91.114004" TargetMode="External"/><Relationship Id="rId1196" Type="http://schemas.openxmlformats.org/officeDocument/2006/relationships/hyperlink" Target="https://doi.org/10.1249/MSS.0b013e3181e054f0" TargetMode="External"/><Relationship Id="rId360" Type="http://schemas.openxmlformats.org/officeDocument/2006/relationships/hyperlink" Target="https://openalex.org/funders/f4320322726" TargetMode="External"/><Relationship Id="rId1197" Type="http://schemas.openxmlformats.org/officeDocument/2006/relationships/hyperlink" Target="https://doi.org/10.29202/phil-cosm/28/8" TargetMode="External"/><Relationship Id="rId125" Type="http://schemas.openxmlformats.org/officeDocument/2006/relationships/hyperlink" Target="https://openalex.org/institutions/i17653759" TargetMode="External"/><Relationship Id="rId367" Type="http://schemas.openxmlformats.org/officeDocument/2006/relationships/hyperlink" Target="https://openalex.org/institutions/i4210135595" TargetMode="External"/><Relationship Id="rId1198" Type="http://schemas.openxmlformats.org/officeDocument/2006/relationships/hyperlink" Target="https://openalex.org/funders/f4320327494" TargetMode="External"/><Relationship Id="rId124" Type="http://schemas.openxmlformats.org/officeDocument/2006/relationships/hyperlink" Target="https://doi.org/10.1016/j.resmic.2016.10.008" TargetMode="External"/><Relationship Id="rId366" Type="http://schemas.openxmlformats.org/officeDocument/2006/relationships/hyperlink" Target="https://doi.org/10.1002/for.2354" TargetMode="External"/><Relationship Id="rId1199" Type="http://schemas.openxmlformats.org/officeDocument/2006/relationships/hyperlink" Target="https://doi.org/10.1371/journal.pone.0020374" TargetMode="External"/><Relationship Id="rId123" Type="http://schemas.openxmlformats.org/officeDocument/2006/relationships/hyperlink" Target="https://doi.org/10.1016/j.matdes.2017.07.062" TargetMode="External"/><Relationship Id="rId365" Type="http://schemas.openxmlformats.org/officeDocument/2006/relationships/hyperlink" Target="https://doi.org/10.1016/j.msea.2020.139586" TargetMode="External"/><Relationship Id="rId122" Type="http://schemas.openxmlformats.org/officeDocument/2006/relationships/hyperlink" Target="https://openalex.org/institutions/i1291847170" TargetMode="External"/><Relationship Id="rId364" Type="http://schemas.openxmlformats.org/officeDocument/2006/relationships/hyperlink" Target="https://doi.org/10.1021/jp2009989" TargetMode="External"/><Relationship Id="rId95" Type="http://schemas.openxmlformats.org/officeDocument/2006/relationships/hyperlink" Target="https://openalex.org/funders/f4320321001" TargetMode="External"/><Relationship Id="rId94" Type="http://schemas.openxmlformats.org/officeDocument/2006/relationships/hyperlink" Target="https://doi.org/10.1016/j.egyr.2021.11.131" TargetMode="External"/><Relationship Id="rId97" Type="http://schemas.openxmlformats.org/officeDocument/2006/relationships/hyperlink" Target="https://doi.org/10.1371/journal.pone.0077355" TargetMode="External"/><Relationship Id="rId96" Type="http://schemas.openxmlformats.org/officeDocument/2006/relationships/hyperlink" Target="https://doi.org/10.3390/math9121345" TargetMode="External"/><Relationship Id="rId99" Type="http://schemas.openxmlformats.org/officeDocument/2006/relationships/hyperlink" Target="https://doi.org/10.1039/d2qo00057a" TargetMode="External"/><Relationship Id="rId98" Type="http://schemas.openxmlformats.org/officeDocument/2006/relationships/hyperlink" Target="https://openalex.org/funders/f4320321921" TargetMode="External"/><Relationship Id="rId91" Type="http://schemas.openxmlformats.org/officeDocument/2006/relationships/hyperlink" Target="https://doi.org/10.1007/s10530-020-02427-x" TargetMode="External"/><Relationship Id="rId90" Type="http://schemas.openxmlformats.org/officeDocument/2006/relationships/hyperlink" Target="https://doi.org/10.1155/2013/812120" TargetMode="External"/><Relationship Id="rId93" Type="http://schemas.openxmlformats.org/officeDocument/2006/relationships/hyperlink" Target="https://doi.org/10.1038/s41598-018-21349-2" TargetMode="External"/><Relationship Id="rId92" Type="http://schemas.openxmlformats.org/officeDocument/2006/relationships/hyperlink" Target="https://openalex.org/funders/f4320321837" TargetMode="External"/><Relationship Id="rId118" Type="http://schemas.openxmlformats.org/officeDocument/2006/relationships/hyperlink" Target="https://doi.org/10.1310/tsr1904-294" TargetMode="External"/><Relationship Id="rId117" Type="http://schemas.openxmlformats.org/officeDocument/2006/relationships/hyperlink" Target="https://doi.org/10.1016/j.febslet.2008.10.049" TargetMode="External"/><Relationship Id="rId359" Type="http://schemas.openxmlformats.org/officeDocument/2006/relationships/hyperlink" Target="https://doi.org/10.1007/s42114-018-0059-9" TargetMode="External"/><Relationship Id="rId116" Type="http://schemas.openxmlformats.org/officeDocument/2006/relationships/hyperlink" Target="https://openalex.org/institutions/i1330989302" TargetMode="External"/><Relationship Id="rId358" Type="http://schemas.openxmlformats.org/officeDocument/2006/relationships/hyperlink" Target="https://doi.org/10.1007/s00268-016-3477-2" TargetMode="External"/><Relationship Id="rId115" Type="http://schemas.openxmlformats.org/officeDocument/2006/relationships/hyperlink" Target="https://doi.org/10.1103/PhysRevB.94.165114" TargetMode="External"/><Relationship Id="rId357" Type="http://schemas.openxmlformats.org/officeDocument/2006/relationships/hyperlink" Target="https://openalex.org/funders/f4320337346" TargetMode="External"/><Relationship Id="rId599" Type="http://schemas.openxmlformats.org/officeDocument/2006/relationships/hyperlink" Target="https://openalex.org/funders/f4320334631" TargetMode="External"/><Relationship Id="rId1180" Type="http://schemas.openxmlformats.org/officeDocument/2006/relationships/hyperlink" Target="https://doi.org/10.1007/s40194-022-01281-w" TargetMode="External"/><Relationship Id="rId1181" Type="http://schemas.openxmlformats.org/officeDocument/2006/relationships/hyperlink" Target="https://doi.org/10.1073/pnas.1502251112" TargetMode="External"/><Relationship Id="rId119" Type="http://schemas.openxmlformats.org/officeDocument/2006/relationships/hyperlink" Target="https://doi.org/10.1186/1471-2180-10-210" TargetMode="External"/><Relationship Id="rId1182" Type="http://schemas.openxmlformats.org/officeDocument/2006/relationships/hyperlink" Target="https://doi.org/10.1175/WCAS-D-19-0057.1" TargetMode="External"/><Relationship Id="rId110" Type="http://schemas.openxmlformats.org/officeDocument/2006/relationships/hyperlink" Target="https://openalex.org/funders/f4320321001" TargetMode="External"/><Relationship Id="rId352" Type="http://schemas.openxmlformats.org/officeDocument/2006/relationships/hyperlink" Target="https://openalex.org/funders/f4320337351" TargetMode="External"/><Relationship Id="rId594" Type="http://schemas.openxmlformats.org/officeDocument/2006/relationships/hyperlink" Target="https://doi.org/10.4028/www.scientific.net/AMR.233-235.1171" TargetMode="External"/><Relationship Id="rId1183" Type="http://schemas.openxmlformats.org/officeDocument/2006/relationships/hyperlink" Target="https://doi.org/10.1179/2045772314Y.0000000245" TargetMode="External"/><Relationship Id="rId351" Type="http://schemas.openxmlformats.org/officeDocument/2006/relationships/hyperlink" Target="https://doi.org/10.1002/rcm.3154" TargetMode="External"/><Relationship Id="rId593" Type="http://schemas.openxmlformats.org/officeDocument/2006/relationships/hyperlink" Target="https://openalex.org/funders/f4320325628" TargetMode="External"/><Relationship Id="rId1184" Type="http://schemas.openxmlformats.org/officeDocument/2006/relationships/hyperlink" Target="https://doi.org/10.1016/j.crvi.2011.11.005" TargetMode="External"/><Relationship Id="rId350" Type="http://schemas.openxmlformats.org/officeDocument/2006/relationships/hyperlink" Target="https://doi.org/10.1007/s10854-022-08649-0" TargetMode="External"/><Relationship Id="rId592" Type="http://schemas.openxmlformats.org/officeDocument/2006/relationships/hyperlink" Target="https://doi.org/10.1088/1361-6560/abbdb7" TargetMode="External"/><Relationship Id="rId1185" Type="http://schemas.openxmlformats.org/officeDocument/2006/relationships/hyperlink" Target="https://openalex.org/funders/f4320337220" TargetMode="External"/><Relationship Id="rId591" Type="http://schemas.openxmlformats.org/officeDocument/2006/relationships/hyperlink" Target="https://doi.org/10.1117/12.2288074" TargetMode="External"/><Relationship Id="rId1186" Type="http://schemas.openxmlformats.org/officeDocument/2006/relationships/hyperlink" Target="https://doi.org/10.1016/j.optlaseng.2017.07.001" TargetMode="External"/><Relationship Id="rId114" Type="http://schemas.openxmlformats.org/officeDocument/2006/relationships/hyperlink" Target="https://doi.org/10.3390/antibiotics10111294" TargetMode="External"/><Relationship Id="rId356" Type="http://schemas.openxmlformats.org/officeDocument/2006/relationships/hyperlink" Target="https://doi.org/10.7554/eLife.18558" TargetMode="External"/><Relationship Id="rId598" Type="http://schemas.openxmlformats.org/officeDocument/2006/relationships/hyperlink" Target="https://doi.org/10.1016/j.pocean.2014.04.024" TargetMode="External"/><Relationship Id="rId1187" Type="http://schemas.openxmlformats.org/officeDocument/2006/relationships/hyperlink" Target="https://openalex.org/funders/f4320321001" TargetMode="External"/><Relationship Id="rId113" Type="http://schemas.openxmlformats.org/officeDocument/2006/relationships/hyperlink" Target="https://doi.org/10.1109/ACCESS.2020.3046327" TargetMode="External"/><Relationship Id="rId355" Type="http://schemas.openxmlformats.org/officeDocument/2006/relationships/hyperlink" Target="https://doi.org/10.1016/j.kjms.2011.05.008" TargetMode="External"/><Relationship Id="rId597" Type="http://schemas.openxmlformats.org/officeDocument/2006/relationships/hyperlink" Target="https://openalex.org/funders/f4320322725" TargetMode="External"/><Relationship Id="rId1188" Type="http://schemas.openxmlformats.org/officeDocument/2006/relationships/hyperlink" Target="https://doi.org/10.1016/j.solidstatesciences.2010.10.008" TargetMode="External"/><Relationship Id="rId112" Type="http://schemas.openxmlformats.org/officeDocument/2006/relationships/hyperlink" Target="https://openalex.org/funders/f4320335199" TargetMode="External"/><Relationship Id="rId354" Type="http://schemas.openxmlformats.org/officeDocument/2006/relationships/hyperlink" Target="https://openalex.org/funders/f4320334627" TargetMode="External"/><Relationship Id="rId596" Type="http://schemas.openxmlformats.org/officeDocument/2006/relationships/hyperlink" Target="https://doi.org/10.1088/1674-1056/22/7/074302" TargetMode="External"/><Relationship Id="rId1189" Type="http://schemas.openxmlformats.org/officeDocument/2006/relationships/hyperlink" Target="https://openalex.org/funders/f4320321001" TargetMode="External"/><Relationship Id="rId111" Type="http://schemas.openxmlformats.org/officeDocument/2006/relationships/hyperlink" Target="https://doi.org/10.1016/j.cattod.2020.01.003" TargetMode="External"/><Relationship Id="rId353" Type="http://schemas.openxmlformats.org/officeDocument/2006/relationships/hyperlink" Target="https://doi.org/10.3762/bjoc.13.179" TargetMode="External"/><Relationship Id="rId595" Type="http://schemas.openxmlformats.org/officeDocument/2006/relationships/hyperlink" Target="https://openalex.org/funders/f4320321001" TargetMode="External"/><Relationship Id="rId1136" Type="http://schemas.openxmlformats.org/officeDocument/2006/relationships/hyperlink" Target="https://doi.org/10.1016/j.chemphys.2017.04.009" TargetMode="External"/><Relationship Id="rId1378" Type="http://schemas.openxmlformats.org/officeDocument/2006/relationships/hyperlink" Target="https://doi.org/10.1134/S0036024421120128" TargetMode="External"/><Relationship Id="rId1137" Type="http://schemas.openxmlformats.org/officeDocument/2006/relationships/hyperlink" Target="https://doi.org/10.1016/j.apenergy.2016.10.035" TargetMode="External"/><Relationship Id="rId1379" Type="http://schemas.openxmlformats.org/officeDocument/2006/relationships/hyperlink" Target="https://openalex.org/funders/f4320324099" TargetMode="External"/><Relationship Id="rId1138" Type="http://schemas.openxmlformats.org/officeDocument/2006/relationships/hyperlink" Target="https://doi.org/10.3390/v8070193" TargetMode="External"/><Relationship Id="rId1139" Type="http://schemas.openxmlformats.org/officeDocument/2006/relationships/hyperlink" Target="https://doi.org/10.1088/1674-4527/21/8/211" TargetMode="External"/><Relationship Id="rId305" Type="http://schemas.openxmlformats.org/officeDocument/2006/relationships/hyperlink" Target="https://doi.org/10.1007/7854_2014_314" TargetMode="External"/><Relationship Id="rId547" Type="http://schemas.openxmlformats.org/officeDocument/2006/relationships/hyperlink" Target="https://doi.org/10.1007/s00024-010-0096-y" TargetMode="External"/><Relationship Id="rId789" Type="http://schemas.openxmlformats.org/officeDocument/2006/relationships/hyperlink" Target="https://doi.org/10.1371/journal.pcbi.1008842" TargetMode="External"/><Relationship Id="rId304" Type="http://schemas.openxmlformats.org/officeDocument/2006/relationships/hyperlink" Target="https://openalex.org/funders/f4320321001" TargetMode="External"/><Relationship Id="rId546" Type="http://schemas.openxmlformats.org/officeDocument/2006/relationships/hyperlink" Target="https://doi.org/10.1109/BIBM49941.2020.9313496" TargetMode="External"/><Relationship Id="rId788" Type="http://schemas.openxmlformats.org/officeDocument/2006/relationships/hyperlink" Target="https://openalex.org/funders/f4320338080" TargetMode="External"/><Relationship Id="rId303" Type="http://schemas.openxmlformats.org/officeDocument/2006/relationships/hyperlink" Target="https://doi.org/10.1155/2015/321781" TargetMode="External"/><Relationship Id="rId545" Type="http://schemas.openxmlformats.org/officeDocument/2006/relationships/hyperlink" Target="https://doi.org/10.3733/ca.v067n03p128" TargetMode="External"/><Relationship Id="rId787" Type="http://schemas.openxmlformats.org/officeDocument/2006/relationships/hyperlink" Target="https://doi.org/10.1088/1367-2630/13/3/033014" TargetMode="External"/><Relationship Id="rId302" Type="http://schemas.openxmlformats.org/officeDocument/2006/relationships/hyperlink" Target="https://doi.org/10.1093/bib/bbaa006" TargetMode="External"/><Relationship Id="rId544" Type="http://schemas.openxmlformats.org/officeDocument/2006/relationships/hyperlink" Target="https://doi.org/10.1016/j.scico.2011.11.003" TargetMode="External"/><Relationship Id="rId786" Type="http://schemas.openxmlformats.org/officeDocument/2006/relationships/hyperlink" Target="https://doi.org/10.3382/ps/pex395" TargetMode="External"/><Relationship Id="rId309" Type="http://schemas.openxmlformats.org/officeDocument/2006/relationships/hyperlink" Target="https://doi.org/10.1109/TGRS.2020.3012276" TargetMode="External"/><Relationship Id="rId308" Type="http://schemas.openxmlformats.org/officeDocument/2006/relationships/hyperlink" Target="https://doi.org/10.1039/c7ee00777a" TargetMode="External"/><Relationship Id="rId307" Type="http://schemas.openxmlformats.org/officeDocument/2006/relationships/hyperlink" Target="https://openalex.org/funders/f4320337359" TargetMode="External"/><Relationship Id="rId549" Type="http://schemas.openxmlformats.org/officeDocument/2006/relationships/hyperlink" Target="https://openalex.org/funders/f4320334627" TargetMode="External"/><Relationship Id="rId306" Type="http://schemas.openxmlformats.org/officeDocument/2006/relationships/hyperlink" Target="https://doi.org/10.3791/50004" TargetMode="External"/><Relationship Id="rId548" Type="http://schemas.openxmlformats.org/officeDocument/2006/relationships/hyperlink" Target="https://doi.org/10.1016/j.visres.2008.11.006" TargetMode="External"/><Relationship Id="rId781" Type="http://schemas.openxmlformats.org/officeDocument/2006/relationships/hyperlink" Target="https://doi.org/10.1016/j.ijggc.2016.12.013" TargetMode="External"/><Relationship Id="rId1370" Type="http://schemas.openxmlformats.org/officeDocument/2006/relationships/hyperlink" Target="https://doi.org/10.1074/jbc.M110.187377" TargetMode="External"/><Relationship Id="rId780" Type="http://schemas.openxmlformats.org/officeDocument/2006/relationships/hyperlink" Target="https://doi.org/10.1016/j.precamres.2022.106720" TargetMode="External"/><Relationship Id="rId1371" Type="http://schemas.openxmlformats.org/officeDocument/2006/relationships/hyperlink" Target="https://doi.org/10.1111/pbr.12860" TargetMode="External"/><Relationship Id="rId1130" Type="http://schemas.openxmlformats.org/officeDocument/2006/relationships/hyperlink" Target="https://openalex.org/funders/f4320321001" TargetMode="External"/><Relationship Id="rId1372" Type="http://schemas.openxmlformats.org/officeDocument/2006/relationships/hyperlink" Target="https://doi.org/10.3390/nu13010140" TargetMode="External"/><Relationship Id="rId1131" Type="http://schemas.openxmlformats.org/officeDocument/2006/relationships/hyperlink" Target="https://doi.org/10.1155/2017/6786270" TargetMode="External"/><Relationship Id="rId1373" Type="http://schemas.openxmlformats.org/officeDocument/2006/relationships/hyperlink" Target="https://doi.org/10.1088/1674-1056/ab7d97" TargetMode="External"/><Relationship Id="rId301" Type="http://schemas.openxmlformats.org/officeDocument/2006/relationships/hyperlink" Target="https://doi.org/10.1002/mop.32149" TargetMode="External"/><Relationship Id="rId543" Type="http://schemas.openxmlformats.org/officeDocument/2006/relationships/hyperlink" Target="https://openalex.org/funders/f4320337351" TargetMode="External"/><Relationship Id="rId785" Type="http://schemas.openxmlformats.org/officeDocument/2006/relationships/hyperlink" Target="https://doi.org/10.1016/j.tet.2008.07.063" TargetMode="External"/><Relationship Id="rId1132" Type="http://schemas.openxmlformats.org/officeDocument/2006/relationships/hyperlink" Target="https://doi.org/10.3389/fpls.2015.00200" TargetMode="External"/><Relationship Id="rId1374" Type="http://schemas.openxmlformats.org/officeDocument/2006/relationships/hyperlink" Target="https://openalex.org/funders/f4320322667" TargetMode="External"/><Relationship Id="rId300" Type="http://schemas.openxmlformats.org/officeDocument/2006/relationships/hyperlink" Target="https://doi.org/10.1039/c1nr11238d" TargetMode="External"/><Relationship Id="rId542" Type="http://schemas.openxmlformats.org/officeDocument/2006/relationships/hyperlink" Target="https://doi.org/10.1016/j.virol.2018.01.031" TargetMode="External"/><Relationship Id="rId784" Type="http://schemas.openxmlformats.org/officeDocument/2006/relationships/hyperlink" Target="https://doi.org/10.3389/fmicb.2018.02760" TargetMode="External"/><Relationship Id="rId1133" Type="http://schemas.openxmlformats.org/officeDocument/2006/relationships/hyperlink" Target="https://openalex.org/funders/f4320332167" TargetMode="External"/><Relationship Id="rId1375" Type="http://schemas.openxmlformats.org/officeDocument/2006/relationships/hyperlink" Target="https://doi.org/10.1007/s00222-020-01023-z" TargetMode="External"/><Relationship Id="rId541" Type="http://schemas.openxmlformats.org/officeDocument/2006/relationships/hyperlink" Target="https://doi.org/10.1161/CIRCRESAHA.109.212530" TargetMode="External"/><Relationship Id="rId783" Type="http://schemas.openxmlformats.org/officeDocument/2006/relationships/hyperlink" Target="https://openalex.org/funders/f4320321001" TargetMode="External"/><Relationship Id="rId1134" Type="http://schemas.openxmlformats.org/officeDocument/2006/relationships/hyperlink" Target="https://doi.org/10.1371/journal.pone.0201332" TargetMode="External"/><Relationship Id="rId1376" Type="http://schemas.openxmlformats.org/officeDocument/2006/relationships/hyperlink" Target="https://doi.org/10.1021/acsomega.7b00753" TargetMode="External"/><Relationship Id="rId540" Type="http://schemas.openxmlformats.org/officeDocument/2006/relationships/hyperlink" Target="https://openalex.org/funders/f4320323299" TargetMode="External"/><Relationship Id="rId782" Type="http://schemas.openxmlformats.org/officeDocument/2006/relationships/hyperlink" Target="https://doi.org/10.1007/s42154-018-0022-z" TargetMode="External"/><Relationship Id="rId1135" Type="http://schemas.openxmlformats.org/officeDocument/2006/relationships/hyperlink" Target="https://openalex.org/institutions/i4210163058" TargetMode="External"/><Relationship Id="rId1377" Type="http://schemas.openxmlformats.org/officeDocument/2006/relationships/hyperlink" Target="https://doi.org/10.1364/OE.449884" TargetMode="External"/><Relationship Id="rId1125" Type="http://schemas.openxmlformats.org/officeDocument/2006/relationships/hyperlink" Target="https://doi.org/10.1021/acsnano.6b05429" TargetMode="External"/><Relationship Id="rId1367" Type="http://schemas.openxmlformats.org/officeDocument/2006/relationships/hyperlink" Target="https://openalex.org/funders/f4320334704" TargetMode="External"/><Relationship Id="rId1126" Type="http://schemas.openxmlformats.org/officeDocument/2006/relationships/hyperlink" Target="https://openalex.org/funders/f4320322120" TargetMode="External"/><Relationship Id="rId1368" Type="http://schemas.openxmlformats.org/officeDocument/2006/relationships/hyperlink" Target="https://doi.org/10.1534/genetics.111.129569" TargetMode="External"/><Relationship Id="rId1127" Type="http://schemas.openxmlformats.org/officeDocument/2006/relationships/hyperlink" Target="https://doi.org/10.1186/s12877-022-03407-7" TargetMode="External"/><Relationship Id="rId1369" Type="http://schemas.openxmlformats.org/officeDocument/2006/relationships/hyperlink" Target="https://doi.org/10.1016/j.ejso.2018.01.240" TargetMode="External"/><Relationship Id="rId1128" Type="http://schemas.openxmlformats.org/officeDocument/2006/relationships/hyperlink" Target="https://openalex.org/funders/f4320309618" TargetMode="External"/><Relationship Id="rId1129" Type="http://schemas.openxmlformats.org/officeDocument/2006/relationships/hyperlink" Target="https://doi.org/10.1142/S0218127419500585" TargetMode="External"/><Relationship Id="rId536" Type="http://schemas.openxmlformats.org/officeDocument/2006/relationships/hyperlink" Target="https://doi.org/10.1111/str.12191" TargetMode="External"/><Relationship Id="rId778" Type="http://schemas.openxmlformats.org/officeDocument/2006/relationships/hyperlink" Target="https://doi.org/10.1016/j.ijheatmasstransfer.2019.03.002" TargetMode="External"/><Relationship Id="rId535" Type="http://schemas.openxmlformats.org/officeDocument/2006/relationships/hyperlink" Target="https://openalex.org/funders/f4320321001" TargetMode="External"/><Relationship Id="rId777" Type="http://schemas.openxmlformats.org/officeDocument/2006/relationships/hyperlink" Target="https://doi.org/10.1016/j.molcel.2007.11.020" TargetMode="External"/><Relationship Id="rId534" Type="http://schemas.openxmlformats.org/officeDocument/2006/relationships/hyperlink" Target="https://doi.org/10.1016/j.ijrefrig.2014.12.001" TargetMode="External"/><Relationship Id="rId776" Type="http://schemas.openxmlformats.org/officeDocument/2006/relationships/hyperlink" Target="https://openalex.org/funders/f4320332161" TargetMode="External"/><Relationship Id="rId533" Type="http://schemas.openxmlformats.org/officeDocument/2006/relationships/hyperlink" Target="https://doi.org/10.1016/j.ast.2020.106343" TargetMode="External"/><Relationship Id="rId775" Type="http://schemas.openxmlformats.org/officeDocument/2006/relationships/hyperlink" Target="https://doi.org/10.1093/cvr/cvac171" TargetMode="External"/><Relationship Id="rId539" Type="http://schemas.openxmlformats.org/officeDocument/2006/relationships/hyperlink" Target="https://doi.org/10.1080/13691457.2021.2016650" TargetMode="External"/><Relationship Id="rId538" Type="http://schemas.openxmlformats.org/officeDocument/2006/relationships/hyperlink" Target="https://doi.org/10.3389/fmolb.2016.00023" TargetMode="External"/><Relationship Id="rId537" Type="http://schemas.openxmlformats.org/officeDocument/2006/relationships/hyperlink" Target="https://doi.org/10.3390/molecules201017929" TargetMode="External"/><Relationship Id="rId779" Type="http://schemas.openxmlformats.org/officeDocument/2006/relationships/hyperlink" Target="https://openalex.org/funders/f4320321001" TargetMode="External"/><Relationship Id="rId770" Type="http://schemas.openxmlformats.org/officeDocument/2006/relationships/hyperlink" Target="https://openalex.org/funders/f4320335777" TargetMode="External"/><Relationship Id="rId1360" Type="http://schemas.openxmlformats.org/officeDocument/2006/relationships/hyperlink" Target="https://openalex.org/funders/f4320322120" TargetMode="External"/><Relationship Id="rId1361" Type="http://schemas.openxmlformats.org/officeDocument/2006/relationships/hyperlink" Target="https://doi.org/10.3390/cancers14133250" TargetMode="External"/><Relationship Id="rId1120" Type="http://schemas.openxmlformats.org/officeDocument/2006/relationships/hyperlink" Target="https://openalex.org/funders/f4320334764" TargetMode="External"/><Relationship Id="rId1362" Type="http://schemas.openxmlformats.org/officeDocument/2006/relationships/hyperlink" Target="https://doi.org/10.3807/JOSK.2011.15.3.244" TargetMode="External"/><Relationship Id="rId532" Type="http://schemas.openxmlformats.org/officeDocument/2006/relationships/hyperlink" Target="https://doi.org/10.1145/3527241" TargetMode="External"/><Relationship Id="rId774" Type="http://schemas.openxmlformats.org/officeDocument/2006/relationships/hyperlink" Target="https://openalex.org/funders/f4320320083" TargetMode="External"/><Relationship Id="rId1121" Type="http://schemas.openxmlformats.org/officeDocument/2006/relationships/hyperlink" Target="https://doi.org/10.1016/j.molmet.2014.11.003" TargetMode="External"/><Relationship Id="rId1363" Type="http://schemas.openxmlformats.org/officeDocument/2006/relationships/hyperlink" Target="https://openalex.org/funders/f4320321363" TargetMode="External"/><Relationship Id="rId531" Type="http://schemas.openxmlformats.org/officeDocument/2006/relationships/hyperlink" Target="https://doi.org/10.1016/j.jacc.2018.05.052" TargetMode="External"/><Relationship Id="rId773" Type="http://schemas.openxmlformats.org/officeDocument/2006/relationships/hyperlink" Target="https://doi.org/10.1136/bmjopen-2019-029376" TargetMode="External"/><Relationship Id="rId1122" Type="http://schemas.openxmlformats.org/officeDocument/2006/relationships/hyperlink" Target="https://doi.org/10.1016/j.spa.2013.04.002" TargetMode="External"/><Relationship Id="rId1364" Type="http://schemas.openxmlformats.org/officeDocument/2006/relationships/hyperlink" Target="https://doi.org/10.1080/00207411.2019.1649237" TargetMode="External"/><Relationship Id="rId530" Type="http://schemas.openxmlformats.org/officeDocument/2006/relationships/hyperlink" Target="https://openalex.org/funders/f4320321202" TargetMode="External"/><Relationship Id="rId772" Type="http://schemas.openxmlformats.org/officeDocument/2006/relationships/hyperlink" Target="https://doi.org/10.1002/pmic.201400171" TargetMode="External"/><Relationship Id="rId1123" Type="http://schemas.openxmlformats.org/officeDocument/2006/relationships/hyperlink" Target="https://openalex.org/funders/f4320321885" TargetMode="External"/><Relationship Id="rId1365" Type="http://schemas.openxmlformats.org/officeDocument/2006/relationships/hyperlink" Target="https://openalex.org/institutions/i4210150538" TargetMode="External"/><Relationship Id="rId771" Type="http://schemas.openxmlformats.org/officeDocument/2006/relationships/hyperlink" Target="https://doi.org/10.1038/srep21166" TargetMode="External"/><Relationship Id="rId1124" Type="http://schemas.openxmlformats.org/officeDocument/2006/relationships/hyperlink" Target="https://doi.org/10.1109/TIT.2021.3112492" TargetMode="External"/><Relationship Id="rId1366" Type="http://schemas.openxmlformats.org/officeDocument/2006/relationships/hyperlink" Target="https://doi.org/10.1680/jensu.17.00064" TargetMode="External"/><Relationship Id="rId1158" Type="http://schemas.openxmlformats.org/officeDocument/2006/relationships/hyperlink" Target="https://openalex.org/funders/f4320320717" TargetMode="External"/><Relationship Id="rId1159" Type="http://schemas.openxmlformats.org/officeDocument/2006/relationships/hyperlink" Target="https://doi.org/10.3109/01902148.2015.1044137" TargetMode="External"/><Relationship Id="rId327" Type="http://schemas.openxmlformats.org/officeDocument/2006/relationships/hyperlink" Target="https://doi.org/10.1016/j.jbiomech.2020.109856" TargetMode="External"/><Relationship Id="rId569" Type="http://schemas.openxmlformats.org/officeDocument/2006/relationships/hyperlink" Target="https://openalex.org/funders/f4320321001" TargetMode="External"/><Relationship Id="rId326" Type="http://schemas.openxmlformats.org/officeDocument/2006/relationships/hyperlink" Target="https://doi.org/10.1117/12.2273899" TargetMode="External"/><Relationship Id="rId568" Type="http://schemas.openxmlformats.org/officeDocument/2006/relationships/hyperlink" Target="https://doi.org/10.1007/s11085-009-9143-4" TargetMode="External"/><Relationship Id="rId325" Type="http://schemas.openxmlformats.org/officeDocument/2006/relationships/hyperlink" Target="https://doi.org/10.3382/ps.2009-00216" TargetMode="External"/><Relationship Id="rId567" Type="http://schemas.openxmlformats.org/officeDocument/2006/relationships/hyperlink" Target="https://doi.org/10.1103/PhysRevD.105.025024" TargetMode="External"/><Relationship Id="rId324" Type="http://schemas.openxmlformats.org/officeDocument/2006/relationships/hyperlink" Target="https://doi.org/10.2500/ar.2011.2.0016" TargetMode="External"/><Relationship Id="rId566" Type="http://schemas.openxmlformats.org/officeDocument/2006/relationships/hyperlink" Target="https://doi.org/10.1097/SLA.0b013e318185a6b8" TargetMode="External"/><Relationship Id="rId329" Type="http://schemas.openxmlformats.org/officeDocument/2006/relationships/hyperlink" Target="https://doi.org/10.3201/eid1904.120117" TargetMode="External"/><Relationship Id="rId1390" Type="http://schemas.openxmlformats.org/officeDocument/2006/relationships/hyperlink" Target="https://doi.org/10.1016/j.gca.2018.08.020" TargetMode="External"/><Relationship Id="rId328" Type="http://schemas.openxmlformats.org/officeDocument/2006/relationships/hyperlink" Target="https://doi.org/10.1090/jag/771" TargetMode="External"/><Relationship Id="rId1391" Type="http://schemas.openxmlformats.org/officeDocument/2006/relationships/hyperlink" Target="https://openalex.org/funders/f4320320912" TargetMode="External"/><Relationship Id="rId561" Type="http://schemas.openxmlformats.org/officeDocument/2006/relationships/hyperlink" Target="https://openalex.org/funders/f4320321001" TargetMode="External"/><Relationship Id="rId1150" Type="http://schemas.openxmlformats.org/officeDocument/2006/relationships/hyperlink" Target="https://doi.org/10.1155/2020/1237281" TargetMode="External"/><Relationship Id="rId1392" Type="http://schemas.openxmlformats.org/officeDocument/2006/relationships/hyperlink" Target="https://doi.org/10.1080/02723638.2020.1785202" TargetMode="External"/><Relationship Id="rId560" Type="http://schemas.openxmlformats.org/officeDocument/2006/relationships/hyperlink" Target="https://doi.org/10.1016/j.ress.2021.108172" TargetMode="External"/><Relationship Id="rId1151" Type="http://schemas.openxmlformats.org/officeDocument/2006/relationships/hyperlink" Target="https://doi.org/10.1021/jp108669f" TargetMode="External"/><Relationship Id="rId1393" Type="http://schemas.openxmlformats.org/officeDocument/2006/relationships/hyperlink" Target="https://openalex.org/funders/f4320306076" TargetMode="External"/><Relationship Id="rId1152" Type="http://schemas.openxmlformats.org/officeDocument/2006/relationships/hyperlink" Target="https://doi.org/10.1080/17476930801919025" TargetMode="External"/><Relationship Id="rId1394" Type="http://schemas.openxmlformats.org/officeDocument/2006/relationships/hyperlink" Target="https://doi.org/10.1155/2020/5947802" TargetMode="External"/><Relationship Id="rId1153" Type="http://schemas.openxmlformats.org/officeDocument/2006/relationships/hyperlink" Target="https://openalex.org/funders/f4320338080" TargetMode="External"/><Relationship Id="rId1395" Type="http://schemas.openxmlformats.org/officeDocument/2006/relationships/hyperlink" Target="https://doi.org/10.2140/jomms.2017.12.219" TargetMode="External"/><Relationship Id="rId323" Type="http://schemas.openxmlformats.org/officeDocument/2006/relationships/hyperlink" Target="https://openalex.org/institutions/i87673952" TargetMode="External"/><Relationship Id="rId565" Type="http://schemas.openxmlformats.org/officeDocument/2006/relationships/hyperlink" Target="https://doi.org/10.1016/j.celrep.2018.02.100" TargetMode="External"/><Relationship Id="rId1154" Type="http://schemas.openxmlformats.org/officeDocument/2006/relationships/hyperlink" Target="https://doi.org/10.1016/j.tecto.2016.05.006" TargetMode="External"/><Relationship Id="rId1396" Type="http://schemas.openxmlformats.org/officeDocument/2006/relationships/hyperlink" Target="https://doi.org/10.1016/j.ymssp.2021.108164" TargetMode="External"/><Relationship Id="rId322" Type="http://schemas.openxmlformats.org/officeDocument/2006/relationships/hyperlink" Target="https://doi.org/10.1007/s00521-018-3522-1" TargetMode="External"/><Relationship Id="rId564" Type="http://schemas.openxmlformats.org/officeDocument/2006/relationships/hyperlink" Target="https://doi.org/10.1155/2022/5806160" TargetMode="External"/><Relationship Id="rId1155" Type="http://schemas.openxmlformats.org/officeDocument/2006/relationships/hyperlink" Target="https://doi.org/10.1136/jnnp-2021-328164" TargetMode="External"/><Relationship Id="rId1397" Type="http://schemas.openxmlformats.org/officeDocument/2006/relationships/hyperlink" Target="https://doi.org/10.1371/journal.pcbi.1003753" TargetMode="External"/><Relationship Id="rId321" Type="http://schemas.openxmlformats.org/officeDocument/2006/relationships/hyperlink" Target="https://doi.org/10.1016/j.carbon.2021.03.006" TargetMode="External"/><Relationship Id="rId563" Type="http://schemas.openxmlformats.org/officeDocument/2006/relationships/hyperlink" Target="https://openalex.org/funders/f4320306095" TargetMode="External"/><Relationship Id="rId1156" Type="http://schemas.openxmlformats.org/officeDocument/2006/relationships/hyperlink" Target="https://openalex.org/funders/f4320332161" TargetMode="External"/><Relationship Id="rId1398" Type="http://schemas.openxmlformats.org/officeDocument/2006/relationships/hyperlink" Target="https://openalex.org/funders/f4320322025" TargetMode="External"/><Relationship Id="rId320" Type="http://schemas.openxmlformats.org/officeDocument/2006/relationships/hyperlink" Target="https://openalex.org/funders/f4320327163" TargetMode="External"/><Relationship Id="rId562" Type="http://schemas.openxmlformats.org/officeDocument/2006/relationships/hyperlink" Target="https://doi.org/10.1053/j.gastro.2010.06.072" TargetMode="External"/><Relationship Id="rId1157" Type="http://schemas.openxmlformats.org/officeDocument/2006/relationships/hyperlink" Target="https://doi.org/10.1016/j.bbadis.2021.166228" TargetMode="External"/><Relationship Id="rId1399" Type="http://schemas.openxmlformats.org/officeDocument/2006/relationships/hyperlink" Target="https://doi.org/10.1109/JBHI.2022.3157722" TargetMode="External"/><Relationship Id="rId1147" Type="http://schemas.openxmlformats.org/officeDocument/2006/relationships/hyperlink" Target="https://openalex.org/funders/f4320315909" TargetMode="External"/><Relationship Id="rId1389" Type="http://schemas.openxmlformats.org/officeDocument/2006/relationships/hyperlink" Target="https://openalex.org/funders/f4320322727" TargetMode="External"/><Relationship Id="rId1148" Type="http://schemas.openxmlformats.org/officeDocument/2006/relationships/hyperlink" Target="https://doi.org/10.1016/j.fct.2022.113492" TargetMode="External"/><Relationship Id="rId1149" Type="http://schemas.openxmlformats.org/officeDocument/2006/relationships/hyperlink" Target="https://openalex.org/institutions/i4210163111" TargetMode="External"/><Relationship Id="rId316" Type="http://schemas.openxmlformats.org/officeDocument/2006/relationships/hyperlink" Target="https://doi.org/10.1007/s00259-022-05724-w" TargetMode="External"/><Relationship Id="rId558" Type="http://schemas.openxmlformats.org/officeDocument/2006/relationships/hyperlink" Target="https://openalex.org/funders/f4320321001" TargetMode="External"/><Relationship Id="rId315" Type="http://schemas.openxmlformats.org/officeDocument/2006/relationships/hyperlink" Target="https://doi.org/10.1063/1.4733319" TargetMode="External"/><Relationship Id="rId557" Type="http://schemas.openxmlformats.org/officeDocument/2006/relationships/hyperlink" Target="https://doi.org/10.1007/s11432-017-9185-6" TargetMode="External"/><Relationship Id="rId799" Type="http://schemas.openxmlformats.org/officeDocument/2006/relationships/hyperlink" Target="https://doi.org/10.1016/j.foodhyd.2018.09.012" TargetMode="External"/><Relationship Id="rId314" Type="http://schemas.openxmlformats.org/officeDocument/2006/relationships/hyperlink" Target="https://doi.org/10.3389/fmicb.2020.00852" TargetMode="External"/><Relationship Id="rId556" Type="http://schemas.openxmlformats.org/officeDocument/2006/relationships/hyperlink" Target="https://doi.org/10.1116/1.3622621" TargetMode="External"/><Relationship Id="rId798" Type="http://schemas.openxmlformats.org/officeDocument/2006/relationships/hyperlink" Target="https://doi.org/10.1016/j.snb.2012.12.121" TargetMode="External"/><Relationship Id="rId313" Type="http://schemas.openxmlformats.org/officeDocument/2006/relationships/hyperlink" Target="https://openalex.org/funders/f4320334705" TargetMode="External"/><Relationship Id="rId555" Type="http://schemas.openxmlformats.org/officeDocument/2006/relationships/hyperlink" Target="https://openalex.org/funders/f4320327494" TargetMode="External"/><Relationship Id="rId797" Type="http://schemas.openxmlformats.org/officeDocument/2006/relationships/hyperlink" Target="https://doi.org/10.1107/S2052252519001453" TargetMode="External"/><Relationship Id="rId319" Type="http://schemas.openxmlformats.org/officeDocument/2006/relationships/hyperlink" Target="https://doi.org/10.1083/jcb.201603081" TargetMode="External"/><Relationship Id="rId318" Type="http://schemas.openxmlformats.org/officeDocument/2006/relationships/hyperlink" Target="https://openalex.org/funders/f4320332161" TargetMode="External"/><Relationship Id="rId317" Type="http://schemas.openxmlformats.org/officeDocument/2006/relationships/hyperlink" Target="https://doi.org/10.1007/s12016-022-08944-y" TargetMode="External"/><Relationship Id="rId559" Type="http://schemas.openxmlformats.org/officeDocument/2006/relationships/hyperlink" Target="https://doi.org/10.1016/j.physe.2012.07.003" TargetMode="External"/><Relationship Id="rId1380" Type="http://schemas.openxmlformats.org/officeDocument/2006/relationships/hyperlink" Target="https://doi.org/10.1029/2012JE004060" TargetMode="External"/><Relationship Id="rId550" Type="http://schemas.openxmlformats.org/officeDocument/2006/relationships/hyperlink" Target="https://doi.org/10.1002/jrs.2745" TargetMode="External"/><Relationship Id="rId792" Type="http://schemas.openxmlformats.org/officeDocument/2006/relationships/hyperlink" Target="https://doi.org/10.3390/antiox7010016" TargetMode="External"/><Relationship Id="rId1381" Type="http://schemas.openxmlformats.org/officeDocument/2006/relationships/hyperlink" Target="https://openalex.org/funders/f4320334593" TargetMode="External"/><Relationship Id="rId791" Type="http://schemas.openxmlformats.org/officeDocument/2006/relationships/hyperlink" Target="https://doi.org/10.1128/JVI.00447-14" TargetMode="External"/><Relationship Id="rId1140" Type="http://schemas.openxmlformats.org/officeDocument/2006/relationships/hyperlink" Target="https://doi.org/10.1016/j.hrthm.2007.08.014" TargetMode="External"/><Relationship Id="rId1382" Type="http://schemas.openxmlformats.org/officeDocument/2006/relationships/hyperlink" Target="https://doi.org/10.1016/j.anbehav.2011.02.016" TargetMode="External"/><Relationship Id="rId790" Type="http://schemas.openxmlformats.org/officeDocument/2006/relationships/hyperlink" Target="https://openalex.org/funders/f4320321001" TargetMode="External"/><Relationship Id="rId1141" Type="http://schemas.openxmlformats.org/officeDocument/2006/relationships/hyperlink" Target="https://openalex.org/funders/f4320337338" TargetMode="External"/><Relationship Id="rId1383" Type="http://schemas.openxmlformats.org/officeDocument/2006/relationships/hyperlink" Target="https://doi.org/10.1016/j.jtice.2011.02.006" TargetMode="External"/><Relationship Id="rId1142" Type="http://schemas.openxmlformats.org/officeDocument/2006/relationships/hyperlink" Target="https://doi.org/10.1111/imm.12582" TargetMode="External"/><Relationship Id="rId1384" Type="http://schemas.openxmlformats.org/officeDocument/2006/relationships/hyperlink" Target="https://doi.org/10.1103/PhysRevE.81.031127" TargetMode="External"/><Relationship Id="rId312" Type="http://schemas.openxmlformats.org/officeDocument/2006/relationships/hyperlink" Target="https://doi.org/10.1111/j.1365-2567.2011.03487.x" TargetMode="External"/><Relationship Id="rId554" Type="http://schemas.openxmlformats.org/officeDocument/2006/relationships/hyperlink" Target="https://doi.org/10.3390/buildings11110537" TargetMode="External"/><Relationship Id="rId796" Type="http://schemas.openxmlformats.org/officeDocument/2006/relationships/hyperlink" Target="https://doi.org/10.2174/1381612825666190312110836" TargetMode="External"/><Relationship Id="rId1143" Type="http://schemas.openxmlformats.org/officeDocument/2006/relationships/hyperlink" Target="https://doi.org/10.1002/adma.201707122" TargetMode="External"/><Relationship Id="rId1385" Type="http://schemas.openxmlformats.org/officeDocument/2006/relationships/hyperlink" Target="https://doi.org/10.1038/srep05757" TargetMode="External"/><Relationship Id="rId311" Type="http://schemas.openxmlformats.org/officeDocument/2006/relationships/hyperlink" Target="https://openalex.org/institutions/i90267481" TargetMode="External"/><Relationship Id="rId553" Type="http://schemas.openxmlformats.org/officeDocument/2006/relationships/hyperlink" Target="https://openalex.org/funders/f4320321001" TargetMode="External"/><Relationship Id="rId795" Type="http://schemas.openxmlformats.org/officeDocument/2006/relationships/hyperlink" Target="https://openalex.org/funders/f4320321800" TargetMode="External"/><Relationship Id="rId1144" Type="http://schemas.openxmlformats.org/officeDocument/2006/relationships/hyperlink" Target="https://doi.org/10.1039/c2jm16896k" TargetMode="External"/><Relationship Id="rId1386" Type="http://schemas.openxmlformats.org/officeDocument/2006/relationships/hyperlink" Target="https://doi.org/10.2337/db20-248-LB" TargetMode="External"/><Relationship Id="rId310" Type="http://schemas.openxmlformats.org/officeDocument/2006/relationships/hyperlink" Target="https://doi.org/10.1186/s12891-016-1328-9" TargetMode="External"/><Relationship Id="rId552" Type="http://schemas.openxmlformats.org/officeDocument/2006/relationships/hyperlink" Target="https://doi.org/10.1063/1.5045829" TargetMode="External"/><Relationship Id="rId794" Type="http://schemas.openxmlformats.org/officeDocument/2006/relationships/hyperlink" Target="https://doi.org/10.3389/fnins.2019.00546" TargetMode="External"/><Relationship Id="rId1145" Type="http://schemas.openxmlformats.org/officeDocument/2006/relationships/hyperlink" Target="https://doi.org/10.1186/s12896-018-0417-2" TargetMode="External"/><Relationship Id="rId1387" Type="http://schemas.openxmlformats.org/officeDocument/2006/relationships/hyperlink" Target="https://openalex.org/funders/f4320321001" TargetMode="External"/><Relationship Id="rId551" Type="http://schemas.openxmlformats.org/officeDocument/2006/relationships/hyperlink" Target="https://doi.org/10.1186/s13018-018-0810-5" TargetMode="External"/><Relationship Id="rId793" Type="http://schemas.openxmlformats.org/officeDocument/2006/relationships/hyperlink" Target="https://openalex.org/funders/f4320337472" TargetMode="External"/><Relationship Id="rId1146" Type="http://schemas.openxmlformats.org/officeDocument/2006/relationships/hyperlink" Target="https://doi.org/10.1002/cmdc.201700049" TargetMode="External"/><Relationship Id="rId1388" Type="http://schemas.openxmlformats.org/officeDocument/2006/relationships/hyperlink" Target="https://doi.org/10.1039/c7cp00983f" TargetMode="External"/><Relationship Id="rId297" Type="http://schemas.openxmlformats.org/officeDocument/2006/relationships/hyperlink" Target="https://doi.org/10.1016/j.ssi.2016.11.012" TargetMode="External"/><Relationship Id="rId296" Type="http://schemas.openxmlformats.org/officeDocument/2006/relationships/hyperlink" Target="https://doi.org/10.1117/12.2644374" TargetMode="External"/><Relationship Id="rId295" Type="http://schemas.openxmlformats.org/officeDocument/2006/relationships/hyperlink" Target="https://openalex.org/funders/f4320328535" TargetMode="External"/><Relationship Id="rId294" Type="http://schemas.openxmlformats.org/officeDocument/2006/relationships/hyperlink" Target="https://doi.org/10.1002/mc.22871" TargetMode="External"/><Relationship Id="rId299" Type="http://schemas.openxmlformats.org/officeDocument/2006/relationships/hyperlink" Target="https://doi.org/10.22883/kjda.2022.34.3.003" TargetMode="External"/><Relationship Id="rId298" Type="http://schemas.openxmlformats.org/officeDocument/2006/relationships/hyperlink" Target="https://openalex.org/funders/f4320322252" TargetMode="External"/><Relationship Id="rId271" Type="http://schemas.openxmlformats.org/officeDocument/2006/relationships/hyperlink" Target="https://doi.org/10.1126/sciadv.aaq0919" TargetMode="External"/><Relationship Id="rId270" Type="http://schemas.openxmlformats.org/officeDocument/2006/relationships/hyperlink" Target="https://doi.org/10.1523/JNEUROSCI.1651-20.2020" TargetMode="External"/><Relationship Id="rId269" Type="http://schemas.openxmlformats.org/officeDocument/2006/relationships/hyperlink" Target="https://openalex.org/funders/f4320334764" TargetMode="External"/><Relationship Id="rId264" Type="http://schemas.openxmlformats.org/officeDocument/2006/relationships/hyperlink" Target="https://doi.org/10.3390/polym8030102" TargetMode="External"/><Relationship Id="rId263" Type="http://schemas.openxmlformats.org/officeDocument/2006/relationships/hyperlink" Target="https://doi.org/10.1021/cm502939r" TargetMode="External"/><Relationship Id="rId262" Type="http://schemas.openxmlformats.org/officeDocument/2006/relationships/hyperlink" Target="https://doi.org/10.1021/acs.inorgchem.9b02611" TargetMode="External"/><Relationship Id="rId261" Type="http://schemas.openxmlformats.org/officeDocument/2006/relationships/hyperlink" Target="https://openalex.org/funders/f4320306076" TargetMode="External"/><Relationship Id="rId268" Type="http://schemas.openxmlformats.org/officeDocument/2006/relationships/hyperlink" Target="https://doi.org/10.3390/s120608405" TargetMode="External"/><Relationship Id="rId267" Type="http://schemas.openxmlformats.org/officeDocument/2006/relationships/hyperlink" Target="https://doi.org/10.1038/sj.jhh.1002052" TargetMode="External"/><Relationship Id="rId266" Type="http://schemas.openxmlformats.org/officeDocument/2006/relationships/hyperlink" Target="https://openalex.org/funders/f4320308573" TargetMode="External"/><Relationship Id="rId265" Type="http://schemas.openxmlformats.org/officeDocument/2006/relationships/hyperlink" Target="https://doi.org/10.1053/j.gastro.2013.12.028" TargetMode="External"/><Relationship Id="rId260" Type="http://schemas.openxmlformats.org/officeDocument/2006/relationships/hyperlink" Target="https://doi.org/10.1002/jgra.50416" TargetMode="External"/><Relationship Id="rId259" Type="http://schemas.openxmlformats.org/officeDocument/2006/relationships/hyperlink" Target="https://openalex.org/funders/f4320322186" TargetMode="External"/><Relationship Id="rId258" Type="http://schemas.openxmlformats.org/officeDocument/2006/relationships/hyperlink" Target="https://doi.org/10.29271/jcpsp.2020.4.407" TargetMode="External"/><Relationship Id="rId253" Type="http://schemas.openxmlformats.org/officeDocument/2006/relationships/hyperlink" Target="https://doi.org/10.1021/acsami.9b13839" TargetMode="External"/><Relationship Id="rId495" Type="http://schemas.openxmlformats.org/officeDocument/2006/relationships/hyperlink" Target="https://openalex.org/funders/f4320322725" TargetMode="External"/><Relationship Id="rId252" Type="http://schemas.openxmlformats.org/officeDocument/2006/relationships/hyperlink" Target="https://doi.org/10.1021/es202640p" TargetMode="External"/><Relationship Id="rId494" Type="http://schemas.openxmlformats.org/officeDocument/2006/relationships/hyperlink" Target="https://doi.org/10.3390/bdcc5040054" TargetMode="External"/><Relationship Id="rId251" Type="http://schemas.openxmlformats.org/officeDocument/2006/relationships/hyperlink" Target="https://doi.org/10.1071/SH17223" TargetMode="External"/><Relationship Id="rId493" Type="http://schemas.openxmlformats.org/officeDocument/2006/relationships/hyperlink" Target="https://openalex.org/funders/f4320307770" TargetMode="External"/><Relationship Id="rId250" Type="http://schemas.openxmlformats.org/officeDocument/2006/relationships/hyperlink" Target="https://openalex.org/institutions/i161052086" TargetMode="External"/><Relationship Id="rId492" Type="http://schemas.openxmlformats.org/officeDocument/2006/relationships/hyperlink" Target="https://doi.org/10.1016/S1473-3099(14)71018-7" TargetMode="External"/><Relationship Id="rId257" Type="http://schemas.openxmlformats.org/officeDocument/2006/relationships/hyperlink" Target="https://doi.org/10.1016/j.physletb.2018.05.076" TargetMode="External"/><Relationship Id="rId499" Type="http://schemas.openxmlformats.org/officeDocument/2006/relationships/hyperlink" Target="https://openalex.org/funders/f4320321730" TargetMode="External"/><Relationship Id="rId256" Type="http://schemas.openxmlformats.org/officeDocument/2006/relationships/hyperlink" Target="https://doi.org/10.1155/2022/6509981" TargetMode="External"/><Relationship Id="rId498" Type="http://schemas.openxmlformats.org/officeDocument/2006/relationships/hyperlink" Target="https://doi.org/10.1016/j.jasrep.2016.12.029" TargetMode="External"/><Relationship Id="rId255" Type="http://schemas.openxmlformats.org/officeDocument/2006/relationships/hyperlink" Target="https://openalex.org/funders/f4320320767" TargetMode="External"/><Relationship Id="rId497" Type="http://schemas.openxmlformats.org/officeDocument/2006/relationships/hyperlink" Target="https://openalex.org/institutions/i4210153937" TargetMode="External"/><Relationship Id="rId254" Type="http://schemas.openxmlformats.org/officeDocument/2006/relationships/hyperlink" Target="https://doi.org/10.1002/masy.201800112" TargetMode="External"/><Relationship Id="rId496" Type="http://schemas.openxmlformats.org/officeDocument/2006/relationships/hyperlink" Target="https://doi.org/10.3390/biom11111674" TargetMode="External"/><Relationship Id="rId293" Type="http://schemas.openxmlformats.org/officeDocument/2006/relationships/hyperlink" Target="https://doi.org/10.1109/ACCESS.2020.3040573" TargetMode="External"/><Relationship Id="rId292" Type="http://schemas.openxmlformats.org/officeDocument/2006/relationships/hyperlink" Target="https://openalex.org/funders/f4320321945" TargetMode="External"/><Relationship Id="rId291" Type="http://schemas.openxmlformats.org/officeDocument/2006/relationships/hyperlink" Target="https://doi.org/10.1111/j.1349-7006.2010.01521.x" TargetMode="External"/><Relationship Id="rId290" Type="http://schemas.openxmlformats.org/officeDocument/2006/relationships/hyperlink" Target="https://doi.org/10.1016/j.sigpro.2019.107434" TargetMode="External"/><Relationship Id="rId286" Type="http://schemas.openxmlformats.org/officeDocument/2006/relationships/hyperlink" Target="https://openalex.org/funders/f4320317377" TargetMode="External"/><Relationship Id="rId285" Type="http://schemas.openxmlformats.org/officeDocument/2006/relationships/hyperlink" Target="https://doi.org/10.3390/nano11051112" TargetMode="External"/><Relationship Id="rId284" Type="http://schemas.openxmlformats.org/officeDocument/2006/relationships/hyperlink" Target="https://doi.org/10.1007/s10922-015-9361-9" TargetMode="External"/><Relationship Id="rId283" Type="http://schemas.openxmlformats.org/officeDocument/2006/relationships/hyperlink" Target="https://doi.org/10.1242/dev.175778" TargetMode="External"/><Relationship Id="rId289" Type="http://schemas.openxmlformats.org/officeDocument/2006/relationships/hyperlink" Target="https://doi.org/10.1103/PhysRevLett.112.057001" TargetMode="External"/><Relationship Id="rId288" Type="http://schemas.openxmlformats.org/officeDocument/2006/relationships/hyperlink" Target="https://openalex.org/funders/f4320309618" TargetMode="External"/><Relationship Id="rId287" Type="http://schemas.openxmlformats.org/officeDocument/2006/relationships/hyperlink" Target="https://doi.org/10.1364/OE.23.010266" TargetMode="External"/><Relationship Id="rId282" Type="http://schemas.openxmlformats.org/officeDocument/2006/relationships/hyperlink" Target="https://doi.org/10.1021/ja510695g" TargetMode="External"/><Relationship Id="rId281" Type="http://schemas.openxmlformats.org/officeDocument/2006/relationships/hyperlink" Target="https://openalex.org/funders/f4320322650" TargetMode="External"/><Relationship Id="rId280" Type="http://schemas.openxmlformats.org/officeDocument/2006/relationships/hyperlink" Target="https://doi.org/10.1088/1752-7163/aa820f" TargetMode="External"/><Relationship Id="rId275" Type="http://schemas.openxmlformats.org/officeDocument/2006/relationships/hyperlink" Target="https://doi.org/10.1016/j.talanta.2019.120541" TargetMode="External"/><Relationship Id="rId274" Type="http://schemas.openxmlformats.org/officeDocument/2006/relationships/hyperlink" Target="https://doi.org/10.1155/2016/4079210" TargetMode="External"/><Relationship Id="rId273" Type="http://schemas.openxmlformats.org/officeDocument/2006/relationships/hyperlink" Target="https://openalex.org/institutions/i8264552" TargetMode="External"/><Relationship Id="rId272" Type="http://schemas.openxmlformats.org/officeDocument/2006/relationships/hyperlink" Target="https://doi.org/10.1007/s00419-018-1476-5" TargetMode="External"/><Relationship Id="rId279" Type="http://schemas.openxmlformats.org/officeDocument/2006/relationships/hyperlink" Target="https://doi.org/10.1016/j.ijbiomac.2017.11.152" TargetMode="External"/><Relationship Id="rId278" Type="http://schemas.openxmlformats.org/officeDocument/2006/relationships/hyperlink" Target="https://doi.org/10.21037/jtd.2019.08.19" TargetMode="External"/><Relationship Id="rId277" Type="http://schemas.openxmlformats.org/officeDocument/2006/relationships/hyperlink" Target="https://openalex.org/funders/f4320324593" TargetMode="External"/><Relationship Id="rId276" Type="http://schemas.openxmlformats.org/officeDocument/2006/relationships/hyperlink" Target="https://doi.org/10.1002/14651858.CD008870.pub2" TargetMode="External"/><Relationship Id="rId907" Type="http://schemas.openxmlformats.org/officeDocument/2006/relationships/hyperlink" Target="https://doi.org/10.1088/0256-307X/31/3/034203" TargetMode="External"/><Relationship Id="rId906" Type="http://schemas.openxmlformats.org/officeDocument/2006/relationships/hyperlink" Target="https://openalex.org/funders/f4320337337" TargetMode="External"/><Relationship Id="rId905" Type="http://schemas.openxmlformats.org/officeDocument/2006/relationships/hyperlink" Target="https://doi.org/10.1001/jamanetworkopen.2021.48599" TargetMode="External"/><Relationship Id="rId904" Type="http://schemas.openxmlformats.org/officeDocument/2006/relationships/hyperlink" Target="https://doi.org/10.1007/s13361-017-1886-6" TargetMode="External"/><Relationship Id="rId909" Type="http://schemas.openxmlformats.org/officeDocument/2006/relationships/hyperlink" Target="https://doi.org/10.2147/IJN.S257645" TargetMode="External"/><Relationship Id="rId908" Type="http://schemas.openxmlformats.org/officeDocument/2006/relationships/hyperlink" Target="https://doi.org/10.1016/j.devcel.2016.02.010" TargetMode="External"/><Relationship Id="rId903" Type="http://schemas.openxmlformats.org/officeDocument/2006/relationships/hyperlink" Target="https://openalex.org/funders/f4320334801" TargetMode="External"/><Relationship Id="rId902" Type="http://schemas.openxmlformats.org/officeDocument/2006/relationships/hyperlink" Target="https://doi.org/10.1134/S1061933X12040163" TargetMode="External"/><Relationship Id="rId901" Type="http://schemas.openxmlformats.org/officeDocument/2006/relationships/hyperlink" Target="https://doi.org/10.1093/cybsec/tyx006" TargetMode="External"/><Relationship Id="rId900" Type="http://schemas.openxmlformats.org/officeDocument/2006/relationships/hyperlink" Target="https://openalex.org/funders/f4320334764" TargetMode="External"/><Relationship Id="rId929" Type="http://schemas.openxmlformats.org/officeDocument/2006/relationships/hyperlink" Target="https://openalex.org/funders/f4320306076" TargetMode="External"/><Relationship Id="rId928" Type="http://schemas.openxmlformats.org/officeDocument/2006/relationships/hyperlink" Target="https://doi.org/10.3390/atmos8100206" TargetMode="External"/><Relationship Id="rId927" Type="http://schemas.openxmlformats.org/officeDocument/2006/relationships/hyperlink" Target="https://openalex.org/funders/f4320322855" TargetMode="External"/><Relationship Id="rId926" Type="http://schemas.openxmlformats.org/officeDocument/2006/relationships/hyperlink" Target="https://doi.org/10.3109/10799893.2015.1086884" TargetMode="External"/><Relationship Id="rId921" Type="http://schemas.openxmlformats.org/officeDocument/2006/relationships/hyperlink" Target="https://doi.org/10.1016/j.sbi.2006.04.003" TargetMode="External"/><Relationship Id="rId920" Type="http://schemas.openxmlformats.org/officeDocument/2006/relationships/hyperlink" Target="https://doi.org/10.1371/journal.pone.0107454" TargetMode="External"/><Relationship Id="rId925" Type="http://schemas.openxmlformats.org/officeDocument/2006/relationships/hyperlink" Target="https://doi.org/10.1111/tops.12192" TargetMode="External"/><Relationship Id="rId924" Type="http://schemas.openxmlformats.org/officeDocument/2006/relationships/hyperlink" Target="https://openalex.org/funders/f4320321001" TargetMode="External"/><Relationship Id="rId923" Type="http://schemas.openxmlformats.org/officeDocument/2006/relationships/hyperlink" Target="https://doi.org/10.1029/2008JB006175" TargetMode="External"/><Relationship Id="rId922" Type="http://schemas.openxmlformats.org/officeDocument/2006/relationships/hyperlink" Target="https://openalex.org/funders/f4320334626" TargetMode="External"/><Relationship Id="rId918" Type="http://schemas.openxmlformats.org/officeDocument/2006/relationships/hyperlink" Target="https://doi.org/10.1007/s10548-013-0303-0" TargetMode="External"/><Relationship Id="rId917" Type="http://schemas.openxmlformats.org/officeDocument/2006/relationships/hyperlink" Target="https://doi.org/10.1175/2010JHM1288.1" TargetMode="External"/><Relationship Id="rId916" Type="http://schemas.openxmlformats.org/officeDocument/2006/relationships/hyperlink" Target="https://doi.org/10.1016/j.cej.2020.124147" TargetMode="External"/><Relationship Id="rId915" Type="http://schemas.openxmlformats.org/officeDocument/2006/relationships/hyperlink" Target="https://openalex.org/funders/f4320321040" TargetMode="External"/><Relationship Id="rId919" Type="http://schemas.openxmlformats.org/officeDocument/2006/relationships/hyperlink" Target="https://openalex.org/funders/f4320323832" TargetMode="External"/><Relationship Id="rId910" Type="http://schemas.openxmlformats.org/officeDocument/2006/relationships/hyperlink" Target="https://doi.org/10.1016/j.cbpb.2020.110448" TargetMode="External"/><Relationship Id="rId914" Type="http://schemas.openxmlformats.org/officeDocument/2006/relationships/hyperlink" Target="https://doi.org/10.1002/adfm.201200344" TargetMode="External"/><Relationship Id="rId913" Type="http://schemas.openxmlformats.org/officeDocument/2006/relationships/hyperlink" Target="https://doi.org/10.3390/su12229403" TargetMode="External"/><Relationship Id="rId912" Type="http://schemas.openxmlformats.org/officeDocument/2006/relationships/hyperlink" Target="https://doi.org/10.4161/epi.25522" TargetMode="External"/><Relationship Id="rId911" Type="http://schemas.openxmlformats.org/officeDocument/2006/relationships/hyperlink" Target="https://openalex.org/funders/f4320322729" TargetMode="External"/><Relationship Id="rId1213" Type="http://schemas.openxmlformats.org/officeDocument/2006/relationships/hyperlink" Target="https://doi.org/10.14802/jmd.16017" TargetMode="External"/><Relationship Id="rId1455" Type="http://schemas.openxmlformats.org/officeDocument/2006/relationships/hyperlink" Target="https://openalex.org/institutions/i4210095069" TargetMode="External"/><Relationship Id="rId1214" Type="http://schemas.openxmlformats.org/officeDocument/2006/relationships/hyperlink" Target="https://openalex.org/funders/f4320322120" TargetMode="External"/><Relationship Id="rId1456" Type="http://schemas.openxmlformats.org/officeDocument/2006/relationships/hyperlink" Target="https://doi.org/10.1088/1367-2630/aae172" TargetMode="External"/><Relationship Id="rId1215" Type="http://schemas.openxmlformats.org/officeDocument/2006/relationships/hyperlink" Target="https://doi.org/10.1061/(ASCE)AS.1943-5525.0000791" TargetMode="External"/><Relationship Id="rId1457" Type="http://schemas.openxmlformats.org/officeDocument/2006/relationships/hyperlink" Target="https://openalex.org/funders/f4320322120" TargetMode="External"/><Relationship Id="rId1216" Type="http://schemas.openxmlformats.org/officeDocument/2006/relationships/hyperlink" Target="https://openalex.org/funders/f4320322626" TargetMode="External"/><Relationship Id="rId1458" Type="http://schemas.openxmlformats.org/officeDocument/2006/relationships/hyperlink" Target="https://doi.org/10.1016/j.aca.2012.10.054" TargetMode="External"/><Relationship Id="rId1217" Type="http://schemas.openxmlformats.org/officeDocument/2006/relationships/hyperlink" Target="https://doi.org/10.1177/0040517513495950" TargetMode="External"/><Relationship Id="rId1459" Type="http://schemas.openxmlformats.org/officeDocument/2006/relationships/hyperlink" Target="https://doi.org/10.1111/j.1365-2648.2010.05569.x" TargetMode="External"/><Relationship Id="rId1218" Type="http://schemas.openxmlformats.org/officeDocument/2006/relationships/hyperlink" Target="https://openalex.org/funders/f4320335787" TargetMode="External"/><Relationship Id="rId1219" Type="http://schemas.openxmlformats.org/officeDocument/2006/relationships/hyperlink" Target="https://doi.org/10.1123/jab.2017-0181" TargetMode="External"/><Relationship Id="rId629" Type="http://schemas.openxmlformats.org/officeDocument/2006/relationships/hyperlink" Target="https://doi.org/10.1063/1.4923165" TargetMode="External"/><Relationship Id="rId624" Type="http://schemas.openxmlformats.org/officeDocument/2006/relationships/hyperlink" Target="https://openalex.org/funders/f4320320912" TargetMode="External"/><Relationship Id="rId866" Type="http://schemas.openxmlformats.org/officeDocument/2006/relationships/hyperlink" Target="https://openalex.org/funders/f4320311808" TargetMode="External"/><Relationship Id="rId623" Type="http://schemas.openxmlformats.org/officeDocument/2006/relationships/hyperlink" Target="https://doi.org/10.1253/circj.CJ-10-0079" TargetMode="External"/><Relationship Id="rId865" Type="http://schemas.openxmlformats.org/officeDocument/2006/relationships/hyperlink" Target="https://doi.org/10.1111/j.1551-2916.2010.03901.x" TargetMode="External"/><Relationship Id="rId622" Type="http://schemas.openxmlformats.org/officeDocument/2006/relationships/hyperlink" Target="https://doi.org/10.5194/acp-18-8491-2018" TargetMode="External"/><Relationship Id="rId864" Type="http://schemas.openxmlformats.org/officeDocument/2006/relationships/hyperlink" Target="https://doi.org/10.1002/bies.201900231" TargetMode="External"/><Relationship Id="rId621" Type="http://schemas.openxmlformats.org/officeDocument/2006/relationships/hyperlink" Target="https://doi.org/10.1016/j.ecresq.2011.09.001" TargetMode="External"/><Relationship Id="rId863" Type="http://schemas.openxmlformats.org/officeDocument/2006/relationships/hyperlink" Target="https://doi.org/10.1007/s00023-017-0611-0" TargetMode="External"/><Relationship Id="rId628" Type="http://schemas.openxmlformats.org/officeDocument/2006/relationships/hyperlink" Target="https://openalex.org/funders/f4320320300" TargetMode="External"/><Relationship Id="rId627" Type="http://schemas.openxmlformats.org/officeDocument/2006/relationships/hyperlink" Target="https://doi.org/10.3382/japr.2006-00058" TargetMode="External"/><Relationship Id="rId869" Type="http://schemas.openxmlformats.org/officeDocument/2006/relationships/hyperlink" Target="https://doi.org/10.1186/s12938-018-0615-0" TargetMode="External"/><Relationship Id="rId626" Type="http://schemas.openxmlformats.org/officeDocument/2006/relationships/hyperlink" Target="https://openalex.org/funders/f4320320720" TargetMode="External"/><Relationship Id="rId868" Type="http://schemas.openxmlformats.org/officeDocument/2006/relationships/hyperlink" Target="https://openalex.org/funders/f4320309568" TargetMode="External"/><Relationship Id="rId625" Type="http://schemas.openxmlformats.org/officeDocument/2006/relationships/hyperlink" Target="https://doi.org/10.1007/s13312-014-0399-7" TargetMode="External"/><Relationship Id="rId867" Type="http://schemas.openxmlformats.org/officeDocument/2006/relationships/hyperlink" Target="https://doi.org/10.1155/2012/245103" TargetMode="External"/><Relationship Id="rId1450" Type="http://schemas.openxmlformats.org/officeDocument/2006/relationships/hyperlink" Target="https://openalex.org/funders/f4320321091" TargetMode="External"/><Relationship Id="rId620" Type="http://schemas.openxmlformats.org/officeDocument/2006/relationships/hyperlink" Target="https://openalex.org/funders/f4320306076" TargetMode="External"/><Relationship Id="rId862" Type="http://schemas.openxmlformats.org/officeDocument/2006/relationships/hyperlink" Target="https://openalex.org/funders/f4320321408" TargetMode="External"/><Relationship Id="rId1451" Type="http://schemas.openxmlformats.org/officeDocument/2006/relationships/hyperlink" Target="https://doi.org/10.1016/j.cja.2020.12.024" TargetMode="External"/><Relationship Id="rId861" Type="http://schemas.openxmlformats.org/officeDocument/2006/relationships/hyperlink" Target="https://doi.org/10.3390/s20216022" TargetMode="External"/><Relationship Id="rId1210" Type="http://schemas.openxmlformats.org/officeDocument/2006/relationships/hyperlink" Target="https://doi.org/10.1016/j.ijrmhm.2015.04.008" TargetMode="External"/><Relationship Id="rId1452" Type="http://schemas.openxmlformats.org/officeDocument/2006/relationships/hyperlink" Target="https://openalex.org/funders/f4320321001" TargetMode="External"/><Relationship Id="rId860" Type="http://schemas.openxmlformats.org/officeDocument/2006/relationships/hyperlink" Target="https://doi.org/10.1007/s12289-013-1159-2" TargetMode="External"/><Relationship Id="rId1211" Type="http://schemas.openxmlformats.org/officeDocument/2006/relationships/hyperlink" Target="https://openalex.org/funders/f4320321001" TargetMode="External"/><Relationship Id="rId1453" Type="http://schemas.openxmlformats.org/officeDocument/2006/relationships/hyperlink" Target="https://doi.org/10.1177/09544089211004724" TargetMode="External"/><Relationship Id="rId1212" Type="http://schemas.openxmlformats.org/officeDocument/2006/relationships/hyperlink" Target="https://doi.org/10.1016/j.schres.2017.11.014" TargetMode="External"/><Relationship Id="rId1454" Type="http://schemas.openxmlformats.org/officeDocument/2006/relationships/hyperlink" Target="https://doi.org/10.1186/s12909-021-02737-1" TargetMode="External"/><Relationship Id="rId1202" Type="http://schemas.openxmlformats.org/officeDocument/2006/relationships/hyperlink" Target="https://doi.org/10.1093/eurjpc/zwac156" TargetMode="External"/><Relationship Id="rId1444" Type="http://schemas.openxmlformats.org/officeDocument/2006/relationships/hyperlink" Target="https://openalex.org/funders/f4320306076" TargetMode="External"/><Relationship Id="rId1203" Type="http://schemas.openxmlformats.org/officeDocument/2006/relationships/hyperlink" Target="https://openalex.org/funders/f4320320912" TargetMode="External"/><Relationship Id="rId1445" Type="http://schemas.openxmlformats.org/officeDocument/2006/relationships/hyperlink" Target="https://doi.org/10.1109/ACCESS.2020.2980767" TargetMode="External"/><Relationship Id="rId1204" Type="http://schemas.openxmlformats.org/officeDocument/2006/relationships/hyperlink" Target="https://doi.org/10.5194/bg-10-2105-2013" TargetMode="External"/><Relationship Id="rId1446" Type="http://schemas.openxmlformats.org/officeDocument/2006/relationships/hyperlink" Target="https://openalex.org/funders/f4320318240" TargetMode="External"/><Relationship Id="rId1205" Type="http://schemas.openxmlformats.org/officeDocument/2006/relationships/hyperlink" Target="https://doi.org/10.1159/000371439" TargetMode="External"/><Relationship Id="rId1447" Type="http://schemas.openxmlformats.org/officeDocument/2006/relationships/hyperlink" Target="https://doi.org/10.1111/j.1582-4934.2008.00540.x" TargetMode="External"/><Relationship Id="rId1206" Type="http://schemas.openxmlformats.org/officeDocument/2006/relationships/hyperlink" Target="https://openalex.org/funders/f4320321001" TargetMode="External"/><Relationship Id="rId1448" Type="http://schemas.openxmlformats.org/officeDocument/2006/relationships/hyperlink" Target="https://doi.org/10.1039/c5ob01885d" TargetMode="External"/><Relationship Id="rId1207" Type="http://schemas.openxmlformats.org/officeDocument/2006/relationships/hyperlink" Target="https://doi.org/10.1103/PhysRevA.98.063414" TargetMode="External"/><Relationship Id="rId1449" Type="http://schemas.openxmlformats.org/officeDocument/2006/relationships/hyperlink" Target="https://doi.org/10.1007/s11011-022-00953-2" TargetMode="External"/><Relationship Id="rId1208" Type="http://schemas.openxmlformats.org/officeDocument/2006/relationships/hyperlink" Target="https://openalex.org/funders/f4320322572" TargetMode="External"/><Relationship Id="rId1209" Type="http://schemas.openxmlformats.org/officeDocument/2006/relationships/hyperlink" Target="https://doi.org/10.1093/ofid/ofab121" TargetMode="External"/><Relationship Id="rId619" Type="http://schemas.openxmlformats.org/officeDocument/2006/relationships/hyperlink" Target="https://doi.org/10.1007/s00220-017-2934-6" TargetMode="External"/><Relationship Id="rId618" Type="http://schemas.openxmlformats.org/officeDocument/2006/relationships/hyperlink" Target="https://doi.org/10.3892/etm.2021.10423" TargetMode="External"/><Relationship Id="rId613" Type="http://schemas.openxmlformats.org/officeDocument/2006/relationships/hyperlink" Target="https://doi.org/10.4103/0971-5916.286224" TargetMode="External"/><Relationship Id="rId855" Type="http://schemas.openxmlformats.org/officeDocument/2006/relationships/hyperlink" Target="https://openalex.org/funders/f4320321730" TargetMode="External"/><Relationship Id="rId612" Type="http://schemas.openxmlformats.org/officeDocument/2006/relationships/hyperlink" Target="https://openalex.org/funders/f4320325076" TargetMode="External"/><Relationship Id="rId854" Type="http://schemas.openxmlformats.org/officeDocument/2006/relationships/hyperlink" Target="https://doi.org/10.1556/1846.2017.00030" TargetMode="External"/><Relationship Id="rId611" Type="http://schemas.openxmlformats.org/officeDocument/2006/relationships/hyperlink" Target="https://doi.org/10.1007/s00420-009-0477-7" TargetMode="External"/><Relationship Id="rId853" Type="http://schemas.openxmlformats.org/officeDocument/2006/relationships/hyperlink" Target="https://openalex.org/funders/f4320334627" TargetMode="External"/><Relationship Id="rId610" Type="http://schemas.openxmlformats.org/officeDocument/2006/relationships/hyperlink" Target="https://doi.org/10.1016/j.oceaneng.2021.109639" TargetMode="External"/><Relationship Id="rId852" Type="http://schemas.openxmlformats.org/officeDocument/2006/relationships/hyperlink" Target="https://doi.org/10.1090/conm/577/11463" TargetMode="External"/><Relationship Id="rId617" Type="http://schemas.openxmlformats.org/officeDocument/2006/relationships/hyperlink" Target="https://openalex.org/funders/f4320321499" TargetMode="External"/><Relationship Id="rId859" Type="http://schemas.openxmlformats.org/officeDocument/2006/relationships/hyperlink" Target="https://openalex.org/funders/f4320321114" TargetMode="External"/><Relationship Id="rId616" Type="http://schemas.openxmlformats.org/officeDocument/2006/relationships/hyperlink" Target="https://doi.org/10.1557/jmr.2012.158" TargetMode="External"/><Relationship Id="rId858" Type="http://schemas.openxmlformats.org/officeDocument/2006/relationships/hyperlink" Target="https://doi.org/10.1002/pmic.201200177" TargetMode="External"/><Relationship Id="rId615" Type="http://schemas.openxmlformats.org/officeDocument/2006/relationships/hyperlink" Target="https://doi.org/10.1039/c2em30091e" TargetMode="External"/><Relationship Id="rId857" Type="http://schemas.openxmlformats.org/officeDocument/2006/relationships/hyperlink" Target="https://openalex.org/funders/f4320337347" TargetMode="External"/><Relationship Id="rId614" Type="http://schemas.openxmlformats.org/officeDocument/2006/relationships/hyperlink" Target="https://openalex.org/funders/f4320307856" TargetMode="External"/><Relationship Id="rId856" Type="http://schemas.openxmlformats.org/officeDocument/2006/relationships/hyperlink" Target="https://doi.org/10.1111/adb.12345" TargetMode="External"/><Relationship Id="rId851" Type="http://schemas.openxmlformats.org/officeDocument/2006/relationships/hyperlink" Target="https://openalex.org/institutions/i7883018" TargetMode="External"/><Relationship Id="rId1440" Type="http://schemas.openxmlformats.org/officeDocument/2006/relationships/hyperlink" Target="https://doi.org/10.1007/s12600-022-01005-2" TargetMode="External"/><Relationship Id="rId850" Type="http://schemas.openxmlformats.org/officeDocument/2006/relationships/hyperlink" Target="https://doi.org/10.1145/3137133.3137139" TargetMode="External"/><Relationship Id="rId1441" Type="http://schemas.openxmlformats.org/officeDocument/2006/relationships/hyperlink" Target="https://openalex.org/funders/f4320321091" TargetMode="External"/><Relationship Id="rId1200" Type="http://schemas.openxmlformats.org/officeDocument/2006/relationships/hyperlink" Target="https://doi.org/10.1007/s10886-012-0100-3" TargetMode="External"/><Relationship Id="rId1442" Type="http://schemas.openxmlformats.org/officeDocument/2006/relationships/hyperlink" Target="https://doi.org/10.1007/s11760-017-1090-y" TargetMode="External"/><Relationship Id="rId1201" Type="http://schemas.openxmlformats.org/officeDocument/2006/relationships/hyperlink" Target="https://openalex.org/funders/f4320322482" TargetMode="External"/><Relationship Id="rId1443" Type="http://schemas.openxmlformats.org/officeDocument/2006/relationships/hyperlink" Target="https://doi.org/10.1177/1747021817739257" TargetMode="External"/><Relationship Id="rId1235" Type="http://schemas.openxmlformats.org/officeDocument/2006/relationships/hyperlink" Target="https://openalex.org/funders/f4320334593" TargetMode="External"/><Relationship Id="rId1477" Type="http://schemas.openxmlformats.org/officeDocument/2006/relationships/hyperlink" Target="https://openalex.org/funders/f4320321722" TargetMode="External"/><Relationship Id="rId1236" Type="http://schemas.openxmlformats.org/officeDocument/2006/relationships/hyperlink" Target="https://doi.org/10.1242/dev.01857" TargetMode="External"/><Relationship Id="rId1478" Type="http://schemas.openxmlformats.org/officeDocument/2006/relationships/hyperlink" Target="https://doi.org/10.1016/j.euroneuro.2019.09.720" TargetMode="External"/><Relationship Id="rId1237" Type="http://schemas.openxmlformats.org/officeDocument/2006/relationships/hyperlink" Target="https://openalex.org/funders/f4320334626" TargetMode="External"/><Relationship Id="rId1479" Type="http://schemas.openxmlformats.org/officeDocument/2006/relationships/hyperlink" Target="https://openalex.org/funders/f4320338413" TargetMode="External"/><Relationship Id="rId1238" Type="http://schemas.openxmlformats.org/officeDocument/2006/relationships/hyperlink" Target="https://doi.org/10.1063/1.4753845" TargetMode="External"/><Relationship Id="rId1239" Type="http://schemas.openxmlformats.org/officeDocument/2006/relationships/hyperlink" Target="https://openalex.org/funders/f4320334627" TargetMode="External"/><Relationship Id="rId409" Type="http://schemas.openxmlformats.org/officeDocument/2006/relationships/hyperlink" Target="https://doi.org/10.1016/j.hydromet.2015.05.013" TargetMode="External"/><Relationship Id="rId404" Type="http://schemas.openxmlformats.org/officeDocument/2006/relationships/hyperlink" Target="https://doi.org/10.4103/rcm.rcm_15_20" TargetMode="External"/><Relationship Id="rId646" Type="http://schemas.openxmlformats.org/officeDocument/2006/relationships/hyperlink" Target="https://openalex.org/funders/f4320322733" TargetMode="External"/><Relationship Id="rId888" Type="http://schemas.openxmlformats.org/officeDocument/2006/relationships/hyperlink" Target="https://openalex.org/funders/f4320321001" TargetMode="External"/><Relationship Id="rId403" Type="http://schemas.openxmlformats.org/officeDocument/2006/relationships/hyperlink" Target="https://openalex.org/funders/f4320321018" TargetMode="External"/><Relationship Id="rId645" Type="http://schemas.openxmlformats.org/officeDocument/2006/relationships/hyperlink" Target="https://doi.org/10.1515/amm-2015-0332" TargetMode="External"/><Relationship Id="rId887" Type="http://schemas.openxmlformats.org/officeDocument/2006/relationships/hyperlink" Target="https://doi.org/10.1016/j.geotexmem.2022.06.006" TargetMode="External"/><Relationship Id="rId402" Type="http://schemas.openxmlformats.org/officeDocument/2006/relationships/hyperlink" Target="https://doi.org/10.1007/s00787-009-0079-7" TargetMode="External"/><Relationship Id="rId644" Type="http://schemas.openxmlformats.org/officeDocument/2006/relationships/hyperlink" Target="https://openalex.org/funders/f4320337346" TargetMode="External"/><Relationship Id="rId886" Type="http://schemas.openxmlformats.org/officeDocument/2006/relationships/hyperlink" Target="https://openalex.org/funders/f4320320719" TargetMode="External"/><Relationship Id="rId401" Type="http://schemas.openxmlformats.org/officeDocument/2006/relationships/hyperlink" Target="https://openalex.org/funders/f4320321079" TargetMode="External"/><Relationship Id="rId643" Type="http://schemas.openxmlformats.org/officeDocument/2006/relationships/hyperlink" Target="https://doi.org/10.1016/j.bbr.2018.06.014" TargetMode="External"/><Relationship Id="rId885" Type="http://schemas.openxmlformats.org/officeDocument/2006/relationships/hyperlink" Target="https://doi.org/10.1016/j.chemphys.2019.110604" TargetMode="External"/><Relationship Id="rId408" Type="http://schemas.openxmlformats.org/officeDocument/2006/relationships/hyperlink" Target="https://doi.org/10.1016/j.foreco.2017.06.063" TargetMode="External"/><Relationship Id="rId407" Type="http://schemas.openxmlformats.org/officeDocument/2006/relationships/hyperlink" Target="https://doi.org/10.1007/s10714-014-1764-5" TargetMode="External"/><Relationship Id="rId649" Type="http://schemas.openxmlformats.org/officeDocument/2006/relationships/hyperlink" Target="https://doi.org/10.1111/brv.12098" TargetMode="External"/><Relationship Id="rId406" Type="http://schemas.openxmlformats.org/officeDocument/2006/relationships/hyperlink" Target="https://doi.org/10.3390/met11050844" TargetMode="External"/><Relationship Id="rId648" Type="http://schemas.openxmlformats.org/officeDocument/2006/relationships/hyperlink" Target="https://openalex.org/funders/f4320322347" TargetMode="External"/><Relationship Id="rId405" Type="http://schemas.openxmlformats.org/officeDocument/2006/relationships/hyperlink" Target="https://openalex.org/institutions/i2803020280" TargetMode="External"/><Relationship Id="rId647" Type="http://schemas.openxmlformats.org/officeDocument/2006/relationships/hyperlink" Target="https://doi.org/10.5220/0007690401140118" TargetMode="External"/><Relationship Id="rId889" Type="http://schemas.openxmlformats.org/officeDocument/2006/relationships/hyperlink" Target="https://doi.org/10.1016/j.compstruct.2020.112824" TargetMode="External"/><Relationship Id="rId880" Type="http://schemas.openxmlformats.org/officeDocument/2006/relationships/hyperlink" Target="https://doi.org/10.1093/aob/mct212" TargetMode="External"/><Relationship Id="rId1470" Type="http://schemas.openxmlformats.org/officeDocument/2006/relationships/hyperlink" Target="https://doi.org/10.3390/ijms21020397" TargetMode="External"/><Relationship Id="rId1471" Type="http://schemas.openxmlformats.org/officeDocument/2006/relationships/hyperlink" Target="https://openalex.org/funders/f4320322650" TargetMode="External"/><Relationship Id="rId1230" Type="http://schemas.openxmlformats.org/officeDocument/2006/relationships/hyperlink" Target="https://doi.org/10.1016/j.ijthermalsci.2022.107542" TargetMode="External"/><Relationship Id="rId1472" Type="http://schemas.openxmlformats.org/officeDocument/2006/relationships/hyperlink" Target="https://doi.org/10.1007/978-3-030-29207-2_12" TargetMode="External"/><Relationship Id="rId400" Type="http://schemas.openxmlformats.org/officeDocument/2006/relationships/hyperlink" Target="https://doi.org/10.1134/S1062360421060047" TargetMode="External"/><Relationship Id="rId642" Type="http://schemas.openxmlformats.org/officeDocument/2006/relationships/hyperlink" Target="https://openalex.org/funders/f4320322451" TargetMode="External"/><Relationship Id="rId884" Type="http://schemas.openxmlformats.org/officeDocument/2006/relationships/hyperlink" Target="https://doi.org/10.1016/j.scs.2017.11.026" TargetMode="External"/><Relationship Id="rId1231" Type="http://schemas.openxmlformats.org/officeDocument/2006/relationships/hyperlink" Target="https://openalex.org/funders/f4320321001" TargetMode="External"/><Relationship Id="rId1473" Type="http://schemas.openxmlformats.org/officeDocument/2006/relationships/hyperlink" Target="https://openalex.org/funders/f4320321655" TargetMode="External"/><Relationship Id="rId641" Type="http://schemas.openxmlformats.org/officeDocument/2006/relationships/hyperlink" Target="https://doi.org/10.1016/j.numecd.2013.01.002" TargetMode="External"/><Relationship Id="rId883" Type="http://schemas.openxmlformats.org/officeDocument/2006/relationships/hyperlink" Target="https://doi.org/10.1016/j.cjph.2017.04.008" TargetMode="External"/><Relationship Id="rId1232" Type="http://schemas.openxmlformats.org/officeDocument/2006/relationships/hyperlink" Target="https://doi.org/10.5194/os-12-379-2016" TargetMode="External"/><Relationship Id="rId1474" Type="http://schemas.openxmlformats.org/officeDocument/2006/relationships/hyperlink" Target="https://doi.org/10.7554/eLife.58541" TargetMode="External"/><Relationship Id="rId640" Type="http://schemas.openxmlformats.org/officeDocument/2006/relationships/hyperlink" Target="https://openalex.org/funders/f4320335777" TargetMode="External"/><Relationship Id="rId882" Type="http://schemas.openxmlformats.org/officeDocument/2006/relationships/hyperlink" Target="https://openalex.org/funders/f4320322120" TargetMode="External"/><Relationship Id="rId1233" Type="http://schemas.openxmlformats.org/officeDocument/2006/relationships/hyperlink" Target="https://openalex.org/funders/f4320334960" TargetMode="External"/><Relationship Id="rId1475" Type="http://schemas.openxmlformats.org/officeDocument/2006/relationships/hyperlink" Target="https://doi.org/10.1016/j.oregeorev.2020.103943" TargetMode="External"/><Relationship Id="rId881" Type="http://schemas.openxmlformats.org/officeDocument/2006/relationships/hyperlink" Target="https://doi.org/10.1002/adma.202200172" TargetMode="External"/><Relationship Id="rId1234" Type="http://schemas.openxmlformats.org/officeDocument/2006/relationships/hyperlink" Target="https://doi.org/10.1016/j.energy.2011.10.037" TargetMode="External"/><Relationship Id="rId1476" Type="http://schemas.openxmlformats.org/officeDocument/2006/relationships/hyperlink" Target="https://doi.org/10.1016/j.procbio.2017.11.003" TargetMode="External"/><Relationship Id="rId1224" Type="http://schemas.openxmlformats.org/officeDocument/2006/relationships/hyperlink" Target="https://openalex.org/funders/f4320337338" TargetMode="External"/><Relationship Id="rId1466" Type="http://schemas.openxmlformats.org/officeDocument/2006/relationships/hyperlink" Target="https://doi.org/10.1016/j.matlet.2021.129592" TargetMode="External"/><Relationship Id="rId1225" Type="http://schemas.openxmlformats.org/officeDocument/2006/relationships/hyperlink" Target="https://doi.org/10.1088/1367-2630/18/9/093023" TargetMode="External"/><Relationship Id="rId1467" Type="http://schemas.openxmlformats.org/officeDocument/2006/relationships/hyperlink" Target="https://doi.org/10.1093/cdj/bsv051" TargetMode="External"/><Relationship Id="rId1226" Type="http://schemas.openxmlformats.org/officeDocument/2006/relationships/hyperlink" Target="https://doi.org/10.1111/bjhp.12240" TargetMode="External"/><Relationship Id="rId1468" Type="http://schemas.openxmlformats.org/officeDocument/2006/relationships/hyperlink" Target="https://doi.org/10.1371/journal.pone.0238080" TargetMode="External"/><Relationship Id="rId1227" Type="http://schemas.openxmlformats.org/officeDocument/2006/relationships/hyperlink" Target="https://openalex.org/funders/f4320331723" TargetMode="External"/><Relationship Id="rId1469" Type="http://schemas.openxmlformats.org/officeDocument/2006/relationships/hyperlink" Target="https://openalex.org/funders/f4320306811" TargetMode="External"/><Relationship Id="rId1228" Type="http://schemas.openxmlformats.org/officeDocument/2006/relationships/hyperlink" Target="https://doi.org/10.1007/s40262-016-0473-5" TargetMode="External"/><Relationship Id="rId1229" Type="http://schemas.openxmlformats.org/officeDocument/2006/relationships/hyperlink" Target="https://openalex.org/funders/f4320322436" TargetMode="External"/><Relationship Id="rId635" Type="http://schemas.openxmlformats.org/officeDocument/2006/relationships/hyperlink" Target="https://openalex.org/funders/f4320321001" TargetMode="External"/><Relationship Id="rId877" Type="http://schemas.openxmlformats.org/officeDocument/2006/relationships/hyperlink" Target="https://openalex.org/funders/f4320320879" TargetMode="External"/><Relationship Id="rId634" Type="http://schemas.openxmlformats.org/officeDocument/2006/relationships/hyperlink" Target="https://doi.org/10.1155/2014/143415" TargetMode="External"/><Relationship Id="rId876" Type="http://schemas.openxmlformats.org/officeDocument/2006/relationships/hyperlink" Target="https://doi.org/10.1016/j.jpubeco.2020.104326" TargetMode="External"/><Relationship Id="rId633" Type="http://schemas.openxmlformats.org/officeDocument/2006/relationships/hyperlink" Target="https://doi.org/10.1097/FBP.0000000000000443" TargetMode="External"/><Relationship Id="rId875" Type="http://schemas.openxmlformats.org/officeDocument/2006/relationships/hyperlink" Target="https://doi.org/10.1016/j.vetmic.2017.05.020" TargetMode="External"/><Relationship Id="rId632" Type="http://schemas.openxmlformats.org/officeDocument/2006/relationships/hyperlink" Target="https://openalex.org/funders/f4320327494" TargetMode="External"/><Relationship Id="rId874" Type="http://schemas.openxmlformats.org/officeDocument/2006/relationships/hyperlink" Target="https://openalex.org/funders/f4320320879" TargetMode="External"/><Relationship Id="rId639" Type="http://schemas.openxmlformats.org/officeDocument/2006/relationships/hyperlink" Target="https://doi.org/10.1016/j.palaeo.2020.109694" TargetMode="External"/><Relationship Id="rId638" Type="http://schemas.openxmlformats.org/officeDocument/2006/relationships/hyperlink" Target="https://openalex.org/funders/f4320337362" TargetMode="External"/><Relationship Id="rId637" Type="http://schemas.openxmlformats.org/officeDocument/2006/relationships/hyperlink" Target="https://doi.org/10.1359/JBMR.050909" TargetMode="External"/><Relationship Id="rId879" Type="http://schemas.openxmlformats.org/officeDocument/2006/relationships/hyperlink" Target="https://openalex.org/funders/f4320321001" TargetMode="External"/><Relationship Id="rId636" Type="http://schemas.openxmlformats.org/officeDocument/2006/relationships/hyperlink" Target="https://doi.org/10.1192/bjp.bp.108.055459" TargetMode="External"/><Relationship Id="rId878" Type="http://schemas.openxmlformats.org/officeDocument/2006/relationships/hyperlink" Target="https://doi.org/10.3390/cancers14164009" TargetMode="External"/><Relationship Id="rId1460" Type="http://schemas.openxmlformats.org/officeDocument/2006/relationships/hyperlink" Target="https://doi.org/10.1016/j.cej.2014.01.071" TargetMode="External"/><Relationship Id="rId1461" Type="http://schemas.openxmlformats.org/officeDocument/2006/relationships/hyperlink" Target="https://doi.org/10.1038/srep07828" TargetMode="External"/><Relationship Id="rId631" Type="http://schemas.openxmlformats.org/officeDocument/2006/relationships/hyperlink" Target="https://doi.org/10.1016/j.apsusc.2019.144048" TargetMode="External"/><Relationship Id="rId873" Type="http://schemas.openxmlformats.org/officeDocument/2006/relationships/hyperlink" Target="https://doi.org/10.1016/j.margeo.2016.03.013" TargetMode="External"/><Relationship Id="rId1220" Type="http://schemas.openxmlformats.org/officeDocument/2006/relationships/hyperlink" Target="https://doi.org/10.3389/fpsyt.2021.780542" TargetMode="External"/><Relationship Id="rId1462" Type="http://schemas.openxmlformats.org/officeDocument/2006/relationships/hyperlink" Target="https://doi.org/10.1007/s10103-018-2614-6" TargetMode="External"/><Relationship Id="rId630" Type="http://schemas.openxmlformats.org/officeDocument/2006/relationships/hyperlink" Target="https://openalex.org/funders/f4320322795" TargetMode="External"/><Relationship Id="rId872" Type="http://schemas.openxmlformats.org/officeDocument/2006/relationships/hyperlink" Target="https://doi.org/10.1007/s42243-021-00622-1" TargetMode="External"/><Relationship Id="rId1221" Type="http://schemas.openxmlformats.org/officeDocument/2006/relationships/hyperlink" Target="https://openalex.org/funders/f4320320751" TargetMode="External"/><Relationship Id="rId1463" Type="http://schemas.openxmlformats.org/officeDocument/2006/relationships/hyperlink" Target="https://openalex.org/funders/f4320323457" TargetMode="External"/><Relationship Id="rId871" Type="http://schemas.openxmlformats.org/officeDocument/2006/relationships/hyperlink" Target="https://openalex.org/funders/f4320321001" TargetMode="External"/><Relationship Id="rId1222" Type="http://schemas.openxmlformats.org/officeDocument/2006/relationships/hyperlink" Target="https://doi.org/10.1021/acs.jcim.8b00765" TargetMode="External"/><Relationship Id="rId1464" Type="http://schemas.openxmlformats.org/officeDocument/2006/relationships/hyperlink" Target="https://doi.org/10.1016/j.vaccine.2012.06.028" TargetMode="External"/><Relationship Id="rId870" Type="http://schemas.openxmlformats.org/officeDocument/2006/relationships/hyperlink" Target="https://doi.org/10.1049/itr2.12183" TargetMode="External"/><Relationship Id="rId1223" Type="http://schemas.openxmlformats.org/officeDocument/2006/relationships/hyperlink" Target="https://doi.org/10.1016/j.jtcvs.2004.12.046" TargetMode="External"/><Relationship Id="rId1465" Type="http://schemas.openxmlformats.org/officeDocument/2006/relationships/hyperlink" Target="https://openalex.org/institutions/i4210095529" TargetMode="External"/><Relationship Id="rId1411" Type="http://schemas.openxmlformats.org/officeDocument/2006/relationships/hyperlink" Target="https://openalex.org/funders/f4320315989" TargetMode="External"/><Relationship Id="rId1412" Type="http://schemas.openxmlformats.org/officeDocument/2006/relationships/hyperlink" Target="https://doi.org/10.1148/radiol.2015142059" TargetMode="External"/><Relationship Id="rId1413" Type="http://schemas.openxmlformats.org/officeDocument/2006/relationships/hyperlink" Target="https://doi.org/10.1002/ceat.201400681" TargetMode="External"/><Relationship Id="rId1414" Type="http://schemas.openxmlformats.org/officeDocument/2006/relationships/hyperlink" Target="https://openalex.org/funders/f4320306104" TargetMode="External"/><Relationship Id="rId1415" Type="http://schemas.openxmlformats.org/officeDocument/2006/relationships/hyperlink" Target="https://doi.org/10.1364/OE.463220" TargetMode="External"/><Relationship Id="rId1416" Type="http://schemas.openxmlformats.org/officeDocument/2006/relationships/hyperlink" Target="https://doi.org/10.1152/japplphysiol.01085.2009" TargetMode="External"/><Relationship Id="rId1417" Type="http://schemas.openxmlformats.org/officeDocument/2006/relationships/hyperlink" Target="https://doi.org/10.1098/rsif.2020.0783" TargetMode="External"/><Relationship Id="rId1418" Type="http://schemas.openxmlformats.org/officeDocument/2006/relationships/hyperlink" Target="https://openalex.org/institutions/i149899117" TargetMode="External"/><Relationship Id="rId1419" Type="http://schemas.openxmlformats.org/officeDocument/2006/relationships/hyperlink" Target="https://doi.org/10.1088/1674-1137/39/5/057003" TargetMode="External"/><Relationship Id="rId829" Type="http://schemas.openxmlformats.org/officeDocument/2006/relationships/hyperlink" Target="https://doi.org/10.1378/chest.08-1339" TargetMode="External"/><Relationship Id="rId828" Type="http://schemas.openxmlformats.org/officeDocument/2006/relationships/hyperlink" Target="https://doi.org/10.1021/jacs.7b02063" TargetMode="External"/><Relationship Id="rId827" Type="http://schemas.openxmlformats.org/officeDocument/2006/relationships/hyperlink" Target="https://doi.org/10.1038/s41598-022-10991-6" TargetMode="External"/><Relationship Id="rId822" Type="http://schemas.openxmlformats.org/officeDocument/2006/relationships/hyperlink" Target="https://openalex.org/funders/f4320322034" TargetMode="External"/><Relationship Id="rId821" Type="http://schemas.openxmlformats.org/officeDocument/2006/relationships/hyperlink" Target="https://doi.org/10.1016/j.fertnstert.2012.01.097" TargetMode="External"/><Relationship Id="rId820" Type="http://schemas.openxmlformats.org/officeDocument/2006/relationships/hyperlink" Target="https://doi.org/10.1172/jci.insight.93688" TargetMode="External"/><Relationship Id="rId826" Type="http://schemas.openxmlformats.org/officeDocument/2006/relationships/hyperlink" Target="https://doi.org/10.1155/2021/6690095" TargetMode="External"/><Relationship Id="rId825" Type="http://schemas.openxmlformats.org/officeDocument/2006/relationships/hyperlink" Target="https://openalex.org/funders/f4320322729" TargetMode="External"/><Relationship Id="rId824" Type="http://schemas.openxmlformats.org/officeDocument/2006/relationships/hyperlink" Target="https://doi.org/10.1080/10916466.2018.1465972" TargetMode="External"/><Relationship Id="rId823" Type="http://schemas.openxmlformats.org/officeDocument/2006/relationships/hyperlink" Target="https://doi.org/10.1007/978-3-030-15986-3_14" TargetMode="External"/><Relationship Id="rId1410" Type="http://schemas.openxmlformats.org/officeDocument/2006/relationships/hyperlink" Target="https://doi.org/10.1016/j.foodchem.2017.04.107" TargetMode="External"/><Relationship Id="rId1400" Type="http://schemas.openxmlformats.org/officeDocument/2006/relationships/hyperlink" Target="https://doi.org/10.1111/acel.12639" TargetMode="External"/><Relationship Id="rId1401" Type="http://schemas.openxmlformats.org/officeDocument/2006/relationships/hyperlink" Target="https://openalex.org/funders/f4320322120" TargetMode="External"/><Relationship Id="rId1402" Type="http://schemas.openxmlformats.org/officeDocument/2006/relationships/hyperlink" Target="https://doi.org/10.2135/cropsci2011.06.0335" TargetMode="External"/><Relationship Id="rId1403" Type="http://schemas.openxmlformats.org/officeDocument/2006/relationships/hyperlink" Target="https://doi.org/10.1016/j.asr.2021.04.049" TargetMode="External"/><Relationship Id="rId1404" Type="http://schemas.openxmlformats.org/officeDocument/2006/relationships/hyperlink" Target="https://doi.org/10.1016/j.polymertesting.2022.107715" TargetMode="External"/><Relationship Id="rId1405" Type="http://schemas.openxmlformats.org/officeDocument/2006/relationships/hyperlink" Target="https://openalex.org/funders/f4320329857" TargetMode="External"/><Relationship Id="rId1406" Type="http://schemas.openxmlformats.org/officeDocument/2006/relationships/hyperlink" Target="https://doi.org/10.1007/s10514-020-09926-9" TargetMode="External"/><Relationship Id="rId1407" Type="http://schemas.openxmlformats.org/officeDocument/2006/relationships/hyperlink" Target="https://openalex.org/institutions/i4210166741" TargetMode="External"/><Relationship Id="rId819" Type="http://schemas.openxmlformats.org/officeDocument/2006/relationships/hyperlink" Target="https://doi.org/10.1063/1.5091477" TargetMode="External"/><Relationship Id="rId1408" Type="http://schemas.openxmlformats.org/officeDocument/2006/relationships/hyperlink" Target="https://doi.org/10.1007/s00011-010-0269-2" TargetMode="External"/><Relationship Id="rId818" Type="http://schemas.openxmlformats.org/officeDocument/2006/relationships/hyperlink" Target="https://doi.org/10.1109/ICDCS.2019.00059" TargetMode="External"/><Relationship Id="rId1409" Type="http://schemas.openxmlformats.org/officeDocument/2006/relationships/hyperlink" Target="https://openalex.org/funders/f4320332194" TargetMode="External"/><Relationship Id="rId817" Type="http://schemas.openxmlformats.org/officeDocument/2006/relationships/hyperlink" Target="https://openalex.org/funders/f4320326089" TargetMode="External"/><Relationship Id="rId816" Type="http://schemas.openxmlformats.org/officeDocument/2006/relationships/hyperlink" Target="https://doi.org/10.1016/j.fluid.2010.07.012" TargetMode="External"/><Relationship Id="rId811" Type="http://schemas.openxmlformats.org/officeDocument/2006/relationships/hyperlink" Target="https://doi.org/10.1016/j.biortech.2016.10.080" TargetMode="External"/><Relationship Id="rId810" Type="http://schemas.openxmlformats.org/officeDocument/2006/relationships/hyperlink" Target="https://openalex.org/funders/f4320311904" TargetMode="External"/><Relationship Id="rId815" Type="http://schemas.openxmlformats.org/officeDocument/2006/relationships/hyperlink" Target="https://doi.org/10.1063/1.4944081" TargetMode="External"/><Relationship Id="rId814" Type="http://schemas.openxmlformats.org/officeDocument/2006/relationships/hyperlink" Target="https://doi.org/10.1016/j.snb.2010.10.010" TargetMode="External"/><Relationship Id="rId813" Type="http://schemas.openxmlformats.org/officeDocument/2006/relationships/hyperlink" Target="https://openalex.org/funders/f4320337362" TargetMode="External"/><Relationship Id="rId812" Type="http://schemas.openxmlformats.org/officeDocument/2006/relationships/hyperlink" Target="https://doi.org/10.1016/j.jneuroim.2005.01.014" TargetMode="External"/><Relationship Id="rId1433" Type="http://schemas.openxmlformats.org/officeDocument/2006/relationships/hyperlink" Target="https://doi.org/10.1021/acssuschemeng.0c02813" TargetMode="External"/><Relationship Id="rId1434" Type="http://schemas.openxmlformats.org/officeDocument/2006/relationships/hyperlink" Target="https://openalex.org/funders/f4320322795" TargetMode="External"/><Relationship Id="rId1435" Type="http://schemas.openxmlformats.org/officeDocument/2006/relationships/hyperlink" Target="https://doi.org/10.5115/acb.2015.48.4.235" TargetMode="External"/><Relationship Id="rId1436" Type="http://schemas.openxmlformats.org/officeDocument/2006/relationships/hyperlink" Target="https://openalex.org/funders/f4320322120" TargetMode="External"/><Relationship Id="rId1437" Type="http://schemas.openxmlformats.org/officeDocument/2006/relationships/hyperlink" Target="https://doi.org/10.1002/lpor.202100423" TargetMode="External"/><Relationship Id="rId1438" Type="http://schemas.openxmlformats.org/officeDocument/2006/relationships/hyperlink" Target="https://doi.org/10.1111/iju.13702" TargetMode="External"/><Relationship Id="rId1439" Type="http://schemas.openxmlformats.org/officeDocument/2006/relationships/hyperlink" Target="https://doi.org/10.1111/jbi.12194" TargetMode="External"/><Relationship Id="rId609" Type="http://schemas.openxmlformats.org/officeDocument/2006/relationships/hyperlink" Target="https://openalex.org/funders/f4320321739" TargetMode="External"/><Relationship Id="rId608" Type="http://schemas.openxmlformats.org/officeDocument/2006/relationships/hyperlink" Target="https://doi.org/10.1080/10807039.2015.1064760" TargetMode="External"/><Relationship Id="rId607" Type="http://schemas.openxmlformats.org/officeDocument/2006/relationships/hyperlink" Target="https://doi.org/10.1016/j.yofte.2016.07.008" TargetMode="External"/><Relationship Id="rId849" Type="http://schemas.openxmlformats.org/officeDocument/2006/relationships/hyperlink" Target="https://openalex.org/funders/f4320320767" TargetMode="External"/><Relationship Id="rId602" Type="http://schemas.openxmlformats.org/officeDocument/2006/relationships/hyperlink" Target="https://openalex.org/funders/f4320322025" TargetMode="External"/><Relationship Id="rId844" Type="http://schemas.openxmlformats.org/officeDocument/2006/relationships/hyperlink" Target="https://doi.org/10.1016/j.engstruct.2017.10.063" TargetMode="External"/><Relationship Id="rId601" Type="http://schemas.openxmlformats.org/officeDocument/2006/relationships/hyperlink" Target="https://doi.org/10.2217/FVL.11.46" TargetMode="External"/><Relationship Id="rId843" Type="http://schemas.openxmlformats.org/officeDocument/2006/relationships/hyperlink" Target="https://doi.org/10.1007/s11926-012-0303-1" TargetMode="External"/><Relationship Id="rId600" Type="http://schemas.openxmlformats.org/officeDocument/2006/relationships/hyperlink" Target="https://doi.org/10.1016/j.vascn.2019.106579" TargetMode="External"/><Relationship Id="rId842" Type="http://schemas.openxmlformats.org/officeDocument/2006/relationships/hyperlink" Target="https://doi.org/10.1016/j.gr.2022.01.013" TargetMode="External"/><Relationship Id="rId841" Type="http://schemas.openxmlformats.org/officeDocument/2006/relationships/hyperlink" Target="https://openalex.org/funders/f4320306076" TargetMode="External"/><Relationship Id="rId606" Type="http://schemas.openxmlformats.org/officeDocument/2006/relationships/hyperlink" Target="https://openalex.org/funders/f4320321883" TargetMode="External"/><Relationship Id="rId848" Type="http://schemas.openxmlformats.org/officeDocument/2006/relationships/hyperlink" Target="https://doi.org/10.3109/03639045.2010.513984" TargetMode="External"/><Relationship Id="rId605" Type="http://schemas.openxmlformats.org/officeDocument/2006/relationships/hyperlink" Target="https://doi.org/10.1016/j.jenvman.2020.110140" TargetMode="External"/><Relationship Id="rId847" Type="http://schemas.openxmlformats.org/officeDocument/2006/relationships/hyperlink" Target="https://doi.org/10.1038/s41598-021-95190-5" TargetMode="External"/><Relationship Id="rId604" Type="http://schemas.openxmlformats.org/officeDocument/2006/relationships/hyperlink" Target="https://openalex.org/funders/f4320334897" TargetMode="External"/><Relationship Id="rId846" Type="http://schemas.openxmlformats.org/officeDocument/2006/relationships/hyperlink" Target="https://openalex.org/funders/f4320334678" TargetMode="External"/><Relationship Id="rId603" Type="http://schemas.openxmlformats.org/officeDocument/2006/relationships/hyperlink" Target="https://doi.org/10.1007/s10067-020-05220-2" TargetMode="External"/><Relationship Id="rId845" Type="http://schemas.openxmlformats.org/officeDocument/2006/relationships/hyperlink" Target="https://doi.org/10.1117/12.2608160" TargetMode="External"/><Relationship Id="rId840" Type="http://schemas.openxmlformats.org/officeDocument/2006/relationships/hyperlink" Target="https://doi.org/10.1007/s10514-019-09856-1" TargetMode="External"/><Relationship Id="rId1430" Type="http://schemas.openxmlformats.org/officeDocument/2006/relationships/hyperlink" Target="https://openalex.org/institutions/i4210089815" TargetMode="External"/><Relationship Id="rId1431" Type="http://schemas.openxmlformats.org/officeDocument/2006/relationships/hyperlink" Target="https://doi.org/10.1039/d2cp03073j" TargetMode="External"/><Relationship Id="rId1432" Type="http://schemas.openxmlformats.org/officeDocument/2006/relationships/hyperlink" Target="https://openalex.org/funders/f4320321001" TargetMode="External"/><Relationship Id="rId1422" Type="http://schemas.openxmlformats.org/officeDocument/2006/relationships/hyperlink" Target="https://doi.org/10.1111/ajo.13316" TargetMode="External"/><Relationship Id="rId1423" Type="http://schemas.openxmlformats.org/officeDocument/2006/relationships/hyperlink" Target="https://doi.org/10.1007/s11664-013-2667-z" TargetMode="External"/><Relationship Id="rId1424" Type="http://schemas.openxmlformats.org/officeDocument/2006/relationships/hyperlink" Target="https://openalex.org/funders/f4320306087" TargetMode="External"/><Relationship Id="rId1425" Type="http://schemas.openxmlformats.org/officeDocument/2006/relationships/hyperlink" Target="https://doi.org/10.1007/s10876-018-1442-y" TargetMode="External"/><Relationship Id="rId1426" Type="http://schemas.openxmlformats.org/officeDocument/2006/relationships/hyperlink" Target="https://openalex.org/funders/f4320321001" TargetMode="External"/><Relationship Id="rId1427" Type="http://schemas.openxmlformats.org/officeDocument/2006/relationships/hyperlink" Target="https://doi.org/10.1103/PhysRevC.92.065802" TargetMode="External"/><Relationship Id="rId1428" Type="http://schemas.openxmlformats.org/officeDocument/2006/relationships/hyperlink" Target="https://openalex.org/funders/f4320320366" TargetMode="External"/><Relationship Id="rId1429" Type="http://schemas.openxmlformats.org/officeDocument/2006/relationships/hyperlink" Target="https://doi.org/10.1242/jeb.033050" TargetMode="External"/><Relationship Id="rId839" Type="http://schemas.openxmlformats.org/officeDocument/2006/relationships/hyperlink" Target="https://openalex.org/funders/f4320321557" TargetMode="External"/><Relationship Id="rId838" Type="http://schemas.openxmlformats.org/officeDocument/2006/relationships/hyperlink" Target="https://doi.org/10.1089/ten.teb.2020.0149" TargetMode="External"/><Relationship Id="rId833" Type="http://schemas.openxmlformats.org/officeDocument/2006/relationships/hyperlink" Target="https://doi.org/10.1371/journal.pone.0184047" TargetMode="External"/><Relationship Id="rId832" Type="http://schemas.openxmlformats.org/officeDocument/2006/relationships/hyperlink" Target="https://doi.org/10.1080/08916934.2016.1214822" TargetMode="External"/><Relationship Id="rId831" Type="http://schemas.openxmlformats.org/officeDocument/2006/relationships/hyperlink" Target="https://doi.org/10.1093/beheco/arab108" TargetMode="External"/><Relationship Id="rId830" Type="http://schemas.openxmlformats.org/officeDocument/2006/relationships/hyperlink" Target="https://openalex.org/funders/f4320337338" TargetMode="External"/><Relationship Id="rId837" Type="http://schemas.openxmlformats.org/officeDocument/2006/relationships/hyperlink" Target="https://doi.org/10.1097/MD.0000000000007879" TargetMode="External"/><Relationship Id="rId836" Type="http://schemas.openxmlformats.org/officeDocument/2006/relationships/hyperlink" Target="https://doi.org/10.1016/j.neuroimage.2004.06.019" TargetMode="External"/><Relationship Id="rId835" Type="http://schemas.openxmlformats.org/officeDocument/2006/relationships/hyperlink" Target="https://doi.org/10.1186/s12859-016-1299-8" TargetMode="External"/><Relationship Id="rId834" Type="http://schemas.openxmlformats.org/officeDocument/2006/relationships/hyperlink" Target="https://doi.org/10.1016/j.celrep.2016.12.035" TargetMode="External"/><Relationship Id="rId1420" Type="http://schemas.openxmlformats.org/officeDocument/2006/relationships/hyperlink" Target="https://openalex.org/funders/f4320326701" TargetMode="External"/><Relationship Id="rId1421" Type="http://schemas.openxmlformats.org/officeDocument/2006/relationships/hyperlink" Target="https://doi.org/10.1039/c2sc21458j" TargetMode="External"/><Relationship Id="rId1059" Type="http://schemas.openxmlformats.org/officeDocument/2006/relationships/hyperlink" Target="https://doi.org/10.1007/s00125-018-4658-3" TargetMode="External"/><Relationship Id="rId228" Type="http://schemas.openxmlformats.org/officeDocument/2006/relationships/hyperlink" Target="https://openalex.org/funders/f4320321001" TargetMode="External"/><Relationship Id="rId227" Type="http://schemas.openxmlformats.org/officeDocument/2006/relationships/hyperlink" Target="https://doi.org/10.1515/tjj-2013-0028" TargetMode="External"/><Relationship Id="rId469" Type="http://schemas.openxmlformats.org/officeDocument/2006/relationships/hyperlink" Target="https://doi.org/10.1016/j.dci.2006.01.002" TargetMode="External"/><Relationship Id="rId226" Type="http://schemas.openxmlformats.org/officeDocument/2006/relationships/hyperlink" Target="https://doi.org/10.1111/j.1365-2109.2010.02645.x" TargetMode="External"/><Relationship Id="rId468" Type="http://schemas.openxmlformats.org/officeDocument/2006/relationships/hyperlink" Target="https://openalex.org/funders/f4320311494" TargetMode="External"/><Relationship Id="rId225" Type="http://schemas.openxmlformats.org/officeDocument/2006/relationships/hyperlink" Target="https://doi.org/10.1016/j.plantsci.2019.02.014" TargetMode="External"/><Relationship Id="rId467" Type="http://schemas.openxmlformats.org/officeDocument/2006/relationships/hyperlink" Target="https://doi.org/10.3390/jcm10050965" TargetMode="External"/><Relationship Id="rId1290" Type="http://schemas.openxmlformats.org/officeDocument/2006/relationships/hyperlink" Target="https://doi.org/10.21162/PAKJAS/20.9309" TargetMode="External"/><Relationship Id="rId1291" Type="http://schemas.openxmlformats.org/officeDocument/2006/relationships/hyperlink" Target="https://openalex.org/funders/f4320322626" TargetMode="External"/><Relationship Id="rId229" Type="http://schemas.openxmlformats.org/officeDocument/2006/relationships/hyperlink" Target="https://doi.org/10.1109/ASDAM50306.2020.9393836" TargetMode="External"/><Relationship Id="rId1050" Type="http://schemas.openxmlformats.org/officeDocument/2006/relationships/hyperlink" Target="https://doi.org/10.1038/srep08785" TargetMode="External"/><Relationship Id="rId1292" Type="http://schemas.openxmlformats.org/officeDocument/2006/relationships/hyperlink" Target="https://doi.org/10.1161/JAHA.119.013703" TargetMode="External"/><Relationship Id="rId220" Type="http://schemas.openxmlformats.org/officeDocument/2006/relationships/hyperlink" Target="https://doi.org/10.1007/s10344-017-1097-2" TargetMode="External"/><Relationship Id="rId462" Type="http://schemas.openxmlformats.org/officeDocument/2006/relationships/hyperlink" Target="https://openalex.org/funders/f4320337372" TargetMode="External"/><Relationship Id="rId1051" Type="http://schemas.openxmlformats.org/officeDocument/2006/relationships/hyperlink" Target="https://openalex.org/funders/f4320321001" TargetMode="External"/><Relationship Id="rId1293" Type="http://schemas.openxmlformats.org/officeDocument/2006/relationships/hyperlink" Target="https://openalex.org/institutions/i91962293" TargetMode="External"/><Relationship Id="rId461" Type="http://schemas.openxmlformats.org/officeDocument/2006/relationships/hyperlink" Target="https://doi.org/10.1016/j.anai.2010.09.028" TargetMode="External"/><Relationship Id="rId1052" Type="http://schemas.openxmlformats.org/officeDocument/2006/relationships/hyperlink" Target="https://doi.org/10.1016/j.archger.2018.11.006" TargetMode="External"/><Relationship Id="rId1294" Type="http://schemas.openxmlformats.org/officeDocument/2006/relationships/hyperlink" Target="https://doi.org/10.1016/j.ijhydene.2014.12.116" TargetMode="External"/><Relationship Id="rId460" Type="http://schemas.openxmlformats.org/officeDocument/2006/relationships/hyperlink" Target="https://doi.org/10.1093/brain/awu100" TargetMode="External"/><Relationship Id="rId1053" Type="http://schemas.openxmlformats.org/officeDocument/2006/relationships/hyperlink" Target="https://openalex.org/funders/f4320309776" TargetMode="External"/><Relationship Id="rId1295" Type="http://schemas.openxmlformats.org/officeDocument/2006/relationships/hyperlink" Target="https://doi.org/10.1186/s12876-016-0507-3" TargetMode="External"/><Relationship Id="rId1054" Type="http://schemas.openxmlformats.org/officeDocument/2006/relationships/hyperlink" Target="https://doi.org/10.1016/j.ijbiomac.2021.11.142" TargetMode="External"/><Relationship Id="rId1296" Type="http://schemas.openxmlformats.org/officeDocument/2006/relationships/hyperlink" Target="https://openalex.org/funders/f4320324283" TargetMode="External"/><Relationship Id="rId224" Type="http://schemas.openxmlformats.org/officeDocument/2006/relationships/hyperlink" Target="https://doi.org/10.1016/j.colsurfa.2010.02.005" TargetMode="External"/><Relationship Id="rId466" Type="http://schemas.openxmlformats.org/officeDocument/2006/relationships/hyperlink" Target="https://doi.org/10.1021/jp9012976" TargetMode="External"/><Relationship Id="rId1055" Type="http://schemas.openxmlformats.org/officeDocument/2006/relationships/hyperlink" Target="https://openalex.org/funders/f4320334771" TargetMode="External"/><Relationship Id="rId1297" Type="http://schemas.openxmlformats.org/officeDocument/2006/relationships/hyperlink" Target="https://doi.org/10.3390/ijms19113686" TargetMode="External"/><Relationship Id="rId223" Type="http://schemas.openxmlformats.org/officeDocument/2006/relationships/hyperlink" Target="https://doi.org/10.1007/s11295-018-1235-3" TargetMode="External"/><Relationship Id="rId465" Type="http://schemas.openxmlformats.org/officeDocument/2006/relationships/hyperlink" Target="https://openalex.org/funders/f4320337355" TargetMode="External"/><Relationship Id="rId1056" Type="http://schemas.openxmlformats.org/officeDocument/2006/relationships/hyperlink" Target="https://doi.org/10.1177/0009922820910820" TargetMode="External"/><Relationship Id="rId1298" Type="http://schemas.openxmlformats.org/officeDocument/2006/relationships/hyperlink" Target="https://doi.org/10.3389/fmolb.2022.827638" TargetMode="External"/><Relationship Id="rId222" Type="http://schemas.openxmlformats.org/officeDocument/2006/relationships/hyperlink" Target="https://openalex.org/funders/f4320334704" TargetMode="External"/><Relationship Id="rId464" Type="http://schemas.openxmlformats.org/officeDocument/2006/relationships/hyperlink" Target="https://doi.org/10.1016/j.molbiopara.2008.08.005" TargetMode="External"/><Relationship Id="rId1057" Type="http://schemas.openxmlformats.org/officeDocument/2006/relationships/hyperlink" Target="https://openalex.org/funders/f4320337338" TargetMode="External"/><Relationship Id="rId1299" Type="http://schemas.openxmlformats.org/officeDocument/2006/relationships/hyperlink" Target="https://doi.org/10.1002/pros.23887" TargetMode="External"/><Relationship Id="rId221" Type="http://schemas.openxmlformats.org/officeDocument/2006/relationships/hyperlink" Target="https://doi.org/10.1111/irfi.12038" TargetMode="External"/><Relationship Id="rId463" Type="http://schemas.openxmlformats.org/officeDocument/2006/relationships/hyperlink" Target="https://doi.org/10.1186/1532-429X-11-29" TargetMode="External"/><Relationship Id="rId1058" Type="http://schemas.openxmlformats.org/officeDocument/2006/relationships/hyperlink" Target="https://doi.org/10.1038/srep17771" TargetMode="External"/><Relationship Id="rId1048" Type="http://schemas.openxmlformats.org/officeDocument/2006/relationships/hyperlink" Target="https://doi.org/10.1016/j.jbc.2021.101359" TargetMode="External"/><Relationship Id="rId1049" Type="http://schemas.openxmlformats.org/officeDocument/2006/relationships/hyperlink" Target="https://openalex.org/funders/f4320332161" TargetMode="External"/><Relationship Id="rId217" Type="http://schemas.openxmlformats.org/officeDocument/2006/relationships/hyperlink" Target="https://openalex.org/funders/f4320334764" TargetMode="External"/><Relationship Id="rId459" Type="http://schemas.openxmlformats.org/officeDocument/2006/relationships/hyperlink" Target="https://doi.org/10.1098/rspa.2017.0844" TargetMode="External"/><Relationship Id="rId216" Type="http://schemas.openxmlformats.org/officeDocument/2006/relationships/hyperlink" Target="https://doi.org/10.1016/j.tetlet.2019.03.043" TargetMode="External"/><Relationship Id="rId458" Type="http://schemas.openxmlformats.org/officeDocument/2006/relationships/hyperlink" Target="https://doi.org/10.1016/j.tca.2012.04.031" TargetMode="External"/><Relationship Id="rId215" Type="http://schemas.openxmlformats.org/officeDocument/2006/relationships/hyperlink" Target="https://doi.org/10.1080/09500340.2013.879219" TargetMode="External"/><Relationship Id="rId457" Type="http://schemas.openxmlformats.org/officeDocument/2006/relationships/hyperlink" Target="https://openalex.org/funders/f4320332161" TargetMode="External"/><Relationship Id="rId699" Type="http://schemas.openxmlformats.org/officeDocument/2006/relationships/hyperlink" Target="https://doi.org/10.1016/j.jcp.2009.04.031" TargetMode="External"/><Relationship Id="rId214" Type="http://schemas.openxmlformats.org/officeDocument/2006/relationships/hyperlink" Target="https://openalex.org/funders/f4320334627" TargetMode="External"/><Relationship Id="rId456" Type="http://schemas.openxmlformats.org/officeDocument/2006/relationships/hyperlink" Target="https://doi.org/10.7554/eLife.59112" TargetMode="External"/><Relationship Id="rId698" Type="http://schemas.openxmlformats.org/officeDocument/2006/relationships/hyperlink" Target="https://doi.org/10.1016/j.radphyschem.2019.05.002" TargetMode="External"/><Relationship Id="rId219" Type="http://schemas.openxmlformats.org/officeDocument/2006/relationships/hyperlink" Target="https://openalex.org/funders/f4320321001" TargetMode="External"/><Relationship Id="rId1280" Type="http://schemas.openxmlformats.org/officeDocument/2006/relationships/hyperlink" Target="https://doi.org/10.1016/j.applthermaleng.2017.03.124" TargetMode="External"/><Relationship Id="rId218" Type="http://schemas.openxmlformats.org/officeDocument/2006/relationships/hyperlink" Target="https://doi.org/10.1080/10610278.2016.1198485" TargetMode="External"/><Relationship Id="rId1281" Type="http://schemas.openxmlformats.org/officeDocument/2006/relationships/hyperlink" Target="https://doi.org/10.1007/s12040-013-0358-z" TargetMode="External"/><Relationship Id="rId451" Type="http://schemas.openxmlformats.org/officeDocument/2006/relationships/hyperlink" Target="https://doi.org/10.1016/j.compfluid.2017.02.009" TargetMode="External"/><Relationship Id="rId693" Type="http://schemas.openxmlformats.org/officeDocument/2006/relationships/hyperlink" Target="https://doi.org/10.1095/biolreprod.113.116814" TargetMode="External"/><Relationship Id="rId1040" Type="http://schemas.openxmlformats.org/officeDocument/2006/relationships/hyperlink" Target="https://doi.org/10.1093/eurpub/ckt120" TargetMode="External"/><Relationship Id="rId1282" Type="http://schemas.openxmlformats.org/officeDocument/2006/relationships/hyperlink" Target="https://openalex.org/funders/f4320320875" TargetMode="External"/><Relationship Id="rId450" Type="http://schemas.openxmlformats.org/officeDocument/2006/relationships/hyperlink" Target="https://doi.org/10.1021/cm401270b" TargetMode="External"/><Relationship Id="rId692" Type="http://schemas.openxmlformats.org/officeDocument/2006/relationships/hyperlink" Target="https://doi.org/10.1007/s10577-019-09619-9" TargetMode="External"/><Relationship Id="rId1041" Type="http://schemas.openxmlformats.org/officeDocument/2006/relationships/hyperlink" Target="https://openalex.org/funders/f4320320912" TargetMode="External"/><Relationship Id="rId1283" Type="http://schemas.openxmlformats.org/officeDocument/2006/relationships/hyperlink" Target="https://doi.org/10.4064/aa191103-13-2" TargetMode="External"/><Relationship Id="rId691" Type="http://schemas.openxmlformats.org/officeDocument/2006/relationships/hyperlink" Target="https://openalex.org/funders/f4320317188" TargetMode="External"/><Relationship Id="rId1042" Type="http://schemas.openxmlformats.org/officeDocument/2006/relationships/hyperlink" Target="https://doi.org/10.3390/geosciences10040138" TargetMode="External"/><Relationship Id="rId1284" Type="http://schemas.openxmlformats.org/officeDocument/2006/relationships/hyperlink" Target="https://openalex.org/funders/f4320321001" TargetMode="External"/><Relationship Id="rId690" Type="http://schemas.openxmlformats.org/officeDocument/2006/relationships/hyperlink" Target="https://doi.org/10.1185/03007995.2015.1047748" TargetMode="External"/><Relationship Id="rId1043" Type="http://schemas.openxmlformats.org/officeDocument/2006/relationships/hyperlink" Target="https://doi.org/10.1038/sj.mp.4001921" TargetMode="External"/><Relationship Id="rId1285" Type="http://schemas.openxmlformats.org/officeDocument/2006/relationships/hyperlink" Target="https://doi.org/10.1103/PhysRevA.102.042823" TargetMode="External"/><Relationship Id="rId213" Type="http://schemas.openxmlformats.org/officeDocument/2006/relationships/hyperlink" Target="https://doi.org/10.1145/3449639.3459326" TargetMode="External"/><Relationship Id="rId455" Type="http://schemas.openxmlformats.org/officeDocument/2006/relationships/hyperlink" Target="https://openalex.org/funders/f4320323332" TargetMode="External"/><Relationship Id="rId697" Type="http://schemas.openxmlformats.org/officeDocument/2006/relationships/hyperlink" Target="https://doi.org/10.1021/jacs.7b10639" TargetMode="External"/><Relationship Id="rId1044" Type="http://schemas.openxmlformats.org/officeDocument/2006/relationships/hyperlink" Target="https://openalex.org/funders/f4320337346" TargetMode="External"/><Relationship Id="rId1286" Type="http://schemas.openxmlformats.org/officeDocument/2006/relationships/hyperlink" Target="https://doi.org/10.1016/j.matlet.2017.12.081" TargetMode="External"/><Relationship Id="rId212" Type="http://schemas.openxmlformats.org/officeDocument/2006/relationships/hyperlink" Target="https://doi.org/10.1002/ejoc.202200165" TargetMode="External"/><Relationship Id="rId454" Type="http://schemas.openxmlformats.org/officeDocument/2006/relationships/hyperlink" Target="https://doi.org/10.1177/1550147719888167" TargetMode="External"/><Relationship Id="rId696" Type="http://schemas.openxmlformats.org/officeDocument/2006/relationships/hyperlink" Target="https://openalex.org/funders/f4320320879" TargetMode="External"/><Relationship Id="rId1045" Type="http://schemas.openxmlformats.org/officeDocument/2006/relationships/hyperlink" Target="https://doi.org/10.1155/2019/9864246" TargetMode="External"/><Relationship Id="rId1287" Type="http://schemas.openxmlformats.org/officeDocument/2006/relationships/hyperlink" Target="https://doi.org/10.3389/fimmu.2021.798811" TargetMode="External"/><Relationship Id="rId211" Type="http://schemas.openxmlformats.org/officeDocument/2006/relationships/hyperlink" Target="https://openalex.org/funders/f4320306078" TargetMode="External"/><Relationship Id="rId453" Type="http://schemas.openxmlformats.org/officeDocument/2006/relationships/hyperlink" Target="https://openalex.org/funders/f4320309139" TargetMode="External"/><Relationship Id="rId695" Type="http://schemas.openxmlformats.org/officeDocument/2006/relationships/hyperlink" Target="https://doi.org/10.1002/ejoc.201000858" TargetMode="External"/><Relationship Id="rId1046" Type="http://schemas.openxmlformats.org/officeDocument/2006/relationships/hyperlink" Target="https://openalex.org/institutions/i1320481043" TargetMode="External"/><Relationship Id="rId1288" Type="http://schemas.openxmlformats.org/officeDocument/2006/relationships/hyperlink" Target="https://doi.org/10.1016/j.ece.2018.07.001" TargetMode="External"/><Relationship Id="rId210" Type="http://schemas.openxmlformats.org/officeDocument/2006/relationships/hyperlink" Target="https://doi.org/10.1016/j.laa.2017.06.045" TargetMode="External"/><Relationship Id="rId452" Type="http://schemas.openxmlformats.org/officeDocument/2006/relationships/hyperlink" Target="https://doi.org/10.1161/CIRCINTERVENTIONS.113.000650" TargetMode="External"/><Relationship Id="rId694" Type="http://schemas.openxmlformats.org/officeDocument/2006/relationships/hyperlink" Target="https://doi.org/10.1002/cncr.30642" TargetMode="External"/><Relationship Id="rId1047" Type="http://schemas.openxmlformats.org/officeDocument/2006/relationships/hyperlink" Target="https://doi.org/10.7717/peerj.10340" TargetMode="External"/><Relationship Id="rId1289" Type="http://schemas.openxmlformats.org/officeDocument/2006/relationships/hyperlink" Target="https://openalex.org/funders/f4320321974" TargetMode="External"/><Relationship Id="rId491" Type="http://schemas.openxmlformats.org/officeDocument/2006/relationships/hyperlink" Target="https://openalex.org/funders/f4320337330" TargetMode="External"/><Relationship Id="rId490" Type="http://schemas.openxmlformats.org/officeDocument/2006/relationships/hyperlink" Target="https://doi.org/10.1097/01.ALC.0000036284.74513.A5" TargetMode="External"/><Relationship Id="rId249" Type="http://schemas.openxmlformats.org/officeDocument/2006/relationships/hyperlink" Target="https://doi.org/10.1061/(ASCE)0733-9364(2009)135:8(782)" TargetMode="External"/><Relationship Id="rId248" Type="http://schemas.openxmlformats.org/officeDocument/2006/relationships/hyperlink" Target="https://openalex.org/funders/f4320337345" TargetMode="External"/><Relationship Id="rId247" Type="http://schemas.openxmlformats.org/officeDocument/2006/relationships/hyperlink" Target="https://doi.org/10.1638/2011-0179R1.1" TargetMode="External"/><Relationship Id="rId489" Type="http://schemas.openxmlformats.org/officeDocument/2006/relationships/hyperlink" Target="https://openalex.org/funders/f4320310077" TargetMode="External"/><Relationship Id="rId1070" Type="http://schemas.openxmlformats.org/officeDocument/2006/relationships/hyperlink" Target="https://doi.org/10.1021/acsanm.1c01982" TargetMode="External"/><Relationship Id="rId1071" Type="http://schemas.openxmlformats.org/officeDocument/2006/relationships/hyperlink" Target="https://openalex.org/funders/f4320321091" TargetMode="External"/><Relationship Id="rId1072" Type="http://schemas.openxmlformats.org/officeDocument/2006/relationships/hyperlink" Target="https://doi.org/10.1063/5.0015785" TargetMode="External"/><Relationship Id="rId242" Type="http://schemas.openxmlformats.org/officeDocument/2006/relationships/hyperlink" Target="https://openalex.org/funders/f4320321001" TargetMode="External"/><Relationship Id="rId484" Type="http://schemas.openxmlformats.org/officeDocument/2006/relationships/hyperlink" Target="https://openalex.org/funders/f4320307856" TargetMode="External"/><Relationship Id="rId1073" Type="http://schemas.openxmlformats.org/officeDocument/2006/relationships/hyperlink" Target="https://openalex.org/funders/f4320322757" TargetMode="External"/><Relationship Id="rId241" Type="http://schemas.openxmlformats.org/officeDocument/2006/relationships/hyperlink" Target="https://doi.org/10.1016/j.engfracmech.2021.107768" TargetMode="External"/><Relationship Id="rId483" Type="http://schemas.openxmlformats.org/officeDocument/2006/relationships/hyperlink" Target="https://doi.org/10.26719/emhj.18.070" TargetMode="External"/><Relationship Id="rId1074" Type="http://schemas.openxmlformats.org/officeDocument/2006/relationships/hyperlink" Target="https://doi.org/10.16476/j.pibb.2021.0195" TargetMode="External"/><Relationship Id="rId240" Type="http://schemas.openxmlformats.org/officeDocument/2006/relationships/hyperlink" Target="https://doi.org/10.1021/acsami.7b09981" TargetMode="External"/><Relationship Id="rId482" Type="http://schemas.openxmlformats.org/officeDocument/2006/relationships/hyperlink" Target="https://openalex.org/institutions/i6406202" TargetMode="External"/><Relationship Id="rId1075" Type="http://schemas.openxmlformats.org/officeDocument/2006/relationships/hyperlink" Target="https://openalex.org/funders/f4320321001" TargetMode="External"/><Relationship Id="rId481" Type="http://schemas.openxmlformats.org/officeDocument/2006/relationships/hyperlink" Target="https://doi.org/10.1016/j.electacta.2015.10.005" TargetMode="External"/><Relationship Id="rId1076" Type="http://schemas.openxmlformats.org/officeDocument/2006/relationships/hyperlink" Target="https://doi.org/10.3390/ijerph16071093" TargetMode="External"/><Relationship Id="rId246" Type="http://schemas.openxmlformats.org/officeDocument/2006/relationships/hyperlink" Target="https://openalex.org/funders/f4320337365" TargetMode="External"/><Relationship Id="rId488" Type="http://schemas.openxmlformats.org/officeDocument/2006/relationships/hyperlink" Target="https://doi.org/10.1111/bcpt.13683" TargetMode="External"/><Relationship Id="rId1077" Type="http://schemas.openxmlformats.org/officeDocument/2006/relationships/hyperlink" Target="https://doi.org/10.1016/j.electacta.2017.10.073" TargetMode="External"/><Relationship Id="rId245" Type="http://schemas.openxmlformats.org/officeDocument/2006/relationships/hyperlink" Target="https://doi.org/10.1002/jor.23213" TargetMode="External"/><Relationship Id="rId487" Type="http://schemas.openxmlformats.org/officeDocument/2006/relationships/hyperlink" Target="https://doi.org/10.1136/annrheumdis-2022-eular.409" TargetMode="External"/><Relationship Id="rId1078" Type="http://schemas.openxmlformats.org/officeDocument/2006/relationships/hyperlink" Target="https://doi.org/10.1007/s00454-015-9710-1" TargetMode="External"/><Relationship Id="rId244" Type="http://schemas.openxmlformats.org/officeDocument/2006/relationships/hyperlink" Target="https://openalex.org/funders/f4320320162" TargetMode="External"/><Relationship Id="rId486" Type="http://schemas.openxmlformats.org/officeDocument/2006/relationships/hyperlink" Target="https://doi.org/10.1098/rspa.2018.0898" TargetMode="External"/><Relationship Id="rId1079" Type="http://schemas.openxmlformats.org/officeDocument/2006/relationships/hyperlink" Target="https://openalex.org/funders/f4320311089" TargetMode="External"/><Relationship Id="rId243" Type="http://schemas.openxmlformats.org/officeDocument/2006/relationships/hyperlink" Target="https://doi.org/10.1016/j.jallcom.2014.07.138" TargetMode="External"/><Relationship Id="rId485" Type="http://schemas.openxmlformats.org/officeDocument/2006/relationships/hyperlink" Target="https://doi.org/10.1021/acs.joc.8b02984" TargetMode="External"/><Relationship Id="rId480" Type="http://schemas.openxmlformats.org/officeDocument/2006/relationships/hyperlink" Target="https://openalex.org/funders/f4320322034" TargetMode="External"/><Relationship Id="rId239" Type="http://schemas.openxmlformats.org/officeDocument/2006/relationships/hyperlink" Target="https://openalex.org/funders/f4320335777" TargetMode="External"/><Relationship Id="rId238" Type="http://schemas.openxmlformats.org/officeDocument/2006/relationships/hyperlink" Target="https://doi.org/10.1016/j.foodchem.2021.131412" TargetMode="External"/><Relationship Id="rId237" Type="http://schemas.openxmlformats.org/officeDocument/2006/relationships/hyperlink" Target="https://openalex.org/funders/f4320336567" TargetMode="External"/><Relationship Id="rId479" Type="http://schemas.openxmlformats.org/officeDocument/2006/relationships/hyperlink" Target="https://doi.org/10.4283/JMAG.2013.18.2.183" TargetMode="External"/><Relationship Id="rId236" Type="http://schemas.openxmlformats.org/officeDocument/2006/relationships/hyperlink" Target="https://doi.org/10.3390/s18124299" TargetMode="External"/><Relationship Id="rId478" Type="http://schemas.openxmlformats.org/officeDocument/2006/relationships/hyperlink" Target="https://openalex.org/funders/f4320321001" TargetMode="External"/><Relationship Id="rId1060" Type="http://schemas.openxmlformats.org/officeDocument/2006/relationships/hyperlink" Target="https://doi.org/10.1117/1.JBO.18.2.026022" TargetMode="External"/><Relationship Id="rId1061" Type="http://schemas.openxmlformats.org/officeDocument/2006/relationships/hyperlink" Target="https://doi.org/10.1002/chem.201301518" TargetMode="External"/><Relationship Id="rId231" Type="http://schemas.openxmlformats.org/officeDocument/2006/relationships/hyperlink" Target="https://doi.org/10.1016/j.jadohealth.2020.08.021" TargetMode="External"/><Relationship Id="rId473" Type="http://schemas.openxmlformats.org/officeDocument/2006/relationships/hyperlink" Target="https://openalex.org/funders/f4320337354" TargetMode="External"/><Relationship Id="rId1062" Type="http://schemas.openxmlformats.org/officeDocument/2006/relationships/hyperlink" Target="https://openalex.org/funders/f4320321408" TargetMode="External"/><Relationship Id="rId230" Type="http://schemas.openxmlformats.org/officeDocument/2006/relationships/hyperlink" Target="https://openalex.org/funders/f4320327207" TargetMode="External"/><Relationship Id="rId472" Type="http://schemas.openxmlformats.org/officeDocument/2006/relationships/hyperlink" Target="https://doi.org/10.1016/j.tetlet.2005.04.146" TargetMode="External"/><Relationship Id="rId1063" Type="http://schemas.openxmlformats.org/officeDocument/2006/relationships/hyperlink" Target="https://doi.org/10.1021/acs.estlett.0c00587" TargetMode="External"/><Relationship Id="rId471" Type="http://schemas.openxmlformats.org/officeDocument/2006/relationships/hyperlink" Target="https://doi.org/10.1016/j.geomorph.2018.11.010" TargetMode="External"/><Relationship Id="rId1064" Type="http://schemas.openxmlformats.org/officeDocument/2006/relationships/hyperlink" Target="https://doi.org/10.1063/1.3478571" TargetMode="External"/><Relationship Id="rId470" Type="http://schemas.openxmlformats.org/officeDocument/2006/relationships/hyperlink" Target="https://openalex.org/funders/f4320337355" TargetMode="External"/><Relationship Id="rId1065" Type="http://schemas.openxmlformats.org/officeDocument/2006/relationships/hyperlink" Target="https://openalex.org/funders/f4320306084" TargetMode="External"/><Relationship Id="rId235" Type="http://schemas.openxmlformats.org/officeDocument/2006/relationships/hyperlink" Target="https://doi.org/10.15252/embj.201796977" TargetMode="External"/><Relationship Id="rId477" Type="http://schemas.openxmlformats.org/officeDocument/2006/relationships/hyperlink" Target="https://doi.org/10.32604/cmes.2019.06158" TargetMode="External"/><Relationship Id="rId1066" Type="http://schemas.openxmlformats.org/officeDocument/2006/relationships/hyperlink" Target="https://doi.org/10.1007/s00213-018-4860-5" TargetMode="External"/><Relationship Id="rId234" Type="http://schemas.openxmlformats.org/officeDocument/2006/relationships/hyperlink" Target="https://openalex.org/funders/f4320321001" TargetMode="External"/><Relationship Id="rId476" Type="http://schemas.openxmlformats.org/officeDocument/2006/relationships/hyperlink" Target="https://doi.org/10.1371/journal.pone.0128245" TargetMode="External"/><Relationship Id="rId1067" Type="http://schemas.openxmlformats.org/officeDocument/2006/relationships/hyperlink" Target="https://openalex.org/funders/f4320334626" TargetMode="External"/><Relationship Id="rId233" Type="http://schemas.openxmlformats.org/officeDocument/2006/relationships/hyperlink" Target="https://doi.org/10.1149/2.1281712jes" TargetMode="External"/><Relationship Id="rId475" Type="http://schemas.openxmlformats.org/officeDocument/2006/relationships/hyperlink" Target="https://openalex.org/funders/f4320332161" TargetMode="External"/><Relationship Id="rId1068" Type="http://schemas.openxmlformats.org/officeDocument/2006/relationships/hyperlink" Target="https://doi.org/10.1111/1467-8489.12445" TargetMode="External"/><Relationship Id="rId232" Type="http://schemas.openxmlformats.org/officeDocument/2006/relationships/hyperlink" Target="https://openalex.org/funders/f4320306862" TargetMode="External"/><Relationship Id="rId474" Type="http://schemas.openxmlformats.org/officeDocument/2006/relationships/hyperlink" Target="https://doi.org/10.1093/biostatistics/kxac032" TargetMode="External"/><Relationship Id="rId1069" Type="http://schemas.openxmlformats.org/officeDocument/2006/relationships/hyperlink" Target="https://openalex.org/funders/f4320334764" TargetMode="External"/><Relationship Id="rId1015" Type="http://schemas.openxmlformats.org/officeDocument/2006/relationships/hyperlink" Target="https://doi.org/10.1136/bmjopen-2018-022509" TargetMode="External"/><Relationship Id="rId1257" Type="http://schemas.openxmlformats.org/officeDocument/2006/relationships/hyperlink" Target="https://doi.org/10.1016/j.compind.2009.10.006" TargetMode="External"/><Relationship Id="rId1499" Type="http://schemas.openxmlformats.org/officeDocument/2006/relationships/hyperlink" Target="https://doi.org/10.4271/03-15-05-0036" TargetMode="External"/><Relationship Id="rId1016" Type="http://schemas.openxmlformats.org/officeDocument/2006/relationships/hyperlink" Target="https://openalex.org/funders/f4320321514" TargetMode="External"/><Relationship Id="rId1258" Type="http://schemas.openxmlformats.org/officeDocument/2006/relationships/hyperlink" Target="https://doi.org/10.1038/hdy.2013.60" TargetMode="External"/><Relationship Id="rId1017" Type="http://schemas.openxmlformats.org/officeDocument/2006/relationships/hyperlink" Target="https://doi.org/10.1371/journal.pone.0074232" TargetMode="External"/><Relationship Id="rId1259" Type="http://schemas.openxmlformats.org/officeDocument/2006/relationships/hyperlink" Target="https://doi.org/10.1111/iju.12788" TargetMode="External"/><Relationship Id="rId1018" Type="http://schemas.openxmlformats.org/officeDocument/2006/relationships/hyperlink" Target="https://doi.org/10.1111/ijpo.12852" TargetMode="External"/><Relationship Id="rId1019" Type="http://schemas.openxmlformats.org/officeDocument/2006/relationships/hyperlink" Target="https://openalex.org/funders/f4320322120" TargetMode="External"/><Relationship Id="rId426" Type="http://schemas.openxmlformats.org/officeDocument/2006/relationships/hyperlink" Target="https://doi.org/10.18520/cs/v112/i01/40-45" TargetMode="External"/><Relationship Id="rId668" Type="http://schemas.openxmlformats.org/officeDocument/2006/relationships/hyperlink" Target="https://openalex.org/funders/f4320334629" TargetMode="External"/><Relationship Id="rId425" Type="http://schemas.openxmlformats.org/officeDocument/2006/relationships/hyperlink" Target="https://openalex.org/funders/f4320322485" TargetMode="External"/><Relationship Id="rId667" Type="http://schemas.openxmlformats.org/officeDocument/2006/relationships/hyperlink" Target="https://doi.org/10.1016/j.tim.2006.03.002" TargetMode="External"/><Relationship Id="rId424" Type="http://schemas.openxmlformats.org/officeDocument/2006/relationships/hyperlink" Target="https://doi.org/10.1136/bmjopen-2016-013342" TargetMode="External"/><Relationship Id="rId666" Type="http://schemas.openxmlformats.org/officeDocument/2006/relationships/hyperlink" Target="https://doi.org/10.1016/j.jallcom.2015.10.259" TargetMode="External"/><Relationship Id="rId423" Type="http://schemas.openxmlformats.org/officeDocument/2006/relationships/hyperlink" Target="https://openalex.org/funders/f4320321091" TargetMode="External"/><Relationship Id="rId665" Type="http://schemas.openxmlformats.org/officeDocument/2006/relationships/hyperlink" Target="https://doi.org/10.1186/1471-2156-8-34" TargetMode="External"/><Relationship Id="rId429" Type="http://schemas.openxmlformats.org/officeDocument/2006/relationships/hyperlink" Target="https://openalex.org/funders/f4320324099" TargetMode="External"/><Relationship Id="rId428" Type="http://schemas.openxmlformats.org/officeDocument/2006/relationships/hyperlink" Target="https://doi.org/10.1007/978-3-030-34983-7_31" TargetMode="External"/><Relationship Id="rId427" Type="http://schemas.openxmlformats.org/officeDocument/2006/relationships/hyperlink" Target="https://openalex.org/funders/f4320320717" TargetMode="External"/><Relationship Id="rId669" Type="http://schemas.openxmlformats.org/officeDocument/2006/relationships/hyperlink" Target="https://doi.org/10.1016/j.ophtha.2009.12.012" TargetMode="External"/><Relationship Id="rId1490" Type="http://schemas.openxmlformats.org/officeDocument/2006/relationships/hyperlink" Target="https://doi.org/10.5012/bkcs.2013.34.11.3179" TargetMode="External"/><Relationship Id="rId660" Type="http://schemas.openxmlformats.org/officeDocument/2006/relationships/hyperlink" Target="https://openalex.org/funders/f4320320419" TargetMode="External"/><Relationship Id="rId1491" Type="http://schemas.openxmlformats.org/officeDocument/2006/relationships/hyperlink" Target="https://openalex.org/institutions/i4210105001" TargetMode="External"/><Relationship Id="rId1250" Type="http://schemas.openxmlformats.org/officeDocument/2006/relationships/hyperlink" Target="https://doi.org/10.1371/journal.pone.0218204" TargetMode="External"/><Relationship Id="rId1492" Type="http://schemas.openxmlformats.org/officeDocument/2006/relationships/hyperlink" Target="https://doi.org/10.1111/ijcp.14989" TargetMode="External"/><Relationship Id="rId1251" Type="http://schemas.openxmlformats.org/officeDocument/2006/relationships/hyperlink" Target="https://doi.org/10.1016/j.tics.2016.12.001" TargetMode="External"/><Relationship Id="rId1493" Type="http://schemas.openxmlformats.org/officeDocument/2006/relationships/hyperlink" Target="https://openalex.org/funders/f4320323830" TargetMode="External"/><Relationship Id="rId1010" Type="http://schemas.openxmlformats.org/officeDocument/2006/relationships/hyperlink" Target="https://doi.org/10.1089/chi.2014.0004" TargetMode="External"/><Relationship Id="rId1252" Type="http://schemas.openxmlformats.org/officeDocument/2006/relationships/hyperlink" Target="https://doi.org/10.1007/s10707-020-00411-0" TargetMode="External"/><Relationship Id="rId1494" Type="http://schemas.openxmlformats.org/officeDocument/2006/relationships/hyperlink" Target="https://doi.org/10.1088/0022-3727/40/10/024" TargetMode="External"/><Relationship Id="rId422" Type="http://schemas.openxmlformats.org/officeDocument/2006/relationships/hyperlink" Target="https://doi.org/10.1590/1806-9282.66.7.931" TargetMode="External"/><Relationship Id="rId664" Type="http://schemas.openxmlformats.org/officeDocument/2006/relationships/hyperlink" Target="https://doi.org/10.1515/pjfns-2015-0007" TargetMode="External"/><Relationship Id="rId1011" Type="http://schemas.openxmlformats.org/officeDocument/2006/relationships/hyperlink" Target="https://doi.org/10.1061/(ASCE)NH.1527-6996.0000351" TargetMode="External"/><Relationship Id="rId1253" Type="http://schemas.openxmlformats.org/officeDocument/2006/relationships/hyperlink" Target="https://openalex.org/funders/f4320338464" TargetMode="External"/><Relationship Id="rId1495" Type="http://schemas.openxmlformats.org/officeDocument/2006/relationships/hyperlink" Target="https://openalex.org/funders/f4320334627" TargetMode="External"/><Relationship Id="rId421" Type="http://schemas.openxmlformats.org/officeDocument/2006/relationships/hyperlink" Target="https://openalex.org/funders/f4320337472" TargetMode="External"/><Relationship Id="rId663" Type="http://schemas.openxmlformats.org/officeDocument/2006/relationships/hyperlink" Target="https://openalex.org/funders/f4320321371" TargetMode="External"/><Relationship Id="rId1012" Type="http://schemas.openxmlformats.org/officeDocument/2006/relationships/hyperlink" Target="https://doi.org/10.1016/j.partic.2016.01.010" TargetMode="External"/><Relationship Id="rId1254" Type="http://schemas.openxmlformats.org/officeDocument/2006/relationships/hyperlink" Target="https://doi.org/10.24099/vet.arhiv.0025" TargetMode="External"/><Relationship Id="rId1496" Type="http://schemas.openxmlformats.org/officeDocument/2006/relationships/hyperlink" Target="https://doi.org/10.1007/978-3-030-20912-4_48" TargetMode="External"/><Relationship Id="rId420" Type="http://schemas.openxmlformats.org/officeDocument/2006/relationships/hyperlink" Target="https://doi.org/10.5811/westjem.2020.12.49171" TargetMode="External"/><Relationship Id="rId662" Type="http://schemas.openxmlformats.org/officeDocument/2006/relationships/hyperlink" Target="https://doi.org/10.4021/cr221w" TargetMode="External"/><Relationship Id="rId1013" Type="http://schemas.openxmlformats.org/officeDocument/2006/relationships/hyperlink" Target="https://doi.org/10.1088/0953-8984/25/19/195301" TargetMode="External"/><Relationship Id="rId1255" Type="http://schemas.openxmlformats.org/officeDocument/2006/relationships/hyperlink" Target="https://openalex.org/institutions/i4210144085" TargetMode="External"/><Relationship Id="rId1497" Type="http://schemas.openxmlformats.org/officeDocument/2006/relationships/hyperlink" Target="https://doi.org/10.1002/jmri.22839" TargetMode="External"/><Relationship Id="rId661" Type="http://schemas.openxmlformats.org/officeDocument/2006/relationships/hyperlink" Target="https://doi.org/10.1007/s11426-010-4010-3" TargetMode="External"/><Relationship Id="rId1014" Type="http://schemas.openxmlformats.org/officeDocument/2006/relationships/hyperlink" Target="https://doi.org/10.1016/j.jcrysgro.2018.03.020" TargetMode="External"/><Relationship Id="rId1256" Type="http://schemas.openxmlformats.org/officeDocument/2006/relationships/hyperlink" Target="https://doi.org/10.1016/j.meegid.2021.105007" TargetMode="External"/><Relationship Id="rId1498" Type="http://schemas.openxmlformats.org/officeDocument/2006/relationships/hyperlink" Target="https://openalex.org/funders/f4320337338" TargetMode="External"/><Relationship Id="rId1004" Type="http://schemas.openxmlformats.org/officeDocument/2006/relationships/hyperlink" Target="https://doi.org/10.1016/j.expneurol.2016.07.021" TargetMode="External"/><Relationship Id="rId1246" Type="http://schemas.openxmlformats.org/officeDocument/2006/relationships/hyperlink" Target="https://openalex.org/funders/f4320321292" TargetMode="External"/><Relationship Id="rId1488" Type="http://schemas.openxmlformats.org/officeDocument/2006/relationships/hyperlink" Target="https://doi.org/10.1038/s43017-021-00223-2" TargetMode="External"/><Relationship Id="rId1005" Type="http://schemas.openxmlformats.org/officeDocument/2006/relationships/hyperlink" Target="https://doi.org/10.1039/c5sc02435h" TargetMode="External"/><Relationship Id="rId1247" Type="http://schemas.openxmlformats.org/officeDocument/2006/relationships/hyperlink" Target="https://doi.org/10.1109/ACCESS.2019.2906261" TargetMode="External"/><Relationship Id="rId1489" Type="http://schemas.openxmlformats.org/officeDocument/2006/relationships/hyperlink" Target="https://openalex.org/funders/f4320322120" TargetMode="External"/><Relationship Id="rId1006" Type="http://schemas.openxmlformats.org/officeDocument/2006/relationships/hyperlink" Target="https://openalex.org/funders/f4320306076" TargetMode="External"/><Relationship Id="rId1248" Type="http://schemas.openxmlformats.org/officeDocument/2006/relationships/hyperlink" Target="https://doi.org/10.1523/JNEUROSCI.2176-13.2013" TargetMode="External"/><Relationship Id="rId1007" Type="http://schemas.openxmlformats.org/officeDocument/2006/relationships/hyperlink" Target="https://doi.org/10.1177/1687814020924893" TargetMode="External"/><Relationship Id="rId1249" Type="http://schemas.openxmlformats.org/officeDocument/2006/relationships/hyperlink" Target="https://doi.org/10.1016/j.apsusc.2020.148272" TargetMode="External"/><Relationship Id="rId1008" Type="http://schemas.openxmlformats.org/officeDocument/2006/relationships/hyperlink" Target="https://doi.org/10.1111/psyp.12350" TargetMode="External"/><Relationship Id="rId1009" Type="http://schemas.openxmlformats.org/officeDocument/2006/relationships/hyperlink" Target="https://doi.org/10.1021/acs.langmuir.6b01536" TargetMode="External"/><Relationship Id="rId415" Type="http://schemas.openxmlformats.org/officeDocument/2006/relationships/hyperlink" Target="https://doi.org/10.1016/j.jphotochem.2008.11.009" TargetMode="External"/><Relationship Id="rId657" Type="http://schemas.openxmlformats.org/officeDocument/2006/relationships/hyperlink" Target="https://doi.org/10.1080/14783363.2017.1309128" TargetMode="External"/><Relationship Id="rId899" Type="http://schemas.openxmlformats.org/officeDocument/2006/relationships/hyperlink" Target="https://doi.org/10.1016/j.quaint.2016.02.050" TargetMode="External"/><Relationship Id="rId414" Type="http://schemas.openxmlformats.org/officeDocument/2006/relationships/hyperlink" Target="https://openalex.org/funders/f4320329905" TargetMode="External"/><Relationship Id="rId656" Type="http://schemas.openxmlformats.org/officeDocument/2006/relationships/hyperlink" Target="https://openalex.org/institutions/i4210095069" TargetMode="External"/><Relationship Id="rId898" Type="http://schemas.openxmlformats.org/officeDocument/2006/relationships/hyperlink" Target="https://doi.org/10.1021/ph4000357" TargetMode="External"/><Relationship Id="rId413" Type="http://schemas.openxmlformats.org/officeDocument/2006/relationships/hyperlink" Target="https://doi.org/10.1016/j.vaccine.2022.03.069" TargetMode="External"/><Relationship Id="rId655" Type="http://schemas.openxmlformats.org/officeDocument/2006/relationships/hyperlink" Target="https://doi.org/10.1007/s10764-021-00200-y" TargetMode="External"/><Relationship Id="rId897" Type="http://schemas.openxmlformats.org/officeDocument/2006/relationships/hyperlink" Target="https://doi.org/10.1016/j.nanoen.2020.105309" TargetMode="External"/><Relationship Id="rId412" Type="http://schemas.openxmlformats.org/officeDocument/2006/relationships/hyperlink" Target="https://doi.org/10.1371/journal.pone.0210817" TargetMode="External"/><Relationship Id="rId654" Type="http://schemas.openxmlformats.org/officeDocument/2006/relationships/hyperlink" Target="https://doi.org/10.1016/j.snb.2017.09.082" TargetMode="External"/><Relationship Id="rId896" Type="http://schemas.openxmlformats.org/officeDocument/2006/relationships/hyperlink" Target="https://openalex.org/funders/f4320338080" TargetMode="External"/><Relationship Id="rId419" Type="http://schemas.openxmlformats.org/officeDocument/2006/relationships/hyperlink" Target="https://doi.org/10.1080/07350015.2016.1191500" TargetMode="External"/><Relationship Id="rId418" Type="http://schemas.openxmlformats.org/officeDocument/2006/relationships/hyperlink" Target="https://openalex.org/funders/f4320334704" TargetMode="External"/><Relationship Id="rId417" Type="http://schemas.openxmlformats.org/officeDocument/2006/relationships/hyperlink" Target="https://doi.org/10.1007/s00221-011-2944-0" TargetMode="External"/><Relationship Id="rId659" Type="http://schemas.openxmlformats.org/officeDocument/2006/relationships/hyperlink" Target="https://doi.org/10.1016/j.fishres.2016.01.007" TargetMode="External"/><Relationship Id="rId416" Type="http://schemas.openxmlformats.org/officeDocument/2006/relationships/hyperlink" Target="https://doi.org/10.3390/s21196444" TargetMode="External"/><Relationship Id="rId658" Type="http://schemas.openxmlformats.org/officeDocument/2006/relationships/hyperlink" Target="https://openalex.org/funders/f4320320879" TargetMode="External"/><Relationship Id="rId891" Type="http://schemas.openxmlformats.org/officeDocument/2006/relationships/hyperlink" Target="https://openalex.org/funders/f4320309618" TargetMode="External"/><Relationship Id="rId1480" Type="http://schemas.openxmlformats.org/officeDocument/2006/relationships/hyperlink" Target="https://doi.org/10.1002/mop.29109" TargetMode="External"/><Relationship Id="rId890" Type="http://schemas.openxmlformats.org/officeDocument/2006/relationships/hyperlink" Target="https://doi.org/10.1166/jnn.2020.17454" TargetMode="External"/><Relationship Id="rId1481" Type="http://schemas.openxmlformats.org/officeDocument/2006/relationships/hyperlink" Target="https://openalex.org/funders/f4320322120" TargetMode="External"/><Relationship Id="rId1240" Type="http://schemas.openxmlformats.org/officeDocument/2006/relationships/hyperlink" Target="https://doi.org/10.3791/61285" TargetMode="External"/><Relationship Id="rId1482" Type="http://schemas.openxmlformats.org/officeDocument/2006/relationships/hyperlink" Target="https://doi.org/10.1111/j.1365-3164.2010.00935.x" TargetMode="External"/><Relationship Id="rId1241" Type="http://schemas.openxmlformats.org/officeDocument/2006/relationships/hyperlink" Target="https://doi.org/10.1080/19475705.2018.1536080" TargetMode="External"/><Relationship Id="rId1483" Type="http://schemas.openxmlformats.org/officeDocument/2006/relationships/hyperlink" Target="https://openalex.org/funders/f4320311268" TargetMode="External"/><Relationship Id="rId411" Type="http://schemas.openxmlformats.org/officeDocument/2006/relationships/hyperlink" Target="https://openalex.org/funders/f4320323641" TargetMode="External"/><Relationship Id="rId653" Type="http://schemas.openxmlformats.org/officeDocument/2006/relationships/hyperlink" Target="https://doi.org/10.1016/j.jinorgbio.2012.09.019" TargetMode="External"/><Relationship Id="rId895" Type="http://schemas.openxmlformats.org/officeDocument/2006/relationships/hyperlink" Target="https://doi.org/10.1016/j.ica.2022.120850" TargetMode="External"/><Relationship Id="rId1000" Type="http://schemas.openxmlformats.org/officeDocument/2006/relationships/hyperlink" Target="https://openalex.org/institutions/i4210137149" TargetMode="External"/><Relationship Id="rId1242" Type="http://schemas.openxmlformats.org/officeDocument/2006/relationships/hyperlink" Target="https://openalex.org/funders/f4320321001" TargetMode="External"/><Relationship Id="rId1484" Type="http://schemas.openxmlformats.org/officeDocument/2006/relationships/hyperlink" Target="https://doi.org/10.3892/ol.2018.8861" TargetMode="External"/><Relationship Id="rId410" Type="http://schemas.openxmlformats.org/officeDocument/2006/relationships/hyperlink" Target="https://doi.org/10.1016/j.clay.2016.10.024" TargetMode="External"/><Relationship Id="rId652" Type="http://schemas.openxmlformats.org/officeDocument/2006/relationships/hyperlink" Target="https://doi.org/10.1039/d0nr09068a" TargetMode="External"/><Relationship Id="rId894" Type="http://schemas.openxmlformats.org/officeDocument/2006/relationships/hyperlink" Target="https://doi.org/10.1021/acs.jpcc.7b01019" TargetMode="External"/><Relationship Id="rId1001" Type="http://schemas.openxmlformats.org/officeDocument/2006/relationships/hyperlink" Target="https://doi.org/10.1080/13658816.2021.1942476" TargetMode="External"/><Relationship Id="rId1243" Type="http://schemas.openxmlformats.org/officeDocument/2006/relationships/hyperlink" Target="https://doi.org/10.7508/jns.2013.03.001" TargetMode="External"/><Relationship Id="rId1485" Type="http://schemas.openxmlformats.org/officeDocument/2006/relationships/hyperlink" Target="https://openalex.org/funders/f4320321739" TargetMode="External"/><Relationship Id="rId651" Type="http://schemas.openxmlformats.org/officeDocument/2006/relationships/hyperlink" Target="https://doi.org/10.1371/journal.pone.0135063" TargetMode="External"/><Relationship Id="rId893" Type="http://schemas.openxmlformats.org/officeDocument/2006/relationships/hyperlink" Target="https://openalex.org/funders/f4320317508" TargetMode="External"/><Relationship Id="rId1002" Type="http://schemas.openxmlformats.org/officeDocument/2006/relationships/hyperlink" Target="https://doi.org/10.1007/s11760-022-02256-6" TargetMode="External"/><Relationship Id="rId1244" Type="http://schemas.openxmlformats.org/officeDocument/2006/relationships/hyperlink" Target="https://openalex.org/funders/f4320322887" TargetMode="External"/><Relationship Id="rId1486" Type="http://schemas.openxmlformats.org/officeDocument/2006/relationships/hyperlink" Target="https://doi.org/10.1016/j.aquabot.2012.08.006" TargetMode="External"/><Relationship Id="rId650" Type="http://schemas.openxmlformats.org/officeDocument/2006/relationships/hyperlink" Target="https://openalex.org/funders/f4320320879" TargetMode="External"/><Relationship Id="rId892" Type="http://schemas.openxmlformats.org/officeDocument/2006/relationships/hyperlink" Target="https://doi.org/10.14411/eje.2020.046" TargetMode="External"/><Relationship Id="rId1003" Type="http://schemas.openxmlformats.org/officeDocument/2006/relationships/hyperlink" Target="https://doi.org/10.1002/mas.21484" TargetMode="External"/><Relationship Id="rId1245" Type="http://schemas.openxmlformats.org/officeDocument/2006/relationships/hyperlink" Target="https://doi.org/10.1007/s12257-020-0181-8" TargetMode="External"/><Relationship Id="rId1487" Type="http://schemas.openxmlformats.org/officeDocument/2006/relationships/hyperlink" Target="https://openalex.org/institutions/i122879082" TargetMode="External"/><Relationship Id="rId1037" Type="http://schemas.openxmlformats.org/officeDocument/2006/relationships/hyperlink" Target="https://doi.org/10.3390/met7080289" TargetMode="External"/><Relationship Id="rId1279" Type="http://schemas.openxmlformats.org/officeDocument/2006/relationships/hyperlink" Target="https://doi.org/10.1093/jac/dkt003" TargetMode="External"/><Relationship Id="rId1038" Type="http://schemas.openxmlformats.org/officeDocument/2006/relationships/hyperlink" Target="https://openalex.org/funders/f4320326262" TargetMode="External"/><Relationship Id="rId1039" Type="http://schemas.openxmlformats.org/officeDocument/2006/relationships/hyperlink" Target="https://doi.org/10.1016/j.tsf.2010.12.022" TargetMode="External"/><Relationship Id="rId206" Type="http://schemas.openxmlformats.org/officeDocument/2006/relationships/hyperlink" Target="https://doi.org/10.1016/j.cognition.2009.08.008" TargetMode="External"/><Relationship Id="rId448" Type="http://schemas.openxmlformats.org/officeDocument/2006/relationships/hyperlink" Target="https://doi.org/10.1134/S0015462821030101" TargetMode="External"/><Relationship Id="rId205" Type="http://schemas.openxmlformats.org/officeDocument/2006/relationships/hyperlink" Target="https://doi.org/10.1039/c3ay41251b" TargetMode="External"/><Relationship Id="rId447" Type="http://schemas.openxmlformats.org/officeDocument/2006/relationships/hyperlink" Target="https://openalex.org/funders/f4320322025" TargetMode="External"/><Relationship Id="rId689" Type="http://schemas.openxmlformats.org/officeDocument/2006/relationships/hyperlink" Target="https://doi.org/10.1021/acscatal.5b02586" TargetMode="External"/><Relationship Id="rId204" Type="http://schemas.openxmlformats.org/officeDocument/2006/relationships/hyperlink" Target="https://openalex.org/funders/f4320321181" TargetMode="External"/><Relationship Id="rId446" Type="http://schemas.openxmlformats.org/officeDocument/2006/relationships/hyperlink" Target="https://doi.org/10.1016/j.rsma.2020.101281" TargetMode="External"/><Relationship Id="rId688" Type="http://schemas.openxmlformats.org/officeDocument/2006/relationships/hyperlink" Target="https://openalex.org/funders/f4320321001" TargetMode="External"/><Relationship Id="rId203" Type="http://schemas.openxmlformats.org/officeDocument/2006/relationships/hyperlink" Target="https://doi.org/10.1016/j.femsyr.2005.06.001" TargetMode="External"/><Relationship Id="rId445" Type="http://schemas.openxmlformats.org/officeDocument/2006/relationships/hyperlink" Target="https://openalex.org/funders/f4320309618" TargetMode="External"/><Relationship Id="rId687" Type="http://schemas.openxmlformats.org/officeDocument/2006/relationships/hyperlink" Target="https://doi.org/10.1016/j.foodchem.2015.02.049" TargetMode="External"/><Relationship Id="rId209" Type="http://schemas.openxmlformats.org/officeDocument/2006/relationships/hyperlink" Target="https://openalex.org/funders/f4320334704" TargetMode="External"/><Relationship Id="rId208" Type="http://schemas.openxmlformats.org/officeDocument/2006/relationships/hyperlink" Target="https://doi.org/10.1117/12.922140" TargetMode="External"/><Relationship Id="rId207" Type="http://schemas.openxmlformats.org/officeDocument/2006/relationships/hyperlink" Target="https://openalex.org/funders/f4320337346" TargetMode="External"/><Relationship Id="rId449" Type="http://schemas.openxmlformats.org/officeDocument/2006/relationships/hyperlink" Target="https://openalex.org/funders/f4320321001" TargetMode="External"/><Relationship Id="rId1270" Type="http://schemas.openxmlformats.org/officeDocument/2006/relationships/hyperlink" Target="https://doi.org/10.1021/acs.jpca.0c06494" TargetMode="External"/><Relationship Id="rId440" Type="http://schemas.openxmlformats.org/officeDocument/2006/relationships/hyperlink" Target="https://openalex.org/funders/f4320321001" TargetMode="External"/><Relationship Id="rId682" Type="http://schemas.openxmlformats.org/officeDocument/2006/relationships/hyperlink" Target="https://doi.org/10.1103/PhysRevB.96.075118" TargetMode="External"/><Relationship Id="rId1271" Type="http://schemas.openxmlformats.org/officeDocument/2006/relationships/hyperlink" Target="https://openalex.org/funders/f4320320879" TargetMode="External"/><Relationship Id="rId681" Type="http://schemas.openxmlformats.org/officeDocument/2006/relationships/hyperlink" Target="https://openalex.org/funders/f4320322120" TargetMode="External"/><Relationship Id="rId1030" Type="http://schemas.openxmlformats.org/officeDocument/2006/relationships/hyperlink" Target="https://doi.org/10.3390/ijms20133250" TargetMode="External"/><Relationship Id="rId1272" Type="http://schemas.openxmlformats.org/officeDocument/2006/relationships/hyperlink" Target="https://doi.org/10.1039/c1an15856b" TargetMode="External"/><Relationship Id="rId680" Type="http://schemas.openxmlformats.org/officeDocument/2006/relationships/hyperlink" Target="https://doi.org/10.1007/s11102-019-00959-7" TargetMode="External"/><Relationship Id="rId1031" Type="http://schemas.openxmlformats.org/officeDocument/2006/relationships/hyperlink" Target="https://doi.org/10.1016/j.ces.2013.05.067" TargetMode="External"/><Relationship Id="rId1273" Type="http://schemas.openxmlformats.org/officeDocument/2006/relationships/hyperlink" Target="https://doi.org/10.3389/fnana.2015.00147" TargetMode="External"/><Relationship Id="rId1032" Type="http://schemas.openxmlformats.org/officeDocument/2006/relationships/hyperlink" Target="https://openalex.org/funders/f4320321594" TargetMode="External"/><Relationship Id="rId1274" Type="http://schemas.openxmlformats.org/officeDocument/2006/relationships/hyperlink" Target="https://openalex.org/funders/f4320332161" TargetMode="External"/><Relationship Id="rId202" Type="http://schemas.openxmlformats.org/officeDocument/2006/relationships/hyperlink" Target="https://doi.org/10.1016/j.jhazmat.2008.07.003" TargetMode="External"/><Relationship Id="rId444" Type="http://schemas.openxmlformats.org/officeDocument/2006/relationships/hyperlink" Target="https://doi.org/10.1016/j.jes.2022.02.0201001-0742" TargetMode="External"/><Relationship Id="rId686" Type="http://schemas.openxmlformats.org/officeDocument/2006/relationships/hyperlink" Target="https://openalex.org/institutions/i87101506" TargetMode="External"/><Relationship Id="rId1033" Type="http://schemas.openxmlformats.org/officeDocument/2006/relationships/hyperlink" Target="https://doi.org/10.1038/s41592-019-0613-6" TargetMode="External"/><Relationship Id="rId1275" Type="http://schemas.openxmlformats.org/officeDocument/2006/relationships/hyperlink" Target="https://doi.org/10.1016/j.bbamem.2020.183466" TargetMode="External"/><Relationship Id="rId201" Type="http://schemas.openxmlformats.org/officeDocument/2006/relationships/hyperlink" Target="https://openalex.org/institutions/i881427289" TargetMode="External"/><Relationship Id="rId443" Type="http://schemas.openxmlformats.org/officeDocument/2006/relationships/hyperlink" Target="https://doi.org/10.1039/c6nr07868k" TargetMode="External"/><Relationship Id="rId685" Type="http://schemas.openxmlformats.org/officeDocument/2006/relationships/hyperlink" Target="https://doi.org/10.1108/JHOM-06-2016-0111" TargetMode="External"/><Relationship Id="rId1034" Type="http://schemas.openxmlformats.org/officeDocument/2006/relationships/hyperlink" Target="https://doi.org/10.1093/gerona/glab196" TargetMode="External"/><Relationship Id="rId1276" Type="http://schemas.openxmlformats.org/officeDocument/2006/relationships/hyperlink" Target="https://doi.org/10.1002/ijc.31059" TargetMode="External"/><Relationship Id="rId200" Type="http://schemas.openxmlformats.org/officeDocument/2006/relationships/hyperlink" Target="https://doi.org/10.1068/b39039" TargetMode="External"/><Relationship Id="rId442" Type="http://schemas.openxmlformats.org/officeDocument/2006/relationships/hyperlink" Target="https://openalex.org/funders/f4320321001" TargetMode="External"/><Relationship Id="rId684" Type="http://schemas.openxmlformats.org/officeDocument/2006/relationships/hyperlink" Target="https://openalex.org/institutions/i134635517" TargetMode="External"/><Relationship Id="rId1035" Type="http://schemas.openxmlformats.org/officeDocument/2006/relationships/hyperlink" Target="https://openalex.org/funders/f4320337337" TargetMode="External"/><Relationship Id="rId1277" Type="http://schemas.openxmlformats.org/officeDocument/2006/relationships/hyperlink" Target="https://doi.org/10.1016/j.jmgm.2015.02.002" TargetMode="External"/><Relationship Id="rId441" Type="http://schemas.openxmlformats.org/officeDocument/2006/relationships/hyperlink" Target="https://doi.org/10.1007/s12274-017-1583-6" TargetMode="External"/><Relationship Id="rId683" Type="http://schemas.openxmlformats.org/officeDocument/2006/relationships/hyperlink" Target="https://doi.org/10.1016/j.bbrc.2019.05.107" TargetMode="External"/><Relationship Id="rId1036" Type="http://schemas.openxmlformats.org/officeDocument/2006/relationships/hyperlink" Target="https://doi.org/10.1049/iet-opt.2014.0137" TargetMode="External"/><Relationship Id="rId1278" Type="http://schemas.openxmlformats.org/officeDocument/2006/relationships/hyperlink" Target="https://openalex.org/funders/f4320310753" TargetMode="External"/><Relationship Id="rId1026" Type="http://schemas.openxmlformats.org/officeDocument/2006/relationships/hyperlink" Target="https://doi.org/10.1007/s00410-016-1286-0" TargetMode="External"/><Relationship Id="rId1268" Type="http://schemas.openxmlformats.org/officeDocument/2006/relationships/hyperlink" Target="https://doi.org/10.1061/(ASCE)CF.1943-5509.0001322" TargetMode="External"/><Relationship Id="rId1027" Type="http://schemas.openxmlformats.org/officeDocument/2006/relationships/hyperlink" Target="https://doi.org/10.3109/19401736.2013.800497" TargetMode="External"/><Relationship Id="rId1269" Type="http://schemas.openxmlformats.org/officeDocument/2006/relationships/hyperlink" Target="https://doi.org/10.1111/j.1365-2109.2012.03163.x" TargetMode="External"/><Relationship Id="rId1028" Type="http://schemas.openxmlformats.org/officeDocument/2006/relationships/hyperlink" Target="https://doi.org/10.14232/ejqtde.2015.1.62" TargetMode="External"/><Relationship Id="rId1029" Type="http://schemas.openxmlformats.org/officeDocument/2006/relationships/hyperlink" Target="https://openalex.org/funders/f4320322626" TargetMode="External"/><Relationship Id="rId437" Type="http://schemas.openxmlformats.org/officeDocument/2006/relationships/hyperlink" Target="https://doi.org/10.1177/0883073818824000" TargetMode="External"/><Relationship Id="rId679" Type="http://schemas.openxmlformats.org/officeDocument/2006/relationships/hyperlink" Target="https://openalex.org/funders/f4320308288" TargetMode="External"/><Relationship Id="rId436" Type="http://schemas.openxmlformats.org/officeDocument/2006/relationships/hyperlink" Target="https://doi.org/10.1016/j.fsi.2019.09.022" TargetMode="External"/><Relationship Id="rId678" Type="http://schemas.openxmlformats.org/officeDocument/2006/relationships/hyperlink" Target="https://doi.org/10.1016/j.jaci.2016.06.041" TargetMode="External"/><Relationship Id="rId435" Type="http://schemas.openxmlformats.org/officeDocument/2006/relationships/hyperlink" Target="https://openalex.org/funders/f4320324099" TargetMode="External"/><Relationship Id="rId677" Type="http://schemas.openxmlformats.org/officeDocument/2006/relationships/hyperlink" Target="https://openalex.org/funders/f4320309526" TargetMode="External"/><Relationship Id="rId434" Type="http://schemas.openxmlformats.org/officeDocument/2006/relationships/hyperlink" Target="https://doi.org/10.5852/ejt.2022.809.1719" TargetMode="External"/><Relationship Id="rId676" Type="http://schemas.openxmlformats.org/officeDocument/2006/relationships/hyperlink" Target="https://doi.org/10.1117/12.2283507" TargetMode="External"/><Relationship Id="rId439" Type="http://schemas.openxmlformats.org/officeDocument/2006/relationships/hyperlink" Target="https://doi.org/10.1049/pel2.12075" TargetMode="External"/><Relationship Id="rId438" Type="http://schemas.openxmlformats.org/officeDocument/2006/relationships/hyperlink" Target="https://openalex.org/funders/f4320318724" TargetMode="External"/><Relationship Id="rId671" Type="http://schemas.openxmlformats.org/officeDocument/2006/relationships/hyperlink" Target="https://openalex.org/funders/f4320321001" TargetMode="External"/><Relationship Id="rId1260" Type="http://schemas.openxmlformats.org/officeDocument/2006/relationships/hyperlink" Target="https://openalex.org/funders/f4320320912" TargetMode="External"/><Relationship Id="rId670" Type="http://schemas.openxmlformats.org/officeDocument/2006/relationships/hyperlink" Target="https://doi.org/10.1142/S1793524522500462" TargetMode="External"/><Relationship Id="rId1261" Type="http://schemas.openxmlformats.org/officeDocument/2006/relationships/hyperlink" Target="https://doi.org/10.1364/OSAC.2.003381" TargetMode="External"/><Relationship Id="rId1020" Type="http://schemas.openxmlformats.org/officeDocument/2006/relationships/hyperlink" Target="https://doi.org/10.1016/j.meegid.2008.11.008" TargetMode="External"/><Relationship Id="rId1262" Type="http://schemas.openxmlformats.org/officeDocument/2006/relationships/hyperlink" Target="https://openalex.org/funders/f4320321001" TargetMode="External"/><Relationship Id="rId1021" Type="http://schemas.openxmlformats.org/officeDocument/2006/relationships/hyperlink" Target="https://doi.org/10.5194/essd-12-87-2020" TargetMode="External"/><Relationship Id="rId1263" Type="http://schemas.openxmlformats.org/officeDocument/2006/relationships/hyperlink" Target="https://doi.org/10.1021/acsami.2c0517435485" TargetMode="External"/><Relationship Id="rId433" Type="http://schemas.openxmlformats.org/officeDocument/2006/relationships/hyperlink" Target="https://doi.org/10.1007/s10681-012-0635-y" TargetMode="External"/><Relationship Id="rId675" Type="http://schemas.openxmlformats.org/officeDocument/2006/relationships/hyperlink" Target="https://openalex.org/funders/f4320321001" TargetMode="External"/><Relationship Id="rId1022" Type="http://schemas.openxmlformats.org/officeDocument/2006/relationships/hyperlink" Target="https://doi.org/10.1371/journal.pone.0060800" TargetMode="External"/><Relationship Id="rId1264" Type="http://schemas.openxmlformats.org/officeDocument/2006/relationships/hyperlink" Target="https://openalex.org/funders/f4320315254" TargetMode="External"/><Relationship Id="rId432" Type="http://schemas.openxmlformats.org/officeDocument/2006/relationships/hyperlink" Target="https://openalex.org/funders/f4320334881" TargetMode="External"/><Relationship Id="rId674" Type="http://schemas.openxmlformats.org/officeDocument/2006/relationships/hyperlink" Target="https://doi.org/10.1371/journal.pone.0077556" TargetMode="External"/><Relationship Id="rId1023" Type="http://schemas.openxmlformats.org/officeDocument/2006/relationships/hyperlink" Target="https://doi.org/10.3390/ijms20051048" TargetMode="External"/><Relationship Id="rId1265" Type="http://schemas.openxmlformats.org/officeDocument/2006/relationships/hyperlink" Target="https://doi.org/10.1016/j.applthermaleng.2020.115957" TargetMode="External"/><Relationship Id="rId431" Type="http://schemas.openxmlformats.org/officeDocument/2006/relationships/hyperlink" Target="https://doi.org/10.1016/j.jiec.2012.04.012" TargetMode="External"/><Relationship Id="rId673" Type="http://schemas.openxmlformats.org/officeDocument/2006/relationships/hyperlink" Target="https://doi.org/10.1055/s-0032-1309361" TargetMode="External"/><Relationship Id="rId1024" Type="http://schemas.openxmlformats.org/officeDocument/2006/relationships/hyperlink" Target="https://doi.org/10.1080/00207721.2014.983209" TargetMode="External"/><Relationship Id="rId1266" Type="http://schemas.openxmlformats.org/officeDocument/2006/relationships/hyperlink" Target="https://doi.org/10.1039/c1cs15152e" TargetMode="External"/><Relationship Id="rId430" Type="http://schemas.openxmlformats.org/officeDocument/2006/relationships/hyperlink" Target="https://doi.org/10.1155/2018/8036540" TargetMode="External"/><Relationship Id="rId672" Type="http://schemas.openxmlformats.org/officeDocument/2006/relationships/hyperlink" Target="https://doi.org/10.1007/s40263-013-0055-0" TargetMode="External"/><Relationship Id="rId1025" Type="http://schemas.openxmlformats.org/officeDocument/2006/relationships/hyperlink" Target="https://openalex.org/funders/f4320321040" TargetMode="External"/><Relationship Id="rId1267" Type="http://schemas.openxmlformats.org/officeDocument/2006/relationships/hyperlink" Target="https://openalex.org/funders/f43203347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3" max="3" width="71.38"/>
    <col customWidth="1" min="5" max="5" width="17.25" outlineLevel="1"/>
    <col customWidth="1" min="6" max="6" width="15.63" outlineLevel="1"/>
    <col customWidth="1" min="7" max="7" width="15.38" outlineLevel="1"/>
    <col customWidth="1" min="13" max="13" width="14.63"/>
    <col customWidth="1" min="14" max="14" width="17.63"/>
    <col customWidth="1" min="15" max="15" width="15.88"/>
    <col customWidth="1" min="16" max="16" width="17.63"/>
    <col customWidth="1" min="17" max="17" width="17.7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S1" s="6"/>
    </row>
    <row r="2">
      <c r="A2" s="1" t="s">
        <v>17</v>
      </c>
      <c r="B2" s="7" t="s">
        <v>18</v>
      </c>
      <c r="C2" s="2" t="s">
        <v>19</v>
      </c>
      <c r="D2" s="7" t="s">
        <v>20</v>
      </c>
      <c r="E2" s="8">
        <f>sample_20250925!E2</f>
        <v>1</v>
      </c>
      <c r="F2" s="8">
        <f>IF(sample_20250925!$C2=C2,sample_20250925!F2, NA())</f>
        <v>1</v>
      </c>
      <c r="G2" s="8">
        <f>IF(sample_20250925!$C2=$C2,sample_20250925!G2, NA())</f>
        <v>0</v>
      </c>
      <c r="H2" s="9" t="s">
        <v>21</v>
      </c>
      <c r="I2" s="10">
        <f>IFERROR(__xludf.DUMMYFUNCTION("AVERAGE(FILTER(M2:M250,ISNUMBER(M2:M250)))"),0.7796877568754548)</f>
        <v>0.7796877569</v>
      </c>
      <c r="J2" s="10">
        <f>IFERROR(__xludf.DUMMYFUNCTION("AVERAGE(FILTER(N2:N250,ISNUMBER(N2:N250)))"),0.03572485430443579)</f>
        <v>0.0357248543</v>
      </c>
      <c r="K2" s="10">
        <f>IFERROR(__xludf.DUMMYFUNCTION("AVERAGE(FILTER(O2:O250,ISNUMBER(O2:O250)))"),0.9799196787148594)</f>
        <v>0.9799196787</v>
      </c>
      <c r="L2" s="10">
        <f>IFERROR(__xludf.DUMMYFUNCTION("AVERAGE(FILTER(P2:P250,ISNUMBER(P2:P250)))"),0.9626349527665317)</f>
        <v>0.9626349528</v>
      </c>
      <c r="M2" s="10">
        <f t="shared" ref="M2:M1003" si="1">F2/E2</f>
        <v>1</v>
      </c>
      <c r="N2" s="10">
        <f t="shared" ref="N2:N1003" si="2">G2/E2</f>
        <v>0</v>
      </c>
      <c r="O2" s="10">
        <f>IFERROR(__xludf.DUMMYFUNCTION("INT(FILTER(GT(F2,0),ISNUMBER(F2)))"),1.0)</f>
        <v>1</v>
      </c>
      <c r="P2" s="10">
        <f t="shared" ref="P2:P1003" si="3">F2/(F2+G2)</f>
        <v>1</v>
      </c>
      <c r="Q2" s="10">
        <f>IFERROR(__xludf.DUMMYFUNCTION("INT(FILTER(EQ(E2,F2),ISNUMBER(E2),ISNUMBER(F2)))"),1.0)</f>
        <v>1</v>
      </c>
    </row>
    <row r="3">
      <c r="A3" s="1" t="s">
        <v>22</v>
      </c>
      <c r="B3" s="7" t="s">
        <v>23</v>
      </c>
      <c r="C3" s="2" t="s">
        <v>24</v>
      </c>
      <c r="D3" s="1" t="s">
        <v>25</v>
      </c>
      <c r="E3" s="8">
        <f>sample_20250925!E3</f>
        <v>1</v>
      </c>
      <c r="F3" s="8">
        <f>IF(sample_20250925!$C3=C3,sample_20250925!F3, NA())</f>
        <v>1</v>
      </c>
      <c r="G3" s="8">
        <f>IF(sample_20250925!$C3=$C3,sample_20250925!G3, NA())</f>
        <v>0</v>
      </c>
      <c r="H3" s="9" t="s">
        <v>21</v>
      </c>
      <c r="I3" s="11" t="s">
        <v>26</v>
      </c>
      <c r="J3" s="11" t="s">
        <v>27</v>
      </c>
      <c r="K3" s="11" t="s">
        <v>28</v>
      </c>
      <c r="L3" s="11" t="s">
        <v>29</v>
      </c>
      <c r="M3" s="10">
        <f t="shared" si="1"/>
        <v>1</v>
      </c>
      <c r="N3" s="10">
        <f t="shared" si="2"/>
        <v>0</v>
      </c>
      <c r="O3" s="10">
        <f>IFERROR(__xludf.DUMMYFUNCTION("INT(FILTER(GT(F3,0),ISNUMBER(F3)))"),1.0)</f>
        <v>1</v>
      </c>
      <c r="P3" s="10">
        <f t="shared" si="3"/>
        <v>1</v>
      </c>
      <c r="Q3" s="10">
        <f>IFERROR(__xludf.DUMMYFUNCTION("INT(FILTER(EQ(E3,F3),ISNUMBER(E3),ISNUMBER(F3)))"),1.0)</f>
        <v>1</v>
      </c>
    </row>
    <row r="4">
      <c r="A4" s="1" t="s">
        <v>30</v>
      </c>
      <c r="B4" s="7" t="s">
        <v>31</v>
      </c>
      <c r="C4" s="2" t="s">
        <v>32</v>
      </c>
      <c r="D4" s="1" t="s">
        <v>33</v>
      </c>
      <c r="E4" s="8">
        <f>sample_20250925!E4</f>
        <v>2</v>
      </c>
      <c r="F4" s="8">
        <f>IF(sample_20250925!$C4=C4,sample_20250925!F4, NA())</f>
        <v>2</v>
      </c>
      <c r="G4" s="8">
        <f>IF(sample_20250925!$C4=$C4,sample_20250925!G4, NA())</f>
        <v>0</v>
      </c>
      <c r="H4" s="9" t="s">
        <v>21</v>
      </c>
      <c r="I4" s="10">
        <f>IFERROR(__xludf.DUMMYFUNCTION("SUM(FILTER(F2:F250,ISNUMBER(F2:F250)))/SUM(FILTER(E2:E250,ISNUMBER(F2:F250)))"),0.7300613496932515)</f>
        <v>0.7300613497</v>
      </c>
      <c r="J4" s="10">
        <f>IFERROR(__xludf.DUMMYFUNCTION("SUM(FILTER(G2:G250,ISNUMBER(G2:G250)))/SUM(FILTER(E2:E250,ISNUMBER(G2:G250)))"),0.029141104294478526)</f>
        <v>0.02914110429</v>
      </c>
      <c r="K4" s="10">
        <f>IFERROR(__xludf.DUMMYFUNCTION("AVERAGE(FILTER(Q2:Q250,ISNUMBER(Q2:Q250)))"),0.5418502202643172)</f>
        <v>0.5418502203</v>
      </c>
      <c r="L4" s="10">
        <f>IFERROR(__xludf.DUMMYFUNCTION("SUM(FILTER(F2:F250,ISNUMBER(F2:F250)))/(SUM(FILTER(F2:F250,ISNUMBER(F2:F250)))+SUM(FILTER(G2:G250,ISNUMBER(F2:F250))))"),0.9616161616161616)</f>
        <v>0.9616161616</v>
      </c>
      <c r="M4" s="10">
        <f t="shared" si="1"/>
        <v>1</v>
      </c>
      <c r="N4" s="10">
        <f t="shared" si="2"/>
        <v>0</v>
      </c>
      <c r="O4" s="10">
        <f>IFERROR(__xludf.DUMMYFUNCTION("INT(FILTER(GT(F4,0),ISNUMBER(F4)))"),1.0)</f>
        <v>1</v>
      </c>
      <c r="P4" s="10">
        <f t="shared" si="3"/>
        <v>1</v>
      </c>
      <c r="Q4" s="10">
        <f>IFERROR(__xludf.DUMMYFUNCTION("INT(FILTER(EQ(E4,F4),ISNUMBER(E4),ISNUMBER(F4)))"),1.0)</f>
        <v>1</v>
      </c>
    </row>
    <row r="5">
      <c r="A5" s="1" t="s">
        <v>34</v>
      </c>
      <c r="B5" s="7" t="s">
        <v>35</v>
      </c>
      <c r="C5" s="2" t="s">
        <v>36</v>
      </c>
      <c r="D5" s="1" t="s">
        <v>37</v>
      </c>
      <c r="E5" s="8">
        <f>sample_20250925!E5</f>
        <v>4</v>
      </c>
      <c r="F5" s="8">
        <v>4.0</v>
      </c>
      <c r="G5" s="8">
        <v>0.0</v>
      </c>
      <c r="H5" s="9" t="s">
        <v>21</v>
      </c>
      <c r="I5" s="12"/>
      <c r="J5" s="12"/>
      <c r="K5" s="12"/>
      <c r="L5" s="12"/>
      <c r="M5" s="10">
        <f t="shared" si="1"/>
        <v>1</v>
      </c>
      <c r="N5" s="10">
        <f t="shared" si="2"/>
        <v>0</v>
      </c>
      <c r="O5" s="10">
        <f>IFERROR(__xludf.DUMMYFUNCTION("INT(FILTER(GT(F5,0),ISNUMBER(F5)))"),1.0)</f>
        <v>1</v>
      </c>
      <c r="P5" s="10">
        <f t="shared" si="3"/>
        <v>1</v>
      </c>
      <c r="Q5" s="10">
        <f>IFERROR(__xludf.DUMMYFUNCTION("INT(FILTER(EQ(E5,F5),ISNUMBER(E5),ISNUMBER(F5)))"),1.0)</f>
        <v>1</v>
      </c>
    </row>
    <row r="6">
      <c r="A6" s="1" t="s">
        <v>38</v>
      </c>
      <c r="B6" s="7" t="s">
        <v>39</v>
      </c>
      <c r="C6" s="2" t="s">
        <v>40</v>
      </c>
      <c r="D6" s="7" t="s">
        <v>41</v>
      </c>
      <c r="E6" s="8">
        <f>sample_20250925!E6</f>
        <v>1</v>
      </c>
      <c r="F6" s="8">
        <f>IF(sample_20250925!$C6=C6,sample_20250925!F6, NA())</f>
        <v>1</v>
      </c>
      <c r="G6" s="8">
        <f>IF(sample_20250925!$C6=$C6,sample_20250925!G6, NA())</f>
        <v>0</v>
      </c>
      <c r="H6" s="9" t="s">
        <v>21</v>
      </c>
      <c r="I6" s="12"/>
      <c r="J6" s="12"/>
      <c r="K6" s="12"/>
      <c r="L6" s="12"/>
      <c r="M6" s="10">
        <f t="shared" si="1"/>
        <v>1</v>
      </c>
      <c r="N6" s="10">
        <f t="shared" si="2"/>
        <v>0</v>
      </c>
      <c r="O6" s="10">
        <f>IFERROR(__xludf.DUMMYFUNCTION("INT(FILTER(GT(F6,0),ISNUMBER(F6)))"),1.0)</f>
        <v>1</v>
      </c>
      <c r="P6" s="10">
        <f t="shared" si="3"/>
        <v>1</v>
      </c>
      <c r="Q6" s="10">
        <f>IFERROR(__xludf.DUMMYFUNCTION("INT(FILTER(EQ(E6,F6),ISNUMBER(E6),ISNUMBER(F6)))"),1.0)</f>
        <v>1</v>
      </c>
    </row>
    <row r="7">
      <c r="A7" s="1" t="s">
        <v>42</v>
      </c>
      <c r="B7" s="7" t="s">
        <v>43</v>
      </c>
      <c r="C7" s="2" t="s">
        <v>44</v>
      </c>
      <c r="D7" s="7" t="s">
        <v>45</v>
      </c>
      <c r="E7" s="8">
        <f>sample_20250925!E7</f>
        <v>1</v>
      </c>
      <c r="F7" s="8">
        <f>IF(sample_20250925!$C7=C7,sample_20250925!F7, NA())</f>
        <v>1</v>
      </c>
      <c r="G7" s="8">
        <f>IF(sample_20250925!$C7=$C7,sample_20250925!G7, NA())</f>
        <v>0</v>
      </c>
      <c r="H7" s="9" t="s">
        <v>21</v>
      </c>
      <c r="I7" s="12"/>
      <c r="J7" s="12"/>
      <c r="K7" s="12"/>
      <c r="L7" s="12"/>
      <c r="M7" s="10">
        <f t="shared" si="1"/>
        <v>1</v>
      </c>
      <c r="N7" s="10">
        <f t="shared" si="2"/>
        <v>0</v>
      </c>
      <c r="O7" s="10">
        <f>IFERROR(__xludf.DUMMYFUNCTION("INT(FILTER(GT(F7,0),ISNUMBER(F7)))"),1.0)</f>
        <v>1</v>
      </c>
      <c r="P7" s="10">
        <f t="shared" si="3"/>
        <v>1</v>
      </c>
      <c r="Q7" s="10">
        <f>IFERROR(__xludf.DUMMYFUNCTION("INT(FILTER(EQ(E7,F7),ISNUMBER(E7),ISNUMBER(F7)))"),1.0)</f>
        <v>1</v>
      </c>
    </row>
    <row r="8">
      <c r="A8" s="1" t="s">
        <v>46</v>
      </c>
      <c r="B8" s="7" t="s">
        <v>47</v>
      </c>
      <c r="C8" s="2" t="s">
        <v>48</v>
      </c>
      <c r="D8" s="7" t="s">
        <v>49</v>
      </c>
      <c r="E8" s="8">
        <f>sample_20250925!E8</f>
        <v>1</v>
      </c>
      <c r="F8" s="8">
        <v>1.0</v>
      </c>
      <c r="G8" s="8">
        <v>0.0</v>
      </c>
      <c r="H8" s="9" t="s">
        <v>21</v>
      </c>
      <c r="I8" s="12"/>
      <c r="J8" s="12"/>
      <c r="K8" s="12"/>
      <c r="L8" s="12"/>
      <c r="M8" s="10">
        <f t="shared" si="1"/>
        <v>1</v>
      </c>
      <c r="N8" s="10">
        <f t="shared" si="2"/>
        <v>0</v>
      </c>
      <c r="O8" s="10">
        <f>IFERROR(__xludf.DUMMYFUNCTION("INT(FILTER(GT(F8,0),ISNUMBER(F8)))"),1.0)</f>
        <v>1</v>
      </c>
      <c r="P8" s="10">
        <f t="shared" si="3"/>
        <v>1</v>
      </c>
      <c r="Q8" s="10">
        <f>IFERROR(__xludf.DUMMYFUNCTION("INT(FILTER(EQ(E8,F8),ISNUMBER(E8),ISNUMBER(F8)))"),1.0)</f>
        <v>1</v>
      </c>
    </row>
    <row r="9">
      <c r="A9" s="1" t="s">
        <v>50</v>
      </c>
      <c r="B9" s="7" t="s">
        <v>51</v>
      </c>
      <c r="C9" s="2" t="s">
        <v>52</v>
      </c>
      <c r="D9" s="1" t="s">
        <v>53</v>
      </c>
      <c r="E9" s="8">
        <f>sample_20250925!E9</f>
        <v>3</v>
      </c>
      <c r="F9" s="8">
        <f>IF(sample_20250925!$C9=C9,sample_20250925!F9, NA())</f>
        <v>2</v>
      </c>
      <c r="G9" s="8">
        <f>IF(sample_20250925!$C9=$C9,sample_20250925!G9, NA())</f>
        <v>0</v>
      </c>
      <c r="H9" s="9" t="s">
        <v>21</v>
      </c>
      <c r="I9" s="12"/>
      <c r="J9" s="12"/>
      <c r="K9" s="12"/>
      <c r="L9" s="12"/>
      <c r="M9" s="10">
        <f t="shared" si="1"/>
        <v>0.6666666667</v>
      </c>
      <c r="N9" s="10">
        <f t="shared" si="2"/>
        <v>0</v>
      </c>
      <c r="O9" s="10">
        <f>IFERROR(__xludf.DUMMYFUNCTION("INT(FILTER(GT(F9,0),ISNUMBER(F9)))"),1.0)</f>
        <v>1</v>
      </c>
      <c r="P9" s="10">
        <f t="shared" si="3"/>
        <v>1</v>
      </c>
      <c r="Q9" s="10">
        <f>IFERROR(__xludf.DUMMYFUNCTION("INT(FILTER(EQ(E9,F9),ISNUMBER(E9),ISNUMBER(F9)))"),0.0)</f>
        <v>0</v>
      </c>
    </row>
    <row r="10">
      <c r="A10" s="1" t="s">
        <v>54</v>
      </c>
      <c r="B10" s="7" t="s">
        <v>55</v>
      </c>
      <c r="C10" s="2" t="s">
        <v>56</v>
      </c>
      <c r="D10" s="7" t="s">
        <v>57</v>
      </c>
      <c r="E10" s="8">
        <f>sample_20250925!E10</f>
        <v>1</v>
      </c>
      <c r="F10" s="8">
        <f>IF(sample_20250925!$C10=C10,sample_20250925!F10, NA())</f>
        <v>1</v>
      </c>
      <c r="G10" s="8">
        <f>IF(sample_20250925!$C10=$C10,sample_20250925!G10, NA())</f>
        <v>0</v>
      </c>
      <c r="H10" s="9" t="s">
        <v>21</v>
      </c>
      <c r="I10" s="12"/>
      <c r="J10" s="12"/>
      <c r="K10" s="12"/>
      <c r="L10" s="12"/>
      <c r="M10" s="10">
        <f t="shared" si="1"/>
        <v>1</v>
      </c>
      <c r="N10" s="10">
        <f t="shared" si="2"/>
        <v>0</v>
      </c>
      <c r="O10" s="10">
        <f>IFERROR(__xludf.DUMMYFUNCTION("INT(FILTER(GT(F10,0),ISNUMBER(F10)))"),1.0)</f>
        <v>1</v>
      </c>
      <c r="P10" s="10">
        <f t="shared" si="3"/>
        <v>1</v>
      </c>
      <c r="Q10" s="10">
        <f>IFERROR(__xludf.DUMMYFUNCTION("INT(FILTER(EQ(E10,F10),ISNUMBER(E10),ISNUMBER(F10)))"),1.0)</f>
        <v>1</v>
      </c>
    </row>
    <row r="11">
      <c r="A11" s="1" t="s">
        <v>58</v>
      </c>
      <c r="B11" s="7" t="s">
        <v>59</v>
      </c>
      <c r="C11" s="2" t="s">
        <v>60</v>
      </c>
      <c r="D11" s="1" t="s">
        <v>61</v>
      </c>
      <c r="E11" s="8">
        <f>sample_20250925!E11</f>
        <v>2</v>
      </c>
      <c r="F11" s="8">
        <f>IF(sample_20250925!$C11=C11,sample_20250925!F11, NA())</f>
        <v>2</v>
      </c>
      <c r="G11" s="8">
        <f>IF(sample_20250925!$C11=$C11,sample_20250925!G11, NA())</f>
        <v>0</v>
      </c>
      <c r="H11" s="9" t="s">
        <v>21</v>
      </c>
      <c r="I11" s="12"/>
      <c r="J11" s="12"/>
      <c r="K11" s="12"/>
      <c r="L11" s="12"/>
      <c r="M11" s="10">
        <f t="shared" si="1"/>
        <v>1</v>
      </c>
      <c r="N11" s="10">
        <f t="shared" si="2"/>
        <v>0</v>
      </c>
      <c r="O11" s="10">
        <f>IFERROR(__xludf.DUMMYFUNCTION("INT(FILTER(GT(F11,0),ISNUMBER(F11)))"),1.0)</f>
        <v>1</v>
      </c>
      <c r="P11" s="10">
        <f t="shared" si="3"/>
        <v>1</v>
      </c>
      <c r="Q11" s="12"/>
    </row>
    <row r="12">
      <c r="A12" s="1" t="s">
        <v>62</v>
      </c>
      <c r="B12" s="7" t="s">
        <v>63</v>
      </c>
      <c r="C12" s="2" t="s">
        <v>64</v>
      </c>
      <c r="D12" s="1" t="s">
        <v>65</v>
      </c>
      <c r="E12" s="8">
        <f>sample_20250925!E12</f>
        <v>2</v>
      </c>
      <c r="F12" s="8">
        <f>IF(sample_20250925!$C12=C12,sample_20250925!F12, NA())</f>
        <v>2</v>
      </c>
      <c r="G12" s="8">
        <f>IF(sample_20250925!$C12=$C12,sample_20250925!G12, NA())</f>
        <v>0</v>
      </c>
      <c r="H12" s="9" t="s">
        <v>21</v>
      </c>
      <c r="I12" s="12"/>
      <c r="J12" s="12"/>
      <c r="K12" s="12"/>
      <c r="L12" s="12"/>
      <c r="M12" s="10">
        <f t="shared" si="1"/>
        <v>1</v>
      </c>
      <c r="N12" s="10">
        <f t="shared" si="2"/>
        <v>0</v>
      </c>
      <c r="O12" s="10">
        <f>IFERROR(__xludf.DUMMYFUNCTION("INT(FILTER(GT(F12,0),ISNUMBER(F12)))"),1.0)</f>
        <v>1</v>
      </c>
      <c r="P12" s="10">
        <f t="shared" si="3"/>
        <v>1</v>
      </c>
      <c r="Q12" s="10">
        <f>IFERROR(__xludf.DUMMYFUNCTION("INT(FILTER(EQ(E12,F12),ISNUMBER(E12),ISNUMBER(F12)))"),1.0)</f>
        <v>1</v>
      </c>
    </row>
    <row r="13">
      <c r="A13" s="1" t="s">
        <v>66</v>
      </c>
      <c r="B13" s="7" t="s">
        <v>67</v>
      </c>
      <c r="C13" s="2" t="s">
        <v>68</v>
      </c>
      <c r="D13" s="1" t="s">
        <v>69</v>
      </c>
      <c r="E13" s="8">
        <v>3.0</v>
      </c>
      <c r="F13" s="8">
        <v>3.0</v>
      </c>
      <c r="G13" s="8">
        <v>0.0</v>
      </c>
      <c r="H13" s="9" t="s">
        <v>21</v>
      </c>
      <c r="I13" s="12"/>
      <c r="J13" s="12"/>
      <c r="K13" s="12"/>
      <c r="L13" s="12"/>
      <c r="M13" s="10">
        <f t="shared" si="1"/>
        <v>1</v>
      </c>
      <c r="N13" s="10">
        <f t="shared" si="2"/>
        <v>0</v>
      </c>
      <c r="O13" s="10">
        <f>IFERROR(__xludf.DUMMYFUNCTION("INT(FILTER(GT(F13,0),ISNUMBER(F13)))"),1.0)</f>
        <v>1</v>
      </c>
      <c r="P13" s="10">
        <f t="shared" si="3"/>
        <v>1</v>
      </c>
      <c r="Q13" s="10">
        <f>IFERROR(__xludf.DUMMYFUNCTION("INT(FILTER(EQ(E13,F13),ISNUMBER(E13),ISNUMBER(F13)))"),1.0)</f>
        <v>1</v>
      </c>
    </row>
    <row r="14">
      <c r="A14" s="1" t="s">
        <v>70</v>
      </c>
      <c r="B14" s="7" t="s">
        <v>71</v>
      </c>
      <c r="C14" s="2" t="s">
        <v>72</v>
      </c>
      <c r="D14" s="7" t="s">
        <v>73</v>
      </c>
      <c r="E14" s="8">
        <f>sample_20250925!E14</f>
        <v>2</v>
      </c>
      <c r="F14" s="8">
        <v>1.0</v>
      </c>
      <c r="G14" s="8">
        <v>0.0</v>
      </c>
      <c r="H14" s="9" t="s">
        <v>21</v>
      </c>
      <c r="I14" s="12"/>
      <c r="J14" s="12"/>
      <c r="K14" s="12"/>
      <c r="L14" s="12"/>
      <c r="M14" s="10">
        <f t="shared" si="1"/>
        <v>0.5</v>
      </c>
      <c r="N14" s="10">
        <f t="shared" si="2"/>
        <v>0</v>
      </c>
      <c r="O14" s="10">
        <f>IFERROR(__xludf.DUMMYFUNCTION("INT(FILTER(GT(F14,0),ISNUMBER(F14)))"),1.0)</f>
        <v>1</v>
      </c>
      <c r="P14" s="10">
        <f t="shared" si="3"/>
        <v>1</v>
      </c>
      <c r="Q14" s="10">
        <f>IFERROR(__xludf.DUMMYFUNCTION("INT(FILTER(EQ(E14,F14),ISNUMBER(E14),ISNUMBER(F14)))"),0.0)</f>
        <v>0</v>
      </c>
    </row>
    <row r="15">
      <c r="A15" s="1" t="s">
        <v>74</v>
      </c>
      <c r="B15" s="7" t="s">
        <v>75</v>
      </c>
      <c r="C15" s="2" t="s">
        <v>76</v>
      </c>
      <c r="D15" s="7" t="s">
        <v>77</v>
      </c>
      <c r="E15" s="8">
        <f>sample_20250925!E15</f>
        <v>1</v>
      </c>
      <c r="F15" s="8">
        <f>IF(sample_20250925!$C15=C15,sample_20250925!F15, NA())</f>
        <v>1</v>
      </c>
      <c r="G15" s="8">
        <f>IF(sample_20250925!$C15=$C15,sample_20250925!G15, NA())</f>
        <v>0</v>
      </c>
      <c r="H15" s="9" t="s">
        <v>21</v>
      </c>
      <c r="I15" s="12"/>
      <c r="J15" s="12"/>
      <c r="K15" s="12"/>
      <c r="L15" s="12"/>
      <c r="M15" s="10">
        <f t="shared" si="1"/>
        <v>1</v>
      </c>
      <c r="N15" s="10">
        <f t="shared" si="2"/>
        <v>0</v>
      </c>
      <c r="O15" s="10">
        <f>IFERROR(__xludf.DUMMYFUNCTION("INT(FILTER(GT(F15,0),ISNUMBER(F15)))"),1.0)</f>
        <v>1</v>
      </c>
      <c r="P15" s="10">
        <f t="shared" si="3"/>
        <v>1</v>
      </c>
      <c r="Q15" s="10">
        <f>IFERROR(__xludf.DUMMYFUNCTION("INT(FILTER(EQ(E15,F15),ISNUMBER(E15),ISNUMBER(F15)))"),1.0)</f>
        <v>1</v>
      </c>
    </row>
    <row r="16">
      <c r="A16" s="1" t="s">
        <v>78</v>
      </c>
      <c r="B16" s="7" t="s">
        <v>79</v>
      </c>
      <c r="C16" s="2" t="s">
        <v>80</v>
      </c>
      <c r="D16" s="7" t="s">
        <v>81</v>
      </c>
      <c r="E16" s="8">
        <f>sample_20250925!E16</f>
        <v>1</v>
      </c>
      <c r="F16" s="8">
        <f>IF(sample_20250925!$C16=C16,sample_20250925!F16, NA())</f>
        <v>1</v>
      </c>
      <c r="G16" s="8">
        <f>IF(sample_20250925!$C16=$C16,sample_20250925!G16, NA())</f>
        <v>0</v>
      </c>
      <c r="H16" s="9" t="s">
        <v>21</v>
      </c>
      <c r="I16" s="12"/>
      <c r="J16" s="12"/>
      <c r="K16" s="12"/>
      <c r="L16" s="12"/>
      <c r="M16" s="10">
        <f t="shared" si="1"/>
        <v>1</v>
      </c>
      <c r="N16" s="10">
        <f t="shared" si="2"/>
        <v>0</v>
      </c>
      <c r="O16" s="10">
        <f>IFERROR(__xludf.DUMMYFUNCTION("INT(FILTER(GT(F16,0),ISNUMBER(F16)))"),1.0)</f>
        <v>1</v>
      </c>
      <c r="P16" s="10">
        <f t="shared" si="3"/>
        <v>1</v>
      </c>
      <c r="Q16" s="10">
        <f>IFERROR(__xludf.DUMMYFUNCTION("INT(FILTER(EQ(E16,F16),ISNUMBER(E16),ISNUMBER(F16)))"),1.0)</f>
        <v>1</v>
      </c>
    </row>
    <row r="17">
      <c r="A17" s="1" t="s">
        <v>82</v>
      </c>
      <c r="B17" s="7" t="s">
        <v>83</v>
      </c>
      <c r="C17" s="2" t="s">
        <v>84</v>
      </c>
      <c r="D17" s="1" t="s">
        <v>85</v>
      </c>
      <c r="E17" s="8">
        <f>sample_20250925!E17</f>
        <v>4</v>
      </c>
      <c r="F17" s="8">
        <v>3.0</v>
      </c>
      <c r="G17" s="8">
        <v>0.0</v>
      </c>
      <c r="H17" s="9" t="s">
        <v>21</v>
      </c>
      <c r="I17" s="12"/>
      <c r="J17" s="12"/>
      <c r="K17" s="12"/>
      <c r="L17" s="12"/>
      <c r="M17" s="10">
        <f t="shared" si="1"/>
        <v>0.75</v>
      </c>
      <c r="N17" s="10">
        <f t="shared" si="2"/>
        <v>0</v>
      </c>
      <c r="O17" s="10">
        <f>IFERROR(__xludf.DUMMYFUNCTION("INT(FILTER(GT(F17,0),ISNUMBER(F17)))"),1.0)</f>
        <v>1</v>
      </c>
      <c r="P17" s="10">
        <f t="shared" si="3"/>
        <v>1</v>
      </c>
      <c r="Q17" s="10">
        <f>IFERROR(__xludf.DUMMYFUNCTION("INT(FILTER(EQ(E17,F17),ISNUMBER(E17),ISNUMBER(F17)))"),0.0)</f>
        <v>0</v>
      </c>
    </row>
    <row r="18">
      <c r="A18" s="1" t="s">
        <v>86</v>
      </c>
      <c r="B18" s="7" t="s">
        <v>87</v>
      </c>
      <c r="C18" s="2" t="s">
        <v>88</v>
      </c>
      <c r="D18" s="1" t="s">
        <v>89</v>
      </c>
      <c r="E18" s="8">
        <f>sample_20250925!E18</f>
        <v>2</v>
      </c>
      <c r="F18" s="8">
        <f>IF(sample_20250925!$C18=C18,sample_20250925!F18, NA())</f>
        <v>2</v>
      </c>
      <c r="G18" s="8">
        <f>IF(sample_20250925!$C18=$C18,sample_20250925!G18, NA())</f>
        <v>0</v>
      </c>
      <c r="H18" s="9" t="s">
        <v>21</v>
      </c>
      <c r="I18" s="12"/>
      <c r="J18" s="12"/>
      <c r="K18" s="12"/>
      <c r="L18" s="12"/>
      <c r="M18" s="10">
        <f t="shared" si="1"/>
        <v>1</v>
      </c>
      <c r="N18" s="10">
        <f t="shared" si="2"/>
        <v>0</v>
      </c>
      <c r="O18" s="10">
        <f>IFERROR(__xludf.DUMMYFUNCTION("INT(FILTER(GT(F18,0),ISNUMBER(F18)))"),1.0)</f>
        <v>1</v>
      </c>
      <c r="P18" s="10">
        <f t="shared" si="3"/>
        <v>1</v>
      </c>
      <c r="Q18" s="10">
        <f>IFERROR(__xludf.DUMMYFUNCTION("INT(FILTER(EQ(E18,F18),ISNUMBER(E18),ISNUMBER(F18)))"),1.0)</f>
        <v>1</v>
      </c>
    </row>
    <row r="19">
      <c r="A19" s="1" t="s">
        <v>90</v>
      </c>
      <c r="B19" s="7" t="s">
        <v>91</v>
      </c>
      <c r="C19" s="2" t="s">
        <v>92</v>
      </c>
      <c r="D19" s="1" t="s">
        <v>93</v>
      </c>
      <c r="E19" s="8">
        <f>sample_20250925!E19</f>
        <v>2</v>
      </c>
      <c r="F19" s="8">
        <f>IF(sample_20250925!$C19=C19,sample_20250925!F19, NA())</f>
        <v>2</v>
      </c>
      <c r="G19" s="8">
        <f>IF(sample_20250925!$C19=$C19,sample_20250925!G19, NA())</f>
        <v>0</v>
      </c>
      <c r="H19" s="9" t="s">
        <v>21</v>
      </c>
      <c r="I19" s="12"/>
      <c r="J19" s="12"/>
      <c r="K19" s="12"/>
      <c r="L19" s="12"/>
      <c r="M19" s="10">
        <f t="shared" si="1"/>
        <v>1</v>
      </c>
      <c r="N19" s="10">
        <f t="shared" si="2"/>
        <v>0</v>
      </c>
      <c r="O19" s="10">
        <f>IFERROR(__xludf.DUMMYFUNCTION("INT(FILTER(GT(F19,0),ISNUMBER(F19)))"),1.0)</f>
        <v>1</v>
      </c>
      <c r="P19" s="10">
        <f t="shared" si="3"/>
        <v>1</v>
      </c>
      <c r="Q19" s="10">
        <f>IFERROR(__xludf.DUMMYFUNCTION("INT(FILTER(EQ(E19,F19),ISNUMBER(E19),ISNUMBER(F19)))"),1.0)</f>
        <v>1</v>
      </c>
    </row>
    <row r="20">
      <c r="A20" s="1" t="s">
        <v>94</v>
      </c>
      <c r="B20" s="7" t="s">
        <v>95</v>
      </c>
      <c r="C20" s="13" t="s">
        <v>96</v>
      </c>
      <c r="D20" s="7" t="s">
        <v>97</v>
      </c>
      <c r="E20" s="8">
        <f>sample_20250925!E20</f>
        <v>1</v>
      </c>
      <c r="F20" s="8">
        <f>IF(sample_20250925!$C20=C20,sample_20250925!F20, NA())</f>
        <v>1</v>
      </c>
      <c r="G20" s="8">
        <f>IF(sample_20250925!$C20=$C20,sample_20250925!G20, NA())</f>
        <v>0</v>
      </c>
      <c r="H20" s="9" t="s">
        <v>21</v>
      </c>
      <c r="I20" s="12"/>
      <c r="J20" s="12"/>
      <c r="K20" s="12"/>
      <c r="L20" s="12"/>
      <c r="M20" s="10">
        <f t="shared" si="1"/>
        <v>1</v>
      </c>
      <c r="N20" s="10">
        <f t="shared" si="2"/>
        <v>0</v>
      </c>
      <c r="O20" s="10">
        <f>IFERROR(__xludf.DUMMYFUNCTION("INT(FILTER(GT(F20,0),ISNUMBER(F20)))"),1.0)</f>
        <v>1</v>
      </c>
      <c r="P20" s="10">
        <f t="shared" si="3"/>
        <v>1</v>
      </c>
      <c r="Q20" s="10">
        <f>IFERROR(__xludf.DUMMYFUNCTION("INT(FILTER(EQ(E20,F20),ISNUMBER(E20),ISNUMBER(F20)))"),1.0)</f>
        <v>1</v>
      </c>
    </row>
    <row r="21">
      <c r="A21" s="1" t="s">
        <v>98</v>
      </c>
      <c r="B21" s="7" t="s">
        <v>99</v>
      </c>
      <c r="C21" s="2" t="s">
        <v>100</v>
      </c>
      <c r="D21" s="1" t="s">
        <v>101</v>
      </c>
      <c r="E21" s="8">
        <f>sample_20250925!E21</f>
        <v>5</v>
      </c>
      <c r="F21" s="8">
        <f>IF(sample_20250925!$C21=C21,sample_20250925!F21, NA())</f>
        <v>4</v>
      </c>
      <c r="G21" s="8">
        <f>IF(sample_20250925!$C21=$C21,sample_20250925!G21, NA())</f>
        <v>0</v>
      </c>
      <c r="H21" s="9" t="s">
        <v>21</v>
      </c>
      <c r="I21" s="12"/>
      <c r="J21" s="12"/>
      <c r="K21" s="12"/>
      <c r="L21" s="12"/>
      <c r="M21" s="10">
        <f t="shared" si="1"/>
        <v>0.8</v>
      </c>
      <c r="N21" s="10">
        <f t="shared" si="2"/>
        <v>0</v>
      </c>
      <c r="O21" s="10">
        <f>IFERROR(__xludf.DUMMYFUNCTION("INT(FILTER(GT(F21,0),ISNUMBER(F21)))"),1.0)</f>
        <v>1</v>
      </c>
      <c r="P21" s="10">
        <f t="shared" si="3"/>
        <v>1</v>
      </c>
      <c r="Q21" s="10">
        <f>IFERROR(__xludf.DUMMYFUNCTION("INT(FILTER(EQ(E21,F21),ISNUMBER(E21),ISNUMBER(F21)))"),0.0)</f>
        <v>0</v>
      </c>
    </row>
    <row r="22">
      <c r="A22" s="1" t="s">
        <v>102</v>
      </c>
      <c r="B22" s="7" t="s">
        <v>103</v>
      </c>
      <c r="C22" s="2" t="s">
        <v>104</v>
      </c>
      <c r="D22" s="1" t="s">
        <v>105</v>
      </c>
      <c r="E22" s="8">
        <f>sample_20250925!E22</f>
        <v>2</v>
      </c>
      <c r="F22" s="8">
        <f>IF(sample_20250925!$C22=C22,sample_20250925!F22, NA())</f>
        <v>2</v>
      </c>
      <c r="G22" s="8">
        <f>IF(sample_20250925!$C22=$C22,sample_20250925!G22, NA())</f>
        <v>0</v>
      </c>
      <c r="H22" s="9" t="s">
        <v>21</v>
      </c>
      <c r="I22" s="12"/>
      <c r="J22" s="12"/>
      <c r="K22" s="12"/>
      <c r="L22" s="12"/>
      <c r="M22" s="10">
        <f t="shared" si="1"/>
        <v>1</v>
      </c>
      <c r="N22" s="10">
        <f t="shared" si="2"/>
        <v>0</v>
      </c>
      <c r="O22" s="10">
        <f>IFERROR(__xludf.DUMMYFUNCTION("INT(FILTER(GT(F22,0),ISNUMBER(F22)))"),1.0)</f>
        <v>1</v>
      </c>
      <c r="P22" s="10">
        <f t="shared" si="3"/>
        <v>1</v>
      </c>
      <c r="Q22" s="12"/>
    </row>
    <row r="23">
      <c r="A23" s="1" t="s">
        <v>106</v>
      </c>
      <c r="B23" s="7" t="s">
        <v>107</v>
      </c>
      <c r="C23" s="2" t="s">
        <v>108</v>
      </c>
      <c r="D23" s="1" t="s">
        <v>109</v>
      </c>
      <c r="E23" s="8">
        <f>sample_20250925!E23</f>
        <v>3</v>
      </c>
      <c r="F23" s="8">
        <f>IF(sample_20250925!$C23=C23,sample_20250925!F23, NA())</f>
        <v>3</v>
      </c>
      <c r="G23" s="8">
        <f>IF(sample_20250925!$C23=$C23,sample_20250925!G23, NA())</f>
        <v>0</v>
      </c>
      <c r="H23" s="9" t="s">
        <v>21</v>
      </c>
      <c r="I23" s="12"/>
      <c r="J23" s="12"/>
      <c r="K23" s="12"/>
      <c r="L23" s="12"/>
      <c r="M23" s="10">
        <f t="shared" si="1"/>
        <v>1</v>
      </c>
      <c r="N23" s="10">
        <f t="shared" si="2"/>
        <v>0</v>
      </c>
      <c r="O23" s="10">
        <f>IFERROR(__xludf.DUMMYFUNCTION("INT(FILTER(GT(F23,0),ISNUMBER(F23)))"),1.0)</f>
        <v>1</v>
      </c>
      <c r="P23" s="10">
        <f t="shared" si="3"/>
        <v>1</v>
      </c>
      <c r="Q23" s="10">
        <f>IFERROR(__xludf.DUMMYFUNCTION("INT(FILTER(EQ(E23,F23),ISNUMBER(E23),ISNUMBER(F23)))"),1.0)</f>
        <v>1</v>
      </c>
    </row>
    <row r="24">
      <c r="A24" s="1" t="s">
        <v>110</v>
      </c>
      <c r="B24" s="7" t="s">
        <v>111</v>
      </c>
      <c r="C24" s="2" t="s">
        <v>112</v>
      </c>
      <c r="D24" s="7" t="s">
        <v>113</v>
      </c>
      <c r="E24" s="8">
        <f>sample_20250925!E24</f>
        <v>3</v>
      </c>
      <c r="F24" s="8">
        <v>1.0</v>
      </c>
      <c r="G24" s="8">
        <v>0.0</v>
      </c>
      <c r="H24" s="9" t="s">
        <v>21</v>
      </c>
      <c r="I24" s="12"/>
      <c r="J24" s="12"/>
      <c r="K24" s="12"/>
      <c r="L24" s="12"/>
      <c r="M24" s="10">
        <f t="shared" si="1"/>
        <v>0.3333333333</v>
      </c>
      <c r="N24" s="10">
        <f t="shared" si="2"/>
        <v>0</v>
      </c>
      <c r="O24" s="10">
        <f>IFERROR(__xludf.DUMMYFUNCTION("INT(FILTER(GT(F24,0),ISNUMBER(F24)))"),1.0)</f>
        <v>1</v>
      </c>
      <c r="P24" s="10">
        <f t="shared" si="3"/>
        <v>1</v>
      </c>
      <c r="Q24" s="10">
        <f>IFERROR(__xludf.DUMMYFUNCTION("INT(FILTER(EQ(E24,F24),ISNUMBER(E24),ISNUMBER(F24)))"),0.0)</f>
        <v>0</v>
      </c>
    </row>
    <row r="25">
      <c r="A25" s="1" t="s">
        <v>114</v>
      </c>
      <c r="B25" s="7" t="s">
        <v>115</v>
      </c>
      <c r="C25" s="2" t="s">
        <v>116</v>
      </c>
      <c r="D25" s="7" t="s">
        <v>117</v>
      </c>
      <c r="E25" s="8">
        <f>sample_20250925!E25</f>
        <v>2</v>
      </c>
      <c r="F25" s="8">
        <v>1.0</v>
      </c>
      <c r="G25" s="8">
        <v>0.0</v>
      </c>
      <c r="H25" s="9" t="s">
        <v>21</v>
      </c>
      <c r="I25" s="12"/>
      <c r="J25" s="12"/>
      <c r="K25" s="12"/>
      <c r="L25" s="12"/>
      <c r="M25" s="10">
        <f t="shared" si="1"/>
        <v>0.5</v>
      </c>
      <c r="N25" s="10">
        <f t="shared" si="2"/>
        <v>0</v>
      </c>
      <c r="O25" s="10">
        <f>IFERROR(__xludf.DUMMYFUNCTION("INT(FILTER(GT(F25,0),ISNUMBER(F25)))"),1.0)</f>
        <v>1</v>
      </c>
      <c r="P25" s="10">
        <f t="shared" si="3"/>
        <v>1</v>
      </c>
      <c r="Q25" s="10">
        <f>IFERROR(__xludf.DUMMYFUNCTION("INT(FILTER(EQ(E25,F25),ISNUMBER(E25),ISNUMBER(F25)))"),0.0)</f>
        <v>0</v>
      </c>
    </row>
    <row r="26">
      <c r="A26" s="1" t="s">
        <v>118</v>
      </c>
      <c r="B26" s="7" t="s">
        <v>119</v>
      </c>
      <c r="C26" s="2" t="s">
        <v>120</v>
      </c>
      <c r="D26" s="7" t="s">
        <v>121</v>
      </c>
      <c r="E26" s="8">
        <f>sample_20250925!E26</f>
        <v>2</v>
      </c>
      <c r="F26" s="8">
        <v>1.0</v>
      </c>
      <c r="G26" s="8">
        <v>0.0</v>
      </c>
      <c r="H26" s="9" t="s">
        <v>21</v>
      </c>
      <c r="I26" s="12"/>
      <c r="J26" s="12"/>
      <c r="K26" s="12"/>
      <c r="L26" s="12"/>
      <c r="M26" s="10">
        <f t="shared" si="1"/>
        <v>0.5</v>
      </c>
      <c r="N26" s="10">
        <f t="shared" si="2"/>
        <v>0</v>
      </c>
      <c r="O26" s="10">
        <f>IFERROR(__xludf.DUMMYFUNCTION("INT(FILTER(GT(F26,0),ISNUMBER(F26)))"),1.0)</f>
        <v>1</v>
      </c>
      <c r="P26" s="10">
        <f t="shared" si="3"/>
        <v>1</v>
      </c>
      <c r="Q26" s="10">
        <f>IFERROR(__xludf.DUMMYFUNCTION("INT(FILTER(EQ(E26,F26),ISNUMBER(E26),ISNUMBER(F26)))"),0.0)</f>
        <v>0</v>
      </c>
    </row>
    <row r="27">
      <c r="A27" s="1" t="s">
        <v>122</v>
      </c>
      <c r="B27" s="7" t="s">
        <v>123</v>
      </c>
      <c r="C27" s="2" t="s">
        <v>124</v>
      </c>
      <c r="D27" s="1" t="s">
        <v>125</v>
      </c>
      <c r="E27" s="8">
        <f>sample_20250925!E27</f>
        <v>2</v>
      </c>
      <c r="F27" s="8">
        <f>IF(sample_20250925!$C27=C27,sample_20250925!F27, NA())</f>
        <v>1</v>
      </c>
      <c r="G27" s="8">
        <f>IF(sample_20250925!$C27=$C27,sample_20250925!G27, NA())</f>
        <v>0</v>
      </c>
      <c r="H27" s="9" t="s">
        <v>21</v>
      </c>
      <c r="I27" s="12"/>
      <c r="J27" s="12"/>
      <c r="K27" s="12"/>
      <c r="L27" s="12"/>
      <c r="M27" s="10">
        <f t="shared" si="1"/>
        <v>0.5</v>
      </c>
      <c r="N27" s="10">
        <f t="shared" si="2"/>
        <v>0</v>
      </c>
      <c r="O27" s="10">
        <f>IFERROR(__xludf.DUMMYFUNCTION("INT(FILTER(GT(F27,0),ISNUMBER(F27)))"),1.0)</f>
        <v>1</v>
      </c>
      <c r="P27" s="10">
        <f t="shared" si="3"/>
        <v>1</v>
      </c>
      <c r="Q27" s="10">
        <f>IFERROR(__xludf.DUMMYFUNCTION("INT(FILTER(EQ(E27,F27),ISNUMBER(E27),ISNUMBER(F27)))"),0.0)</f>
        <v>0</v>
      </c>
    </row>
    <row r="28">
      <c r="A28" s="1" t="s">
        <v>126</v>
      </c>
      <c r="B28" s="7" t="s">
        <v>127</v>
      </c>
      <c r="C28" s="2" t="s">
        <v>128</v>
      </c>
      <c r="D28" s="1" t="s">
        <v>129</v>
      </c>
      <c r="E28" s="8">
        <f>sample_20250925!E28</f>
        <v>2</v>
      </c>
      <c r="F28" s="8">
        <v>2.0</v>
      </c>
      <c r="G28" s="8">
        <v>0.0</v>
      </c>
      <c r="H28" s="9" t="s">
        <v>21</v>
      </c>
      <c r="I28" s="12"/>
      <c r="J28" s="12"/>
      <c r="K28" s="12"/>
      <c r="L28" s="12"/>
      <c r="M28" s="10">
        <f t="shared" si="1"/>
        <v>1</v>
      </c>
      <c r="N28" s="10">
        <f t="shared" si="2"/>
        <v>0</v>
      </c>
      <c r="O28" s="10">
        <f>IFERROR(__xludf.DUMMYFUNCTION("INT(FILTER(GT(F28,0),ISNUMBER(F28)))"),1.0)</f>
        <v>1</v>
      </c>
      <c r="P28" s="10">
        <f t="shared" si="3"/>
        <v>1</v>
      </c>
      <c r="Q28" s="10">
        <f>IFERROR(__xludf.DUMMYFUNCTION("INT(FILTER(EQ(E28,F28),ISNUMBER(E28),ISNUMBER(F28)))"),1.0)</f>
        <v>1</v>
      </c>
    </row>
    <row r="29">
      <c r="A29" s="1" t="s">
        <v>130</v>
      </c>
      <c r="B29" s="7" t="s">
        <v>131</v>
      </c>
      <c r="C29" s="2" t="s">
        <v>132</v>
      </c>
      <c r="D29" s="1" t="s">
        <v>133</v>
      </c>
      <c r="E29" s="8">
        <f>sample_20250925!E29</f>
        <v>2</v>
      </c>
      <c r="F29" s="8">
        <f>IF(sample_20250925!$C29=C29,sample_20250925!F29, NA())</f>
        <v>2</v>
      </c>
      <c r="G29" s="8">
        <f>IF(sample_20250925!$C29=$C29,sample_20250925!G29, NA())</f>
        <v>0</v>
      </c>
      <c r="H29" s="9" t="s">
        <v>21</v>
      </c>
      <c r="I29" s="12"/>
      <c r="J29" s="12"/>
      <c r="K29" s="12"/>
      <c r="L29" s="12"/>
      <c r="M29" s="10">
        <f t="shared" si="1"/>
        <v>1</v>
      </c>
      <c r="N29" s="10">
        <f t="shared" si="2"/>
        <v>0</v>
      </c>
      <c r="O29" s="10">
        <f>IFERROR(__xludf.DUMMYFUNCTION("INT(FILTER(GT(F29,0),ISNUMBER(F29)))"),1.0)</f>
        <v>1</v>
      </c>
      <c r="P29" s="10">
        <f t="shared" si="3"/>
        <v>1</v>
      </c>
      <c r="Q29" s="10">
        <f>IFERROR(__xludf.DUMMYFUNCTION("INT(FILTER(EQ(E29,F29),ISNUMBER(E29),ISNUMBER(F29)))"),1.0)</f>
        <v>1</v>
      </c>
    </row>
    <row r="30">
      <c r="A30" s="1" t="s">
        <v>134</v>
      </c>
      <c r="B30" s="7" t="s">
        <v>135</v>
      </c>
      <c r="C30" s="2" t="s">
        <v>136</v>
      </c>
      <c r="D30" s="7" t="s">
        <v>137</v>
      </c>
      <c r="E30" s="8">
        <f>sample_20250925!E30</f>
        <v>2</v>
      </c>
      <c r="F30" s="8">
        <v>1.0</v>
      </c>
      <c r="G30" s="8">
        <v>0.0</v>
      </c>
      <c r="H30" s="9" t="s">
        <v>21</v>
      </c>
      <c r="I30" s="12"/>
      <c r="J30" s="12"/>
      <c r="K30" s="12"/>
      <c r="L30" s="12"/>
      <c r="M30" s="10">
        <f t="shared" si="1"/>
        <v>0.5</v>
      </c>
      <c r="N30" s="10">
        <f t="shared" si="2"/>
        <v>0</v>
      </c>
      <c r="O30" s="10">
        <f>IFERROR(__xludf.DUMMYFUNCTION("INT(FILTER(GT(F30,0),ISNUMBER(F30)))"),1.0)</f>
        <v>1</v>
      </c>
      <c r="P30" s="10">
        <f t="shared" si="3"/>
        <v>1</v>
      </c>
      <c r="Q30" s="10">
        <f>IFERROR(__xludf.DUMMYFUNCTION("INT(FILTER(EQ(E30,F30),ISNUMBER(E30),ISNUMBER(F30)))"),0.0)</f>
        <v>0</v>
      </c>
    </row>
    <row r="31">
      <c r="A31" s="1" t="s">
        <v>138</v>
      </c>
      <c r="B31" s="7" t="s">
        <v>139</v>
      </c>
      <c r="C31" s="2" t="s">
        <v>140</v>
      </c>
      <c r="D31" s="7" t="s">
        <v>141</v>
      </c>
      <c r="E31" s="8">
        <f>sample_20250925!E31</f>
        <v>1</v>
      </c>
      <c r="F31" s="8">
        <f>IF(sample_20250925!$C31=C31,sample_20250925!F31, NA())</f>
        <v>1</v>
      </c>
      <c r="G31" s="8">
        <f>IF(sample_20250925!$C31=$C31,sample_20250925!G31, NA())</f>
        <v>0</v>
      </c>
      <c r="H31" s="9" t="s">
        <v>21</v>
      </c>
      <c r="I31" s="12"/>
      <c r="J31" s="12"/>
      <c r="K31" s="12"/>
      <c r="L31" s="12"/>
      <c r="M31" s="10">
        <f t="shared" si="1"/>
        <v>1</v>
      </c>
      <c r="N31" s="10">
        <f t="shared" si="2"/>
        <v>0</v>
      </c>
      <c r="O31" s="10">
        <f>IFERROR(__xludf.DUMMYFUNCTION("INT(FILTER(GT(F31,0),ISNUMBER(F31)))"),1.0)</f>
        <v>1</v>
      </c>
      <c r="P31" s="10">
        <f t="shared" si="3"/>
        <v>1</v>
      </c>
      <c r="Q31" s="10">
        <f>IFERROR(__xludf.DUMMYFUNCTION("INT(FILTER(EQ(E31,F31),ISNUMBER(E31),ISNUMBER(F31)))"),1.0)</f>
        <v>1</v>
      </c>
    </row>
    <row r="32">
      <c r="A32" s="1" t="s">
        <v>142</v>
      </c>
      <c r="B32" s="7" t="s">
        <v>143</v>
      </c>
      <c r="C32" s="2" t="s">
        <v>144</v>
      </c>
      <c r="D32" s="7" t="s">
        <v>145</v>
      </c>
      <c r="E32" s="8">
        <f>sample_20250925!E32</f>
        <v>1</v>
      </c>
      <c r="F32" s="8">
        <f>IF(sample_20250925!$C32=C32,sample_20250925!F32, NA())</f>
        <v>1</v>
      </c>
      <c r="G32" s="8">
        <f>IF(sample_20250925!$C32=$C32,sample_20250925!G32, NA())</f>
        <v>0</v>
      </c>
      <c r="H32" s="9" t="s">
        <v>21</v>
      </c>
      <c r="I32" s="12"/>
      <c r="J32" s="12"/>
      <c r="K32" s="12"/>
      <c r="L32" s="12"/>
      <c r="M32" s="10">
        <f t="shared" si="1"/>
        <v>1</v>
      </c>
      <c r="N32" s="10">
        <f t="shared" si="2"/>
        <v>0</v>
      </c>
      <c r="O32" s="10">
        <f>IFERROR(__xludf.DUMMYFUNCTION("INT(FILTER(GT(F32,0),ISNUMBER(F32)))"),1.0)</f>
        <v>1</v>
      </c>
      <c r="P32" s="10">
        <f t="shared" si="3"/>
        <v>1</v>
      </c>
      <c r="Q32" s="10">
        <f>IFERROR(__xludf.DUMMYFUNCTION("INT(FILTER(EQ(E32,F32),ISNUMBER(E32),ISNUMBER(F32)))"),1.0)</f>
        <v>1</v>
      </c>
    </row>
    <row r="33">
      <c r="A33" s="1" t="s">
        <v>146</v>
      </c>
      <c r="B33" s="7" t="s">
        <v>147</v>
      </c>
      <c r="C33" s="2" t="s">
        <v>148</v>
      </c>
      <c r="D33" s="7" t="s">
        <v>149</v>
      </c>
      <c r="E33" s="8">
        <f>sample_20250925!E33</f>
        <v>1</v>
      </c>
      <c r="F33" s="8">
        <f>IF(sample_20250925!$C33=C33,sample_20250925!F33, NA())</f>
        <v>1</v>
      </c>
      <c r="G33" s="8">
        <f>IF(sample_20250925!$C33=$C33,sample_20250925!G33, NA())</f>
        <v>0</v>
      </c>
      <c r="H33" s="9" t="s">
        <v>21</v>
      </c>
      <c r="I33" s="12"/>
      <c r="J33" s="12"/>
      <c r="K33" s="12"/>
      <c r="L33" s="12"/>
      <c r="M33" s="10">
        <f t="shared" si="1"/>
        <v>1</v>
      </c>
      <c r="N33" s="10">
        <f t="shared" si="2"/>
        <v>0</v>
      </c>
      <c r="O33" s="10">
        <f>IFERROR(__xludf.DUMMYFUNCTION("INT(FILTER(GT(F33,0),ISNUMBER(F33)))"),1.0)</f>
        <v>1</v>
      </c>
      <c r="P33" s="10">
        <f t="shared" si="3"/>
        <v>1</v>
      </c>
      <c r="Q33" s="12"/>
    </row>
    <row r="34">
      <c r="A34" s="1" t="s">
        <v>150</v>
      </c>
      <c r="B34" s="7" t="s">
        <v>151</v>
      </c>
      <c r="C34" s="2" t="s">
        <v>152</v>
      </c>
      <c r="D34" s="1" t="s">
        <v>153</v>
      </c>
      <c r="E34" s="8">
        <f>sample_20250925!E34</f>
        <v>6</v>
      </c>
      <c r="F34" s="8">
        <v>4.0</v>
      </c>
      <c r="G34" s="8">
        <v>0.0</v>
      </c>
      <c r="H34" s="9" t="s">
        <v>21</v>
      </c>
      <c r="I34" s="12"/>
      <c r="J34" s="12"/>
      <c r="K34" s="12"/>
      <c r="L34" s="12"/>
      <c r="M34" s="10">
        <f t="shared" si="1"/>
        <v>0.6666666667</v>
      </c>
      <c r="N34" s="10">
        <f t="shared" si="2"/>
        <v>0</v>
      </c>
      <c r="O34" s="10">
        <f>IFERROR(__xludf.DUMMYFUNCTION("INT(FILTER(GT(F34,0),ISNUMBER(F34)))"),1.0)</f>
        <v>1</v>
      </c>
      <c r="P34" s="10">
        <f t="shared" si="3"/>
        <v>1</v>
      </c>
      <c r="Q34" s="10">
        <f>IFERROR(__xludf.DUMMYFUNCTION("INT(FILTER(EQ(E34,F34),ISNUMBER(E34),ISNUMBER(F34)))"),0.0)</f>
        <v>0</v>
      </c>
    </row>
    <row r="35">
      <c r="A35" s="1" t="s">
        <v>154</v>
      </c>
      <c r="B35" s="7" t="s">
        <v>155</v>
      </c>
      <c r="C35" s="2" t="s">
        <v>156</v>
      </c>
      <c r="D35" s="1" t="s">
        <v>157</v>
      </c>
      <c r="E35" s="8">
        <f>sample_20250925!E35</f>
        <v>3</v>
      </c>
      <c r="F35" s="8">
        <v>2.0</v>
      </c>
      <c r="G35" s="8">
        <v>0.0</v>
      </c>
      <c r="H35" s="9" t="s">
        <v>21</v>
      </c>
      <c r="I35" s="12"/>
      <c r="J35" s="12"/>
      <c r="K35" s="12"/>
      <c r="L35" s="12"/>
      <c r="M35" s="10">
        <f t="shared" si="1"/>
        <v>0.6666666667</v>
      </c>
      <c r="N35" s="10">
        <f t="shared" si="2"/>
        <v>0</v>
      </c>
      <c r="O35" s="10">
        <f>IFERROR(__xludf.DUMMYFUNCTION("INT(FILTER(GT(F35,0),ISNUMBER(F35)))"),1.0)</f>
        <v>1</v>
      </c>
      <c r="P35" s="10">
        <f t="shared" si="3"/>
        <v>1</v>
      </c>
      <c r="Q35" s="10">
        <f>IFERROR(__xludf.DUMMYFUNCTION("INT(FILTER(EQ(E35,F35),ISNUMBER(E35),ISNUMBER(F35)))"),0.0)</f>
        <v>0</v>
      </c>
    </row>
    <row r="36">
      <c r="A36" s="1" t="s">
        <v>158</v>
      </c>
      <c r="B36" s="7" t="s">
        <v>159</v>
      </c>
      <c r="C36" s="2" t="s">
        <v>160</v>
      </c>
      <c r="D36" s="1" t="s">
        <v>161</v>
      </c>
      <c r="E36" s="8">
        <f>sample_20250925!E36</f>
        <v>2</v>
      </c>
      <c r="F36" s="8">
        <f>IF(sample_20250925!$C36=C36,sample_20250925!F36, NA())</f>
        <v>2</v>
      </c>
      <c r="G36" s="8">
        <f>IF(sample_20250925!$C36=$C36,sample_20250925!G36, NA())</f>
        <v>0</v>
      </c>
      <c r="H36" s="9" t="s">
        <v>21</v>
      </c>
      <c r="I36" s="12"/>
      <c r="J36" s="12"/>
      <c r="K36" s="12"/>
      <c r="L36" s="12"/>
      <c r="M36" s="10">
        <f t="shared" si="1"/>
        <v>1</v>
      </c>
      <c r="N36" s="10">
        <f t="shared" si="2"/>
        <v>0</v>
      </c>
      <c r="O36" s="10">
        <f>IFERROR(__xludf.DUMMYFUNCTION("INT(FILTER(GT(F36,0),ISNUMBER(F36)))"),1.0)</f>
        <v>1</v>
      </c>
      <c r="P36" s="10">
        <f t="shared" si="3"/>
        <v>1</v>
      </c>
      <c r="Q36" s="10">
        <f>IFERROR(__xludf.DUMMYFUNCTION("INT(FILTER(EQ(E36,F36),ISNUMBER(E36),ISNUMBER(F36)))"),1.0)</f>
        <v>1</v>
      </c>
    </row>
    <row r="37">
      <c r="A37" s="1" t="s">
        <v>162</v>
      </c>
      <c r="B37" s="7" t="s">
        <v>163</v>
      </c>
      <c r="C37" s="2" t="s">
        <v>164</v>
      </c>
      <c r="D37" s="7" t="s">
        <v>165</v>
      </c>
      <c r="E37" s="8">
        <f>sample_20250925!E37</f>
        <v>1</v>
      </c>
      <c r="F37" s="8">
        <f>IF(sample_20250925!$C37=C37,sample_20250925!F37, NA())</f>
        <v>1</v>
      </c>
      <c r="G37" s="8">
        <f>IF(sample_20250925!$C37=$C37,sample_20250925!G37, NA())</f>
        <v>0</v>
      </c>
      <c r="H37" s="9" t="s">
        <v>21</v>
      </c>
      <c r="I37" s="12"/>
      <c r="J37" s="12"/>
      <c r="K37" s="12"/>
      <c r="L37" s="12"/>
      <c r="M37" s="10">
        <f t="shared" si="1"/>
        <v>1</v>
      </c>
      <c r="N37" s="10">
        <f t="shared" si="2"/>
        <v>0</v>
      </c>
      <c r="O37" s="10">
        <f>IFERROR(__xludf.DUMMYFUNCTION("INT(FILTER(GT(F37,0),ISNUMBER(F37)))"),1.0)</f>
        <v>1</v>
      </c>
      <c r="P37" s="10">
        <f t="shared" si="3"/>
        <v>1</v>
      </c>
      <c r="Q37" s="10">
        <f>IFERROR(__xludf.DUMMYFUNCTION("INT(FILTER(EQ(E37,F37),ISNUMBER(E37),ISNUMBER(F37)))"),1.0)</f>
        <v>1</v>
      </c>
    </row>
    <row r="38">
      <c r="A38" s="1" t="s">
        <v>166</v>
      </c>
      <c r="B38" s="7" t="s">
        <v>167</v>
      </c>
      <c r="C38" s="2" t="s">
        <v>168</v>
      </c>
      <c r="D38" s="7" t="s">
        <v>169</v>
      </c>
      <c r="E38" s="8">
        <f>sample_20250925!E38</f>
        <v>2</v>
      </c>
      <c r="F38" s="8">
        <v>1.0</v>
      </c>
      <c r="G38" s="8">
        <v>0.0</v>
      </c>
      <c r="H38" s="9" t="s">
        <v>21</v>
      </c>
      <c r="I38" s="12"/>
      <c r="J38" s="12"/>
      <c r="K38" s="12"/>
      <c r="L38" s="12"/>
      <c r="M38" s="10">
        <f t="shared" si="1"/>
        <v>0.5</v>
      </c>
      <c r="N38" s="10">
        <f t="shared" si="2"/>
        <v>0</v>
      </c>
      <c r="O38" s="10">
        <f>IFERROR(__xludf.DUMMYFUNCTION("INT(FILTER(GT(F38,0),ISNUMBER(F38)))"),1.0)</f>
        <v>1</v>
      </c>
      <c r="P38" s="10">
        <f t="shared" si="3"/>
        <v>1</v>
      </c>
      <c r="Q38" s="10">
        <f>IFERROR(__xludf.DUMMYFUNCTION("INT(FILTER(EQ(E38,F38),ISNUMBER(E38),ISNUMBER(F38)))"),0.0)</f>
        <v>0</v>
      </c>
    </row>
    <row r="39">
      <c r="A39" s="1" t="s">
        <v>170</v>
      </c>
      <c r="B39" s="7" t="s">
        <v>171</v>
      </c>
      <c r="C39" s="2" t="s">
        <v>172</v>
      </c>
      <c r="D39" s="7" t="s">
        <v>173</v>
      </c>
      <c r="E39" s="8">
        <v>2.0</v>
      </c>
      <c r="F39" s="8">
        <f>IF(sample_20250925!$C39=C39,sample_20250925!F39, NA())</f>
        <v>1</v>
      </c>
      <c r="G39" s="8">
        <f>IF(sample_20250925!$C39=$C39,sample_20250925!G39, NA())</f>
        <v>0</v>
      </c>
      <c r="H39" s="9" t="s">
        <v>21</v>
      </c>
      <c r="I39" s="12"/>
      <c r="J39" s="12"/>
      <c r="K39" s="12"/>
      <c r="L39" s="12"/>
      <c r="M39" s="10">
        <f t="shared" si="1"/>
        <v>0.5</v>
      </c>
      <c r="N39" s="10">
        <f t="shared" si="2"/>
        <v>0</v>
      </c>
      <c r="O39" s="10">
        <f>IFERROR(__xludf.DUMMYFUNCTION("INT(FILTER(GT(F39,0),ISNUMBER(F39)))"),1.0)</f>
        <v>1</v>
      </c>
      <c r="P39" s="10">
        <f t="shared" si="3"/>
        <v>1</v>
      </c>
      <c r="Q39" s="10">
        <f>IFERROR(__xludf.DUMMYFUNCTION("INT(FILTER(EQ(E39,F39),ISNUMBER(E39),ISNUMBER(F39)))"),0.0)</f>
        <v>0</v>
      </c>
    </row>
    <row r="40">
      <c r="A40" s="1" t="s">
        <v>174</v>
      </c>
      <c r="B40" s="7" t="s">
        <v>175</v>
      </c>
      <c r="C40" s="2" t="s">
        <v>176</v>
      </c>
      <c r="D40" s="7" t="s">
        <v>177</v>
      </c>
      <c r="E40" s="8">
        <f>sample_20250925!E40</f>
        <v>1</v>
      </c>
      <c r="F40" s="8">
        <v>1.0</v>
      </c>
      <c r="G40" s="8">
        <v>0.0</v>
      </c>
      <c r="H40" s="9" t="s">
        <v>21</v>
      </c>
      <c r="I40" s="12"/>
      <c r="J40" s="12"/>
      <c r="K40" s="12"/>
      <c r="L40" s="12"/>
      <c r="M40" s="10">
        <f t="shared" si="1"/>
        <v>1</v>
      </c>
      <c r="N40" s="10">
        <f t="shared" si="2"/>
        <v>0</v>
      </c>
      <c r="O40" s="10">
        <f>IFERROR(__xludf.DUMMYFUNCTION("INT(FILTER(GT(F40,0),ISNUMBER(F40)))"),1.0)</f>
        <v>1</v>
      </c>
      <c r="P40" s="10">
        <f t="shared" si="3"/>
        <v>1</v>
      </c>
      <c r="Q40" s="10">
        <f>IFERROR(__xludf.DUMMYFUNCTION("INT(FILTER(EQ(E40,F40),ISNUMBER(E40),ISNUMBER(F40)))"),1.0)</f>
        <v>1</v>
      </c>
    </row>
    <row r="41">
      <c r="A41" s="1" t="s">
        <v>178</v>
      </c>
      <c r="B41" s="7" t="s">
        <v>179</v>
      </c>
      <c r="C41" s="2" t="s">
        <v>180</v>
      </c>
      <c r="D41" s="1" t="s">
        <v>181</v>
      </c>
      <c r="E41" s="8">
        <f>sample_20250925!E41</f>
        <v>1</v>
      </c>
      <c r="F41" s="8">
        <f>IF(sample_20250925!$C41=C41,sample_20250925!F41, NA())</f>
        <v>1</v>
      </c>
      <c r="G41" s="8">
        <f>IF(sample_20250925!$C41=$C41,sample_20250925!G41, NA())</f>
        <v>0</v>
      </c>
      <c r="H41" s="9" t="s">
        <v>21</v>
      </c>
      <c r="I41" s="12"/>
      <c r="J41" s="12"/>
      <c r="K41" s="12"/>
      <c r="L41" s="12"/>
      <c r="M41" s="10">
        <f t="shared" si="1"/>
        <v>1</v>
      </c>
      <c r="N41" s="10">
        <f t="shared" si="2"/>
        <v>0</v>
      </c>
      <c r="O41" s="10">
        <f>IFERROR(__xludf.DUMMYFUNCTION("INT(FILTER(GT(F41,0),ISNUMBER(F41)))"),1.0)</f>
        <v>1</v>
      </c>
      <c r="P41" s="10">
        <f t="shared" si="3"/>
        <v>1</v>
      </c>
      <c r="Q41" s="10">
        <f>IFERROR(__xludf.DUMMYFUNCTION("INT(FILTER(EQ(E41,F41),ISNUMBER(E41),ISNUMBER(F41)))"),1.0)</f>
        <v>1</v>
      </c>
    </row>
    <row r="42">
      <c r="A42" s="1" t="s">
        <v>182</v>
      </c>
      <c r="B42" s="7" t="s">
        <v>183</v>
      </c>
      <c r="C42" s="2" t="s">
        <v>184</v>
      </c>
      <c r="D42" s="7" t="s">
        <v>185</v>
      </c>
      <c r="E42" s="8">
        <f>sample_20250925!E42</f>
        <v>1</v>
      </c>
      <c r="F42" s="8">
        <f>IF(sample_20250925!$C42=C42,sample_20250925!F42, NA())</f>
        <v>1</v>
      </c>
      <c r="G42" s="8">
        <f>IF(sample_20250925!$C42=$C42,sample_20250925!G42, NA())</f>
        <v>0</v>
      </c>
      <c r="H42" s="9" t="s">
        <v>21</v>
      </c>
      <c r="I42" s="12"/>
      <c r="J42" s="12"/>
      <c r="K42" s="12"/>
      <c r="L42" s="12"/>
      <c r="M42" s="10">
        <f t="shared" si="1"/>
        <v>1</v>
      </c>
      <c r="N42" s="10">
        <f t="shared" si="2"/>
        <v>0</v>
      </c>
      <c r="O42" s="10">
        <f>IFERROR(__xludf.DUMMYFUNCTION("INT(FILTER(GT(F42,0),ISNUMBER(F42)))"),1.0)</f>
        <v>1</v>
      </c>
      <c r="P42" s="10">
        <f t="shared" si="3"/>
        <v>1</v>
      </c>
      <c r="Q42" s="10">
        <f>IFERROR(__xludf.DUMMYFUNCTION("INT(FILTER(EQ(E42,F42),ISNUMBER(E42),ISNUMBER(F42)))"),1.0)</f>
        <v>1</v>
      </c>
    </row>
    <row r="43">
      <c r="A43" s="1" t="s">
        <v>186</v>
      </c>
      <c r="B43" s="7" t="s">
        <v>187</v>
      </c>
      <c r="C43" s="2" t="s">
        <v>188</v>
      </c>
      <c r="D43" s="1" t="s">
        <v>189</v>
      </c>
      <c r="E43" s="8">
        <f>sample_20250925!E43</f>
        <v>3</v>
      </c>
      <c r="F43" s="8">
        <f>IF(sample_20250925!$C43=C43,sample_20250925!F43, NA())</f>
        <v>3</v>
      </c>
      <c r="G43" s="8">
        <f>IF(sample_20250925!$C43=$C43,sample_20250925!G43, NA())</f>
        <v>0</v>
      </c>
      <c r="H43" s="9" t="s">
        <v>21</v>
      </c>
      <c r="I43" s="12"/>
      <c r="J43" s="12"/>
      <c r="K43" s="12"/>
      <c r="L43" s="12"/>
      <c r="M43" s="10">
        <f t="shared" si="1"/>
        <v>1</v>
      </c>
      <c r="N43" s="10">
        <f t="shared" si="2"/>
        <v>0</v>
      </c>
      <c r="O43" s="10">
        <f>IFERROR(__xludf.DUMMYFUNCTION("INT(FILTER(GT(F43,0),ISNUMBER(F43)))"),1.0)</f>
        <v>1</v>
      </c>
      <c r="P43" s="10">
        <f t="shared" si="3"/>
        <v>1</v>
      </c>
      <c r="Q43" s="10">
        <f>IFERROR(__xludf.DUMMYFUNCTION("INT(FILTER(EQ(E43,F43),ISNUMBER(E43),ISNUMBER(F43)))"),1.0)</f>
        <v>1</v>
      </c>
    </row>
    <row r="44">
      <c r="A44" s="1" t="s">
        <v>190</v>
      </c>
      <c r="B44" s="7" t="s">
        <v>191</v>
      </c>
      <c r="C44" s="2" t="s">
        <v>192</v>
      </c>
      <c r="D44" s="7" t="s">
        <v>193</v>
      </c>
      <c r="E44" s="8">
        <f>sample_20250925!E44</f>
        <v>2</v>
      </c>
      <c r="F44" s="8">
        <v>1.0</v>
      </c>
      <c r="G44" s="8">
        <v>0.0</v>
      </c>
      <c r="H44" s="9" t="s">
        <v>21</v>
      </c>
      <c r="I44" s="12"/>
      <c r="J44" s="12"/>
      <c r="K44" s="12"/>
      <c r="L44" s="12"/>
      <c r="M44" s="10">
        <f t="shared" si="1"/>
        <v>0.5</v>
      </c>
      <c r="N44" s="10">
        <f t="shared" si="2"/>
        <v>0</v>
      </c>
      <c r="O44" s="10">
        <f>IFERROR(__xludf.DUMMYFUNCTION("INT(FILTER(GT(F44,0),ISNUMBER(F44)))"),1.0)</f>
        <v>1</v>
      </c>
      <c r="P44" s="10">
        <f t="shared" si="3"/>
        <v>1</v>
      </c>
      <c r="Q44" s="12"/>
    </row>
    <row r="45">
      <c r="A45" s="1" t="s">
        <v>194</v>
      </c>
      <c r="B45" s="7" t="s">
        <v>195</v>
      </c>
      <c r="C45" s="2" t="s">
        <v>196</v>
      </c>
      <c r="D45" s="1" t="s">
        <v>197</v>
      </c>
      <c r="E45" s="8">
        <v>4.0</v>
      </c>
      <c r="F45" s="8">
        <v>2.0</v>
      </c>
      <c r="G45" s="8">
        <v>0.0</v>
      </c>
      <c r="H45" s="9" t="s">
        <v>21</v>
      </c>
      <c r="I45" s="12"/>
      <c r="J45" s="12"/>
      <c r="K45" s="12"/>
      <c r="L45" s="12"/>
      <c r="M45" s="10">
        <f t="shared" si="1"/>
        <v>0.5</v>
      </c>
      <c r="N45" s="10">
        <f t="shared" si="2"/>
        <v>0</v>
      </c>
      <c r="O45" s="10">
        <f>IFERROR(__xludf.DUMMYFUNCTION("INT(FILTER(GT(F45,0),ISNUMBER(F45)))"),1.0)</f>
        <v>1</v>
      </c>
      <c r="P45" s="10">
        <f t="shared" si="3"/>
        <v>1</v>
      </c>
      <c r="Q45" s="10">
        <f>IFERROR(__xludf.DUMMYFUNCTION("INT(FILTER(EQ(E45,F45),ISNUMBER(E45),ISNUMBER(F45)))"),0.0)</f>
        <v>0</v>
      </c>
    </row>
    <row r="46">
      <c r="A46" s="1" t="s">
        <v>198</v>
      </c>
      <c r="B46" s="7" t="s">
        <v>199</v>
      </c>
      <c r="C46" s="2" t="s">
        <v>200</v>
      </c>
      <c r="D46" s="1" t="s">
        <v>201</v>
      </c>
      <c r="E46" s="8">
        <v>3.0</v>
      </c>
      <c r="F46" s="8">
        <v>1.0</v>
      </c>
      <c r="G46" s="8">
        <v>1.0</v>
      </c>
      <c r="H46" s="9" t="s">
        <v>21</v>
      </c>
      <c r="I46" s="12"/>
      <c r="J46" s="12"/>
      <c r="K46" s="12"/>
      <c r="L46" s="12"/>
      <c r="M46" s="10">
        <f t="shared" si="1"/>
        <v>0.3333333333</v>
      </c>
      <c r="N46" s="10">
        <f t="shared" si="2"/>
        <v>0.3333333333</v>
      </c>
      <c r="O46" s="10">
        <f>IFERROR(__xludf.DUMMYFUNCTION("INT(FILTER(GT(F46,0),ISNUMBER(F46)))"),1.0)</f>
        <v>1</v>
      </c>
      <c r="P46" s="10">
        <f t="shared" si="3"/>
        <v>0.5</v>
      </c>
      <c r="Q46" s="10">
        <f>IFERROR(__xludf.DUMMYFUNCTION("INT(FILTER(EQ(E46,F46),ISNUMBER(E46),ISNUMBER(F46)))"),0.0)</f>
        <v>0</v>
      </c>
    </row>
    <row r="47">
      <c r="A47" s="1" t="s">
        <v>202</v>
      </c>
      <c r="B47" s="7" t="s">
        <v>203</v>
      </c>
      <c r="C47" s="2" t="s">
        <v>204</v>
      </c>
      <c r="D47" s="7" t="s">
        <v>205</v>
      </c>
      <c r="E47" s="8">
        <f>sample_20250925!E47</f>
        <v>1</v>
      </c>
      <c r="F47" s="8">
        <f>IF(sample_20250925!$C47=C47,sample_20250925!F47, NA())</f>
        <v>1</v>
      </c>
      <c r="G47" s="8">
        <f>IF(sample_20250925!$C47=$C47,sample_20250925!G47, NA())</f>
        <v>0</v>
      </c>
      <c r="H47" s="9" t="s">
        <v>21</v>
      </c>
      <c r="I47" s="12"/>
      <c r="J47" s="12"/>
      <c r="K47" s="12"/>
      <c r="L47" s="12"/>
      <c r="M47" s="10">
        <f t="shared" si="1"/>
        <v>1</v>
      </c>
      <c r="N47" s="10">
        <f t="shared" si="2"/>
        <v>0</v>
      </c>
      <c r="O47" s="10">
        <f>IFERROR(__xludf.DUMMYFUNCTION("INT(FILTER(GT(F47,0),ISNUMBER(F47)))"),1.0)</f>
        <v>1</v>
      </c>
      <c r="P47" s="10">
        <f t="shared" si="3"/>
        <v>1</v>
      </c>
      <c r="Q47" s="10">
        <f>IFERROR(__xludf.DUMMYFUNCTION("INT(FILTER(EQ(E47,F47),ISNUMBER(E47),ISNUMBER(F47)))"),1.0)</f>
        <v>1</v>
      </c>
    </row>
    <row r="48">
      <c r="A48" s="1" t="s">
        <v>206</v>
      </c>
      <c r="B48" s="7" t="s">
        <v>207</v>
      </c>
      <c r="C48" s="2" t="s">
        <v>208</v>
      </c>
      <c r="D48" s="1" t="s">
        <v>209</v>
      </c>
      <c r="E48" s="8">
        <f>sample_20250925!E48</f>
        <v>2</v>
      </c>
      <c r="F48" s="8">
        <v>2.0</v>
      </c>
      <c r="G48" s="8">
        <v>0.0</v>
      </c>
      <c r="H48" s="9" t="s">
        <v>21</v>
      </c>
      <c r="I48" s="12"/>
      <c r="J48" s="12"/>
      <c r="K48" s="12"/>
      <c r="L48" s="12"/>
      <c r="M48" s="10">
        <f t="shared" si="1"/>
        <v>1</v>
      </c>
      <c r="N48" s="10">
        <f t="shared" si="2"/>
        <v>0</v>
      </c>
      <c r="O48" s="10">
        <f>IFERROR(__xludf.DUMMYFUNCTION("INT(FILTER(GT(F48,0),ISNUMBER(F48)))"),1.0)</f>
        <v>1</v>
      </c>
      <c r="P48" s="10">
        <f t="shared" si="3"/>
        <v>1</v>
      </c>
      <c r="Q48" s="10">
        <f>IFERROR(__xludf.DUMMYFUNCTION("INT(FILTER(EQ(E48,F48),ISNUMBER(E48),ISNUMBER(F48)))"),1.0)</f>
        <v>1</v>
      </c>
    </row>
    <row r="49">
      <c r="A49" s="1" t="s">
        <v>210</v>
      </c>
      <c r="B49" s="7" t="s">
        <v>211</v>
      </c>
      <c r="C49" s="2" t="s">
        <v>212</v>
      </c>
      <c r="D49" s="1" t="s">
        <v>213</v>
      </c>
      <c r="E49" s="8">
        <f>sample_20250925!E49</f>
        <v>4</v>
      </c>
      <c r="F49" s="8">
        <f>IF(sample_20250925!$C49=C49,sample_20250925!F49, NA())</f>
        <v>4</v>
      </c>
      <c r="G49" s="8">
        <f>IF(sample_20250925!$C49=$C49,sample_20250925!G49, NA())</f>
        <v>0</v>
      </c>
      <c r="H49" s="9" t="s">
        <v>21</v>
      </c>
      <c r="I49" s="12"/>
      <c r="J49" s="12"/>
      <c r="K49" s="12"/>
      <c r="L49" s="12"/>
      <c r="M49" s="10">
        <f t="shared" si="1"/>
        <v>1</v>
      </c>
      <c r="N49" s="10">
        <f t="shared" si="2"/>
        <v>0</v>
      </c>
      <c r="O49" s="10">
        <f>IFERROR(__xludf.DUMMYFUNCTION("INT(FILTER(GT(F49,0),ISNUMBER(F49)))"),1.0)</f>
        <v>1</v>
      </c>
      <c r="P49" s="10">
        <f t="shared" si="3"/>
        <v>1</v>
      </c>
      <c r="Q49" s="10">
        <f>IFERROR(__xludf.DUMMYFUNCTION("INT(FILTER(EQ(E49,F49),ISNUMBER(E49),ISNUMBER(F49)))"),1.0)</f>
        <v>1</v>
      </c>
    </row>
    <row r="50">
      <c r="A50" s="1" t="s">
        <v>214</v>
      </c>
      <c r="B50" s="7" t="s">
        <v>215</v>
      </c>
      <c r="C50" s="2" t="s">
        <v>172</v>
      </c>
      <c r="D50" s="7" t="s">
        <v>173</v>
      </c>
      <c r="E50" s="8">
        <f>sample_20250925!E50</f>
        <v>2</v>
      </c>
      <c r="F50" s="8">
        <f>IF(sample_20250925!$C50=C50,sample_20250925!F50, NA())</f>
        <v>1</v>
      </c>
      <c r="G50" s="8">
        <f>IF(sample_20250925!$C50=$C50,sample_20250925!G50, NA())</f>
        <v>0</v>
      </c>
      <c r="H50" s="9" t="s">
        <v>21</v>
      </c>
      <c r="I50" s="12"/>
      <c r="J50" s="12"/>
      <c r="K50" s="12"/>
      <c r="L50" s="12"/>
      <c r="M50" s="10">
        <f t="shared" si="1"/>
        <v>0.5</v>
      </c>
      <c r="N50" s="10">
        <f t="shared" si="2"/>
        <v>0</v>
      </c>
      <c r="O50" s="10">
        <f>IFERROR(__xludf.DUMMYFUNCTION("INT(FILTER(GT(F50,0),ISNUMBER(F50)))"),1.0)</f>
        <v>1</v>
      </c>
      <c r="P50" s="10">
        <f t="shared" si="3"/>
        <v>1</v>
      </c>
      <c r="Q50" s="10">
        <f>IFERROR(__xludf.DUMMYFUNCTION("INT(FILTER(EQ(E50,F50),ISNUMBER(E50),ISNUMBER(F50)))"),0.0)</f>
        <v>0</v>
      </c>
    </row>
    <row r="51">
      <c r="A51" s="1" t="s">
        <v>216</v>
      </c>
      <c r="B51" s="7" t="s">
        <v>217</v>
      </c>
      <c r="C51" s="2" t="s">
        <v>218</v>
      </c>
      <c r="D51" s="1" t="s">
        <v>219</v>
      </c>
      <c r="E51" s="8">
        <f>sample_20250925!E51</f>
        <v>2</v>
      </c>
      <c r="F51" s="8">
        <v>1.0</v>
      </c>
      <c r="G51" s="8">
        <v>1.0</v>
      </c>
      <c r="H51" s="9" t="s">
        <v>21</v>
      </c>
      <c r="I51" s="12"/>
      <c r="J51" s="12"/>
      <c r="K51" s="12"/>
      <c r="L51" s="12"/>
      <c r="M51" s="10">
        <f t="shared" si="1"/>
        <v>0.5</v>
      </c>
      <c r="N51" s="10">
        <f t="shared" si="2"/>
        <v>0.5</v>
      </c>
      <c r="O51" s="10">
        <f>IFERROR(__xludf.DUMMYFUNCTION("INT(FILTER(GT(F51,0),ISNUMBER(F51)))"),1.0)</f>
        <v>1</v>
      </c>
      <c r="P51" s="10">
        <f t="shared" si="3"/>
        <v>0.5</v>
      </c>
      <c r="Q51" s="10">
        <f>IFERROR(__xludf.DUMMYFUNCTION("INT(FILTER(EQ(E51,F51),ISNUMBER(E51),ISNUMBER(F51)))"),0.0)</f>
        <v>0</v>
      </c>
    </row>
    <row r="52">
      <c r="A52" s="1" t="s">
        <v>220</v>
      </c>
      <c r="B52" s="7" t="s">
        <v>221</v>
      </c>
      <c r="C52" s="2" t="s">
        <v>222</v>
      </c>
      <c r="D52" s="1" t="s">
        <v>223</v>
      </c>
      <c r="E52" s="8">
        <f>sample_20250925!E52</f>
        <v>4</v>
      </c>
      <c r="F52" s="8">
        <v>4.0</v>
      </c>
      <c r="G52" s="8">
        <v>0.0</v>
      </c>
      <c r="H52" s="9" t="s">
        <v>21</v>
      </c>
      <c r="I52" s="12"/>
      <c r="J52" s="12"/>
      <c r="K52" s="12"/>
      <c r="L52" s="12"/>
      <c r="M52" s="10">
        <f t="shared" si="1"/>
        <v>1</v>
      </c>
      <c r="N52" s="10">
        <f t="shared" si="2"/>
        <v>0</v>
      </c>
      <c r="O52" s="10">
        <f>IFERROR(__xludf.DUMMYFUNCTION("INT(FILTER(GT(F52,0),ISNUMBER(F52)))"),1.0)</f>
        <v>1</v>
      </c>
      <c r="P52" s="10">
        <f t="shared" si="3"/>
        <v>1</v>
      </c>
      <c r="Q52" s="10">
        <f>IFERROR(__xludf.DUMMYFUNCTION("INT(FILTER(EQ(E52,F52),ISNUMBER(E52),ISNUMBER(F52)))"),1.0)</f>
        <v>1</v>
      </c>
    </row>
    <row r="53">
      <c r="A53" s="1" t="s">
        <v>224</v>
      </c>
      <c r="B53" s="7" t="s">
        <v>225</v>
      </c>
      <c r="C53" s="2" t="s">
        <v>226</v>
      </c>
      <c r="D53" s="7" t="s">
        <v>227</v>
      </c>
      <c r="E53" s="8">
        <f>sample_20250925!E53</f>
        <v>7</v>
      </c>
      <c r="F53" s="8">
        <f>IF(sample_20250925!$C53=C53,sample_20250925!F53, NA())</f>
        <v>1</v>
      </c>
      <c r="G53" s="8">
        <f>IF(sample_20250925!$C53=$C53,sample_20250925!G53, NA())</f>
        <v>0</v>
      </c>
      <c r="H53" s="9" t="s">
        <v>21</v>
      </c>
      <c r="I53" s="12"/>
      <c r="J53" s="12"/>
      <c r="K53" s="12"/>
      <c r="L53" s="12"/>
      <c r="M53" s="10">
        <f t="shared" si="1"/>
        <v>0.1428571429</v>
      </c>
      <c r="N53" s="10">
        <f t="shared" si="2"/>
        <v>0</v>
      </c>
      <c r="O53" s="10">
        <f>IFERROR(__xludf.DUMMYFUNCTION("INT(FILTER(GT(F53,0),ISNUMBER(F53)))"),1.0)</f>
        <v>1</v>
      </c>
      <c r="P53" s="10">
        <f t="shared" si="3"/>
        <v>1</v>
      </c>
      <c r="Q53" s="10">
        <f>IFERROR(__xludf.DUMMYFUNCTION("INT(FILTER(EQ(E53,F53),ISNUMBER(E53),ISNUMBER(F53)))"),0.0)</f>
        <v>0</v>
      </c>
    </row>
    <row r="54">
      <c r="A54" s="1" t="s">
        <v>228</v>
      </c>
      <c r="B54" s="7" t="s">
        <v>229</v>
      </c>
      <c r="C54" s="2" t="s">
        <v>230</v>
      </c>
      <c r="D54" s="1" t="s">
        <v>231</v>
      </c>
      <c r="E54" s="8">
        <v>2.0</v>
      </c>
      <c r="F54" s="8">
        <v>2.0</v>
      </c>
      <c r="G54" s="8">
        <v>0.0</v>
      </c>
      <c r="H54" s="9" t="s">
        <v>21</v>
      </c>
      <c r="I54" s="12"/>
      <c r="J54" s="12"/>
      <c r="K54" s="12"/>
      <c r="L54" s="12"/>
      <c r="M54" s="10">
        <f t="shared" si="1"/>
        <v>1</v>
      </c>
      <c r="N54" s="10">
        <f t="shared" si="2"/>
        <v>0</v>
      </c>
      <c r="O54" s="10">
        <f>IFERROR(__xludf.DUMMYFUNCTION("INT(FILTER(GT(F54,0),ISNUMBER(F54)))"),1.0)</f>
        <v>1</v>
      </c>
      <c r="P54" s="10">
        <f t="shared" si="3"/>
        <v>1</v>
      </c>
      <c r="Q54" s="10">
        <f>IFERROR(__xludf.DUMMYFUNCTION("INT(FILTER(EQ(E54,F54),ISNUMBER(E54),ISNUMBER(F54)))"),1.0)</f>
        <v>1</v>
      </c>
    </row>
    <row r="55">
      <c r="A55" s="1" t="s">
        <v>232</v>
      </c>
      <c r="B55" s="7" t="s">
        <v>233</v>
      </c>
      <c r="C55" s="2" t="s">
        <v>234</v>
      </c>
      <c r="D55" s="1" t="s">
        <v>235</v>
      </c>
      <c r="E55" s="8">
        <f>sample_20250925!E55</f>
        <v>2</v>
      </c>
      <c r="F55" s="8">
        <f>IF(sample_20250925!$C55=C55,sample_20250925!F55, NA())</f>
        <v>2</v>
      </c>
      <c r="G55" s="8">
        <f>IF(sample_20250925!$C55=$C55,sample_20250925!G55, NA())</f>
        <v>0</v>
      </c>
      <c r="H55" s="9" t="s">
        <v>21</v>
      </c>
      <c r="I55" s="12"/>
      <c r="J55" s="12"/>
      <c r="K55" s="12"/>
      <c r="L55" s="12"/>
      <c r="M55" s="10">
        <f t="shared" si="1"/>
        <v>1</v>
      </c>
      <c r="N55" s="10">
        <f t="shared" si="2"/>
        <v>0</v>
      </c>
      <c r="O55" s="10">
        <f>IFERROR(__xludf.DUMMYFUNCTION("INT(FILTER(GT(F55,0),ISNUMBER(F55)))"),1.0)</f>
        <v>1</v>
      </c>
      <c r="P55" s="10">
        <f t="shared" si="3"/>
        <v>1</v>
      </c>
      <c r="Q55" s="12"/>
    </row>
    <row r="56">
      <c r="A56" s="1" t="s">
        <v>236</v>
      </c>
      <c r="B56" s="7" t="s">
        <v>237</v>
      </c>
      <c r="C56" s="2" t="s">
        <v>238</v>
      </c>
      <c r="D56" s="7" t="s">
        <v>239</v>
      </c>
      <c r="E56" s="8">
        <f>sample_20250925!E56</f>
        <v>1</v>
      </c>
      <c r="F56" s="8">
        <f>IF(sample_20250925!$C56=C56,sample_20250925!F56, NA())</f>
        <v>1</v>
      </c>
      <c r="G56" s="8">
        <f>IF(sample_20250925!$C56=$C56,sample_20250925!G56, NA())</f>
        <v>0</v>
      </c>
      <c r="H56" s="9" t="s">
        <v>21</v>
      </c>
      <c r="I56" s="12"/>
      <c r="J56" s="12"/>
      <c r="K56" s="12"/>
      <c r="L56" s="12"/>
      <c r="M56" s="10">
        <f t="shared" si="1"/>
        <v>1</v>
      </c>
      <c r="N56" s="10">
        <f t="shared" si="2"/>
        <v>0</v>
      </c>
      <c r="O56" s="10">
        <f>IFERROR(__xludf.DUMMYFUNCTION("INT(FILTER(GT(F56,0),ISNUMBER(F56)))"),1.0)</f>
        <v>1</v>
      </c>
      <c r="P56" s="10">
        <f t="shared" si="3"/>
        <v>1</v>
      </c>
      <c r="Q56" s="10">
        <f>IFERROR(__xludf.DUMMYFUNCTION("INT(FILTER(EQ(E56,F56),ISNUMBER(E56),ISNUMBER(F56)))"),1.0)</f>
        <v>1</v>
      </c>
    </row>
    <row r="57">
      <c r="A57" s="1" t="s">
        <v>240</v>
      </c>
      <c r="B57" s="7" t="s">
        <v>241</v>
      </c>
      <c r="C57" s="2" t="s">
        <v>242</v>
      </c>
      <c r="D57" s="7" t="s">
        <v>243</v>
      </c>
      <c r="E57" s="8">
        <f>sample_20250925!E57</f>
        <v>2</v>
      </c>
      <c r="F57" s="8">
        <f>IF(sample_20250925!$C57=C57,sample_20250925!F57, NA())</f>
        <v>1</v>
      </c>
      <c r="G57" s="8">
        <f>IF(sample_20250925!$C57=$C57,sample_20250925!G57, NA())</f>
        <v>0</v>
      </c>
      <c r="H57" s="9" t="s">
        <v>21</v>
      </c>
      <c r="I57" s="12"/>
      <c r="J57" s="12"/>
      <c r="K57" s="12"/>
      <c r="L57" s="12"/>
      <c r="M57" s="10">
        <f t="shared" si="1"/>
        <v>0.5</v>
      </c>
      <c r="N57" s="10">
        <f t="shared" si="2"/>
        <v>0</v>
      </c>
      <c r="O57" s="10">
        <f>IFERROR(__xludf.DUMMYFUNCTION("INT(FILTER(GT(F57,0),ISNUMBER(F57)))"),1.0)</f>
        <v>1</v>
      </c>
      <c r="P57" s="10">
        <f t="shared" si="3"/>
        <v>1</v>
      </c>
      <c r="Q57" s="10">
        <f>IFERROR(__xludf.DUMMYFUNCTION("INT(FILTER(EQ(E57,F57),ISNUMBER(E57),ISNUMBER(F57)))"),0.0)</f>
        <v>0</v>
      </c>
    </row>
    <row r="58">
      <c r="A58" s="1" t="s">
        <v>244</v>
      </c>
      <c r="B58" s="7" t="s">
        <v>245</v>
      </c>
      <c r="C58" s="2" t="s">
        <v>246</v>
      </c>
      <c r="D58" s="1" t="s">
        <v>247</v>
      </c>
      <c r="E58" s="8">
        <f>sample_20250925!E58</f>
        <v>4</v>
      </c>
      <c r="F58" s="8">
        <v>4.0</v>
      </c>
      <c r="G58" s="8">
        <v>0.0</v>
      </c>
      <c r="H58" s="9" t="s">
        <v>21</v>
      </c>
      <c r="I58" s="12"/>
      <c r="J58" s="12"/>
      <c r="K58" s="12"/>
      <c r="L58" s="12"/>
      <c r="M58" s="10">
        <f t="shared" si="1"/>
        <v>1</v>
      </c>
      <c r="N58" s="10">
        <f t="shared" si="2"/>
        <v>0</v>
      </c>
      <c r="O58" s="10">
        <f>IFERROR(__xludf.DUMMYFUNCTION("INT(FILTER(GT(F58,0),ISNUMBER(F58)))"),1.0)</f>
        <v>1</v>
      </c>
      <c r="P58" s="10">
        <f t="shared" si="3"/>
        <v>1</v>
      </c>
      <c r="Q58" s="10">
        <f>IFERROR(__xludf.DUMMYFUNCTION("INT(FILTER(EQ(E58,F58),ISNUMBER(E58),ISNUMBER(F58)))"),1.0)</f>
        <v>1</v>
      </c>
    </row>
    <row r="59">
      <c r="A59" s="1" t="s">
        <v>248</v>
      </c>
      <c r="B59" s="7" t="s">
        <v>249</v>
      </c>
      <c r="C59" s="2" t="s">
        <v>250</v>
      </c>
      <c r="D59" s="7" t="s">
        <v>251</v>
      </c>
      <c r="E59" s="8">
        <f>sample_20250925!E59</f>
        <v>1</v>
      </c>
      <c r="F59" s="8">
        <f>IF(sample_20250925!$C59=C59,sample_20250925!F59, NA())</f>
        <v>0</v>
      </c>
      <c r="G59" s="8">
        <f>IF(sample_20250925!$C59=$C59,sample_20250925!G59, NA())</f>
        <v>1</v>
      </c>
      <c r="H59" s="9" t="s">
        <v>21</v>
      </c>
      <c r="I59" s="12"/>
      <c r="J59" s="12"/>
      <c r="K59" s="12"/>
      <c r="L59" s="12"/>
      <c r="M59" s="10">
        <f t="shared" si="1"/>
        <v>0</v>
      </c>
      <c r="N59" s="10">
        <f t="shared" si="2"/>
        <v>1</v>
      </c>
      <c r="O59" s="10">
        <f>IFERROR(__xludf.DUMMYFUNCTION("INT(FILTER(GT(F59,0),ISNUMBER(F59)))"),0.0)</f>
        <v>0</v>
      </c>
      <c r="P59" s="10">
        <f t="shared" si="3"/>
        <v>0</v>
      </c>
      <c r="Q59" s="10">
        <f>IFERROR(__xludf.DUMMYFUNCTION("INT(FILTER(EQ(E59,F59),ISNUMBER(E59),ISNUMBER(F59)))"),0.0)</f>
        <v>0</v>
      </c>
    </row>
    <row r="60">
      <c r="A60" s="1" t="s">
        <v>252</v>
      </c>
      <c r="B60" s="7" t="s">
        <v>253</v>
      </c>
      <c r="C60" s="2" t="s">
        <v>254</v>
      </c>
      <c r="D60" s="1" t="s">
        <v>255</v>
      </c>
      <c r="E60" s="8">
        <f>sample_20250925!E60</f>
        <v>4</v>
      </c>
      <c r="F60" s="8">
        <v>2.0</v>
      </c>
      <c r="G60" s="8">
        <v>0.0</v>
      </c>
      <c r="H60" s="9" t="s">
        <v>21</v>
      </c>
      <c r="I60" s="12"/>
      <c r="J60" s="12"/>
      <c r="K60" s="12"/>
      <c r="L60" s="12"/>
      <c r="M60" s="10">
        <f t="shared" si="1"/>
        <v>0.5</v>
      </c>
      <c r="N60" s="10">
        <f t="shared" si="2"/>
        <v>0</v>
      </c>
      <c r="O60" s="10">
        <f>IFERROR(__xludf.DUMMYFUNCTION("INT(FILTER(GT(F60,0),ISNUMBER(F60)))"),1.0)</f>
        <v>1</v>
      </c>
      <c r="P60" s="10">
        <f t="shared" si="3"/>
        <v>1</v>
      </c>
      <c r="Q60" s="10">
        <f>IFERROR(__xludf.DUMMYFUNCTION("INT(FILTER(EQ(E60,F60),ISNUMBER(E60),ISNUMBER(F60)))"),0.0)</f>
        <v>0</v>
      </c>
    </row>
    <row r="61">
      <c r="A61" s="1" t="s">
        <v>256</v>
      </c>
      <c r="B61" s="7" t="s">
        <v>257</v>
      </c>
      <c r="C61" s="2" t="s">
        <v>136</v>
      </c>
      <c r="D61" s="7" t="s">
        <v>137</v>
      </c>
      <c r="E61" s="8">
        <f>sample_20250925!E61</f>
        <v>2</v>
      </c>
      <c r="F61" s="8">
        <v>1.0</v>
      </c>
      <c r="G61" s="8">
        <v>0.0</v>
      </c>
      <c r="H61" s="9" t="s">
        <v>21</v>
      </c>
      <c r="I61" s="12"/>
      <c r="J61" s="12"/>
      <c r="K61" s="12"/>
      <c r="L61" s="12"/>
      <c r="M61" s="10">
        <f t="shared" si="1"/>
        <v>0.5</v>
      </c>
      <c r="N61" s="10">
        <f t="shared" si="2"/>
        <v>0</v>
      </c>
      <c r="O61" s="10">
        <f>IFERROR(__xludf.DUMMYFUNCTION("INT(FILTER(GT(F61,0),ISNUMBER(F61)))"),1.0)</f>
        <v>1</v>
      </c>
      <c r="P61" s="10">
        <f t="shared" si="3"/>
        <v>1</v>
      </c>
      <c r="Q61" s="10">
        <f>IFERROR(__xludf.DUMMYFUNCTION("INT(FILTER(EQ(E61,F61),ISNUMBER(E61),ISNUMBER(F61)))"),0.0)</f>
        <v>0</v>
      </c>
    </row>
    <row r="62">
      <c r="A62" s="1" t="s">
        <v>258</v>
      </c>
      <c r="B62" s="7" t="s">
        <v>259</v>
      </c>
      <c r="C62" s="2" t="s">
        <v>260</v>
      </c>
      <c r="D62" s="7" t="s">
        <v>261</v>
      </c>
      <c r="E62" s="8">
        <f>sample_20250925!E62</f>
        <v>1</v>
      </c>
      <c r="F62" s="8">
        <f>IF(sample_20250925!$C62=C62,sample_20250925!F62, NA())</f>
        <v>1</v>
      </c>
      <c r="G62" s="8">
        <f>IF(sample_20250925!$C62=$C62,sample_20250925!G62, NA())</f>
        <v>0</v>
      </c>
      <c r="H62" s="9" t="s">
        <v>21</v>
      </c>
      <c r="I62" s="12"/>
      <c r="J62" s="12"/>
      <c r="K62" s="12"/>
      <c r="L62" s="12"/>
      <c r="M62" s="10">
        <f t="shared" si="1"/>
        <v>1</v>
      </c>
      <c r="N62" s="10">
        <f t="shared" si="2"/>
        <v>0</v>
      </c>
      <c r="O62" s="10">
        <f>IFERROR(__xludf.DUMMYFUNCTION("INT(FILTER(GT(F62,0),ISNUMBER(F62)))"),1.0)</f>
        <v>1</v>
      </c>
      <c r="P62" s="10">
        <f t="shared" si="3"/>
        <v>1</v>
      </c>
      <c r="Q62" s="10">
        <f>IFERROR(__xludf.DUMMYFUNCTION("INT(FILTER(EQ(E62,F62),ISNUMBER(E62),ISNUMBER(F62)))"),1.0)</f>
        <v>1</v>
      </c>
    </row>
    <row r="63">
      <c r="A63" s="1" t="s">
        <v>262</v>
      </c>
      <c r="B63" s="7" t="s">
        <v>263</v>
      </c>
      <c r="C63" s="2" t="s">
        <v>264</v>
      </c>
      <c r="D63" s="1" t="s">
        <v>265</v>
      </c>
      <c r="E63" s="8">
        <v>3.0</v>
      </c>
      <c r="F63" s="8">
        <v>2.0</v>
      </c>
      <c r="G63" s="8">
        <v>0.0</v>
      </c>
      <c r="H63" s="9" t="s">
        <v>21</v>
      </c>
      <c r="I63" s="12"/>
      <c r="J63" s="12"/>
      <c r="K63" s="12"/>
      <c r="L63" s="12"/>
      <c r="M63" s="10">
        <f t="shared" si="1"/>
        <v>0.6666666667</v>
      </c>
      <c r="N63" s="10">
        <f t="shared" si="2"/>
        <v>0</v>
      </c>
      <c r="O63" s="10">
        <f>IFERROR(__xludf.DUMMYFUNCTION("INT(FILTER(GT(F63,0),ISNUMBER(F63)))"),1.0)</f>
        <v>1</v>
      </c>
      <c r="P63" s="10">
        <f t="shared" si="3"/>
        <v>1</v>
      </c>
      <c r="Q63" s="10">
        <f>IFERROR(__xludf.DUMMYFUNCTION("INT(FILTER(EQ(E63,F63),ISNUMBER(E63),ISNUMBER(F63)))"),0.0)</f>
        <v>0</v>
      </c>
    </row>
    <row r="64">
      <c r="A64" s="1" t="s">
        <v>266</v>
      </c>
      <c r="B64" s="7" t="s">
        <v>267</v>
      </c>
      <c r="C64" s="2" t="s">
        <v>268</v>
      </c>
      <c r="D64" s="7" t="s">
        <v>137</v>
      </c>
      <c r="E64" s="8">
        <f>sample_20250925!E64</f>
        <v>1</v>
      </c>
      <c r="F64" s="8">
        <f>IF(sample_20250925!$C64=C64,sample_20250925!F64, NA())</f>
        <v>1</v>
      </c>
      <c r="G64" s="8">
        <f>IF(sample_20250925!$C64=$C64,sample_20250925!G64, NA())</f>
        <v>0</v>
      </c>
      <c r="H64" s="9" t="s">
        <v>21</v>
      </c>
      <c r="I64" s="12"/>
      <c r="J64" s="12"/>
      <c r="K64" s="12"/>
      <c r="L64" s="12"/>
      <c r="M64" s="10">
        <f t="shared" si="1"/>
        <v>1</v>
      </c>
      <c r="N64" s="10">
        <f t="shared" si="2"/>
        <v>0</v>
      </c>
      <c r="O64" s="10">
        <f>IFERROR(__xludf.DUMMYFUNCTION("INT(FILTER(GT(F64,0),ISNUMBER(F64)))"),1.0)</f>
        <v>1</v>
      </c>
      <c r="P64" s="10">
        <f t="shared" si="3"/>
        <v>1</v>
      </c>
      <c r="Q64" s="10">
        <f>IFERROR(__xludf.DUMMYFUNCTION("INT(FILTER(EQ(E64,F64),ISNUMBER(E64),ISNUMBER(F64)))"),1.0)</f>
        <v>1</v>
      </c>
    </row>
    <row r="65">
      <c r="A65" s="1" t="s">
        <v>269</v>
      </c>
      <c r="B65" s="7" t="s">
        <v>270</v>
      </c>
      <c r="C65" s="2" t="s">
        <v>271</v>
      </c>
      <c r="D65" s="1" t="s">
        <v>272</v>
      </c>
      <c r="E65" s="8">
        <f>sample_20250925!E65</f>
        <v>2</v>
      </c>
      <c r="F65" s="8">
        <v>2.0</v>
      </c>
      <c r="G65" s="8">
        <v>0.0</v>
      </c>
      <c r="H65" s="9" t="s">
        <v>21</v>
      </c>
      <c r="I65" s="12"/>
      <c r="J65" s="12"/>
      <c r="K65" s="12"/>
      <c r="L65" s="12"/>
      <c r="M65" s="10">
        <f t="shared" si="1"/>
        <v>1</v>
      </c>
      <c r="N65" s="10">
        <f t="shared" si="2"/>
        <v>0</v>
      </c>
      <c r="O65" s="10">
        <f>IFERROR(__xludf.DUMMYFUNCTION("INT(FILTER(GT(F65,0),ISNUMBER(F65)))"),1.0)</f>
        <v>1</v>
      </c>
      <c r="P65" s="10">
        <f t="shared" si="3"/>
        <v>1</v>
      </c>
      <c r="Q65" s="10">
        <f>IFERROR(__xludf.DUMMYFUNCTION("INT(FILTER(EQ(E65,F65),ISNUMBER(E65),ISNUMBER(F65)))"),1.0)</f>
        <v>1</v>
      </c>
    </row>
    <row r="66">
      <c r="A66" s="1" t="s">
        <v>273</v>
      </c>
      <c r="B66" s="7" t="s">
        <v>274</v>
      </c>
      <c r="C66" s="2" t="s">
        <v>275</v>
      </c>
      <c r="D66" s="1" t="s">
        <v>276</v>
      </c>
      <c r="E66" s="8">
        <f>sample_20250925!E66</f>
        <v>4</v>
      </c>
      <c r="F66" s="8">
        <v>3.0</v>
      </c>
      <c r="G66" s="8">
        <v>0.0</v>
      </c>
      <c r="H66" s="9" t="s">
        <v>21</v>
      </c>
      <c r="I66" s="12"/>
      <c r="J66" s="12"/>
      <c r="K66" s="12"/>
      <c r="L66" s="12"/>
      <c r="M66" s="10">
        <f t="shared" si="1"/>
        <v>0.75</v>
      </c>
      <c r="N66" s="10">
        <f t="shared" si="2"/>
        <v>0</v>
      </c>
      <c r="O66" s="10">
        <f>IFERROR(__xludf.DUMMYFUNCTION("INT(FILTER(GT(F66,0),ISNUMBER(F66)))"),1.0)</f>
        <v>1</v>
      </c>
      <c r="P66" s="10">
        <f t="shared" si="3"/>
        <v>1</v>
      </c>
      <c r="Q66" s="12"/>
    </row>
    <row r="67">
      <c r="A67" s="1" t="s">
        <v>277</v>
      </c>
      <c r="B67" s="7" t="s">
        <v>278</v>
      </c>
      <c r="C67" s="2" t="s">
        <v>279</v>
      </c>
      <c r="D67" s="1" t="s">
        <v>280</v>
      </c>
      <c r="E67" s="8">
        <f>sample_20250925!E67</f>
        <v>5</v>
      </c>
      <c r="F67" s="8">
        <v>2.0</v>
      </c>
      <c r="G67" s="8">
        <v>0.0</v>
      </c>
      <c r="H67" s="9" t="s">
        <v>21</v>
      </c>
      <c r="I67" s="12"/>
      <c r="J67" s="12"/>
      <c r="K67" s="12"/>
      <c r="L67" s="12"/>
      <c r="M67" s="10">
        <f t="shared" si="1"/>
        <v>0.4</v>
      </c>
      <c r="N67" s="10">
        <f t="shared" si="2"/>
        <v>0</v>
      </c>
      <c r="O67" s="10">
        <f>IFERROR(__xludf.DUMMYFUNCTION("INT(FILTER(GT(F67,0),ISNUMBER(F67)))"),1.0)</f>
        <v>1</v>
      </c>
      <c r="P67" s="10">
        <f t="shared" si="3"/>
        <v>1</v>
      </c>
      <c r="Q67" s="10">
        <f>IFERROR(__xludf.DUMMYFUNCTION("INT(FILTER(EQ(E67,F67),ISNUMBER(E67),ISNUMBER(F67)))"),0.0)</f>
        <v>0</v>
      </c>
    </row>
    <row r="68">
      <c r="A68" s="1" t="s">
        <v>281</v>
      </c>
      <c r="B68" s="7" t="s">
        <v>282</v>
      </c>
      <c r="C68" s="2" t="s">
        <v>283</v>
      </c>
      <c r="D68" s="7" t="s">
        <v>284</v>
      </c>
      <c r="E68" s="8">
        <f>sample_20250925!E68</f>
        <v>3</v>
      </c>
      <c r="F68" s="8">
        <v>1.0</v>
      </c>
      <c r="G68" s="8">
        <v>0.0</v>
      </c>
      <c r="H68" s="9" t="s">
        <v>21</v>
      </c>
      <c r="I68" s="12"/>
      <c r="J68" s="12"/>
      <c r="K68" s="12"/>
      <c r="L68" s="12"/>
      <c r="M68" s="10">
        <f t="shared" si="1"/>
        <v>0.3333333333</v>
      </c>
      <c r="N68" s="10">
        <f t="shared" si="2"/>
        <v>0</v>
      </c>
      <c r="O68" s="10">
        <f>IFERROR(__xludf.DUMMYFUNCTION("INT(FILTER(GT(F68,0),ISNUMBER(F68)))"),1.0)</f>
        <v>1</v>
      </c>
      <c r="P68" s="10">
        <f t="shared" si="3"/>
        <v>1</v>
      </c>
      <c r="Q68" s="10">
        <f>IFERROR(__xludf.DUMMYFUNCTION("INT(FILTER(EQ(E68,F68),ISNUMBER(E68),ISNUMBER(F68)))"),0.0)</f>
        <v>0</v>
      </c>
    </row>
    <row r="69">
      <c r="A69" s="1" t="s">
        <v>285</v>
      </c>
      <c r="B69" s="7" t="s">
        <v>286</v>
      </c>
      <c r="C69" s="2" t="s">
        <v>287</v>
      </c>
      <c r="D69" s="1" t="s">
        <v>288</v>
      </c>
      <c r="E69" s="8">
        <f>sample_20250925!E69</f>
        <v>3</v>
      </c>
      <c r="F69" s="8">
        <v>2.0</v>
      </c>
      <c r="G69" s="8">
        <v>0.0</v>
      </c>
      <c r="H69" s="9" t="s">
        <v>21</v>
      </c>
      <c r="I69" s="12"/>
      <c r="J69" s="12"/>
      <c r="K69" s="12"/>
      <c r="L69" s="12"/>
      <c r="M69" s="10">
        <f t="shared" si="1"/>
        <v>0.6666666667</v>
      </c>
      <c r="N69" s="10">
        <f t="shared" si="2"/>
        <v>0</v>
      </c>
      <c r="O69" s="10">
        <f>IFERROR(__xludf.DUMMYFUNCTION("INT(FILTER(GT(F69,0),ISNUMBER(F69)))"),1.0)</f>
        <v>1</v>
      </c>
      <c r="P69" s="10">
        <f t="shared" si="3"/>
        <v>1</v>
      </c>
      <c r="Q69" s="10">
        <f>IFERROR(__xludf.DUMMYFUNCTION("INT(FILTER(EQ(E69,F69),ISNUMBER(E69),ISNUMBER(F69)))"),0.0)</f>
        <v>0</v>
      </c>
    </row>
    <row r="70">
      <c r="A70" s="1" t="s">
        <v>289</v>
      </c>
      <c r="B70" s="7" t="s">
        <v>290</v>
      </c>
      <c r="C70" s="2" t="s">
        <v>291</v>
      </c>
      <c r="D70" s="7" t="s">
        <v>292</v>
      </c>
      <c r="E70" s="8">
        <f>sample_20250925!E70</f>
        <v>2</v>
      </c>
      <c r="F70" s="8">
        <v>1.0</v>
      </c>
      <c r="G70" s="8">
        <v>0.0</v>
      </c>
      <c r="H70" s="9" t="s">
        <v>21</v>
      </c>
      <c r="I70" s="12"/>
      <c r="J70" s="12"/>
      <c r="K70" s="12"/>
      <c r="L70" s="12"/>
      <c r="M70" s="10">
        <f t="shared" si="1"/>
        <v>0.5</v>
      </c>
      <c r="N70" s="10">
        <f t="shared" si="2"/>
        <v>0</v>
      </c>
      <c r="O70" s="10">
        <f>IFERROR(__xludf.DUMMYFUNCTION("INT(FILTER(GT(F70,0),ISNUMBER(F70)))"),1.0)</f>
        <v>1</v>
      </c>
      <c r="P70" s="10">
        <f t="shared" si="3"/>
        <v>1</v>
      </c>
      <c r="Q70" s="10">
        <f>IFERROR(__xludf.DUMMYFUNCTION("INT(FILTER(EQ(E70,F70),ISNUMBER(E70),ISNUMBER(F70)))"),0.0)</f>
        <v>0</v>
      </c>
    </row>
    <row r="71">
      <c r="A71" s="1" t="s">
        <v>293</v>
      </c>
      <c r="B71" s="7" t="s">
        <v>294</v>
      </c>
      <c r="C71" s="2" t="s">
        <v>295</v>
      </c>
      <c r="D71" s="7" t="s">
        <v>296</v>
      </c>
      <c r="E71" s="8">
        <f>sample_20250925!E71</f>
        <v>1</v>
      </c>
      <c r="F71" s="8">
        <f>IF(sample_20250925!$C71=C71,sample_20250925!F71, NA())</f>
        <v>1</v>
      </c>
      <c r="G71" s="8">
        <f>IF(sample_20250925!$C71=$C71,sample_20250925!G71, NA())</f>
        <v>0</v>
      </c>
      <c r="H71" s="9" t="s">
        <v>21</v>
      </c>
      <c r="I71" s="12"/>
      <c r="J71" s="12"/>
      <c r="K71" s="12"/>
      <c r="L71" s="12"/>
      <c r="M71" s="10">
        <f t="shared" si="1"/>
        <v>1</v>
      </c>
      <c r="N71" s="10">
        <f t="shared" si="2"/>
        <v>0</v>
      </c>
      <c r="O71" s="10">
        <f>IFERROR(__xludf.DUMMYFUNCTION("INT(FILTER(GT(F71,0),ISNUMBER(F71)))"),1.0)</f>
        <v>1</v>
      </c>
      <c r="P71" s="10">
        <f t="shared" si="3"/>
        <v>1</v>
      </c>
      <c r="Q71" s="10">
        <f>IFERROR(__xludf.DUMMYFUNCTION("INT(FILTER(EQ(E71,F71),ISNUMBER(E71),ISNUMBER(F71)))"),1.0)</f>
        <v>1</v>
      </c>
    </row>
    <row r="72">
      <c r="A72" s="1" t="s">
        <v>297</v>
      </c>
      <c r="B72" s="7" t="s">
        <v>298</v>
      </c>
      <c r="C72" s="2" t="s">
        <v>299</v>
      </c>
      <c r="E72" s="8">
        <f>sample_20250925!E72</f>
        <v>2</v>
      </c>
      <c r="F72" s="8">
        <v>0.0</v>
      </c>
      <c r="G72" s="8">
        <v>0.0</v>
      </c>
      <c r="H72" s="9" t="s">
        <v>21</v>
      </c>
      <c r="I72" s="12"/>
      <c r="J72" s="12"/>
      <c r="K72" s="12"/>
      <c r="L72" s="12"/>
      <c r="M72" s="10">
        <f t="shared" si="1"/>
        <v>0</v>
      </c>
      <c r="N72" s="10">
        <f t="shared" si="2"/>
        <v>0</v>
      </c>
      <c r="O72" s="10">
        <f>IFERROR(__xludf.DUMMYFUNCTION("INT(FILTER(GT(F72,0),ISNUMBER(F72)))"),0.0)</f>
        <v>0</v>
      </c>
      <c r="P72" s="10" t="str">
        <f t="shared" si="3"/>
        <v>#DIV/0!</v>
      </c>
      <c r="Q72" s="10">
        <f>IFERROR(__xludf.DUMMYFUNCTION("INT(FILTER(EQ(E72,F72),ISNUMBER(E72),ISNUMBER(F72)))"),0.0)</f>
        <v>0</v>
      </c>
    </row>
    <row r="73">
      <c r="A73" s="1" t="s">
        <v>300</v>
      </c>
      <c r="B73" s="7" t="s">
        <v>301</v>
      </c>
      <c r="C73" s="2" t="s">
        <v>136</v>
      </c>
      <c r="D73" s="7" t="s">
        <v>137</v>
      </c>
      <c r="E73" s="8">
        <f>sample_20250925!E73</f>
        <v>2</v>
      </c>
      <c r="F73" s="8">
        <v>1.0</v>
      </c>
      <c r="G73" s="8">
        <v>0.0</v>
      </c>
      <c r="H73" s="9" t="s">
        <v>21</v>
      </c>
      <c r="I73" s="12"/>
      <c r="J73" s="12"/>
      <c r="K73" s="12"/>
      <c r="L73" s="12"/>
      <c r="M73" s="10">
        <f t="shared" si="1"/>
        <v>0.5</v>
      </c>
      <c r="N73" s="10">
        <f t="shared" si="2"/>
        <v>0</v>
      </c>
      <c r="O73" s="10">
        <f>IFERROR(__xludf.DUMMYFUNCTION("INT(FILTER(GT(F73,0),ISNUMBER(F73)))"),1.0)</f>
        <v>1</v>
      </c>
      <c r="P73" s="10">
        <f t="shared" si="3"/>
        <v>1</v>
      </c>
      <c r="Q73" s="10">
        <f>IFERROR(__xludf.DUMMYFUNCTION("INT(FILTER(EQ(E73,F73),ISNUMBER(E73),ISNUMBER(F73)))"),0.0)</f>
        <v>0</v>
      </c>
    </row>
    <row r="74">
      <c r="A74" s="1" t="s">
        <v>302</v>
      </c>
      <c r="B74" s="7" t="s">
        <v>303</v>
      </c>
      <c r="C74" s="2" t="s">
        <v>304</v>
      </c>
      <c r="D74" s="7" t="s">
        <v>305</v>
      </c>
      <c r="E74" s="8">
        <f>sample_20250925!E74</f>
        <v>1</v>
      </c>
      <c r="F74" s="8">
        <f>IF(sample_20250925!$C74=C74,sample_20250925!F74, NA())</f>
        <v>1</v>
      </c>
      <c r="G74" s="8">
        <f>IF(sample_20250925!$C74=$C74,sample_20250925!G74, NA())</f>
        <v>0</v>
      </c>
      <c r="H74" s="9" t="s">
        <v>21</v>
      </c>
      <c r="I74" s="12"/>
      <c r="J74" s="12"/>
      <c r="K74" s="12"/>
      <c r="L74" s="12"/>
      <c r="M74" s="10">
        <f t="shared" si="1"/>
        <v>1</v>
      </c>
      <c r="N74" s="10">
        <f t="shared" si="2"/>
        <v>0</v>
      </c>
      <c r="O74" s="10">
        <f>IFERROR(__xludf.DUMMYFUNCTION("INT(FILTER(GT(F74,0),ISNUMBER(F74)))"),1.0)</f>
        <v>1</v>
      </c>
      <c r="P74" s="10">
        <f t="shared" si="3"/>
        <v>1</v>
      </c>
      <c r="Q74" s="10">
        <f>IFERROR(__xludf.DUMMYFUNCTION("INT(FILTER(EQ(E74,F74),ISNUMBER(E74),ISNUMBER(F74)))"),1.0)</f>
        <v>1</v>
      </c>
    </row>
    <row r="75">
      <c r="A75" s="1" t="s">
        <v>306</v>
      </c>
      <c r="B75" s="7" t="s">
        <v>307</v>
      </c>
      <c r="C75" s="2" t="s">
        <v>308</v>
      </c>
      <c r="D75" s="1" t="s">
        <v>309</v>
      </c>
      <c r="E75" s="8">
        <f>sample_20250925!E75</f>
        <v>5</v>
      </c>
      <c r="F75" s="8">
        <v>2.0</v>
      </c>
      <c r="G75" s="8">
        <v>0.0</v>
      </c>
      <c r="H75" s="9" t="s">
        <v>21</v>
      </c>
      <c r="I75" s="12"/>
      <c r="J75" s="12"/>
      <c r="K75" s="12"/>
      <c r="L75" s="12"/>
      <c r="M75" s="10">
        <f t="shared" si="1"/>
        <v>0.4</v>
      </c>
      <c r="N75" s="10">
        <f t="shared" si="2"/>
        <v>0</v>
      </c>
      <c r="O75" s="10">
        <f>IFERROR(__xludf.DUMMYFUNCTION("INT(FILTER(GT(F75,0),ISNUMBER(F75)))"),1.0)</f>
        <v>1</v>
      </c>
      <c r="P75" s="10">
        <f t="shared" si="3"/>
        <v>1</v>
      </c>
      <c r="Q75" s="10">
        <f>IFERROR(__xludf.DUMMYFUNCTION("INT(FILTER(EQ(E75,F75),ISNUMBER(E75),ISNUMBER(F75)))"),0.0)</f>
        <v>0</v>
      </c>
    </row>
    <row r="76">
      <c r="A76" s="1" t="s">
        <v>310</v>
      </c>
      <c r="B76" s="7" t="s">
        <v>311</v>
      </c>
      <c r="C76" s="2" t="s">
        <v>312</v>
      </c>
      <c r="D76" s="1" t="s">
        <v>313</v>
      </c>
      <c r="E76" s="8">
        <f>sample_20250925!E76</f>
        <v>3</v>
      </c>
      <c r="F76" s="8">
        <v>2.0</v>
      </c>
      <c r="G76" s="8">
        <v>1.0</v>
      </c>
      <c r="H76" s="9" t="s">
        <v>21</v>
      </c>
      <c r="I76" s="12"/>
      <c r="J76" s="12"/>
      <c r="K76" s="12"/>
      <c r="L76" s="12"/>
      <c r="M76" s="10">
        <f t="shared" si="1"/>
        <v>0.6666666667</v>
      </c>
      <c r="N76" s="10">
        <f t="shared" si="2"/>
        <v>0.3333333333</v>
      </c>
      <c r="O76" s="10">
        <f>IFERROR(__xludf.DUMMYFUNCTION("INT(FILTER(GT(F76,0),ISNUMBER(F76)))"),1.0)</f>
        <v>1</v>
      </c>
      <c r="P76" s="10">
        <f t="shared" si="3"/>
        <v>0.6666666667</v>
      </c>
      <c r="Q76" s="10">
        <f>IFERROR(__xludf.DUMMYFUNCTION("INT(FILTER(EQ(E76,F76),ISNUMBER(E76),ISNUMBER(F76)))"),0.0)</f>
        <v>0</v>
      </c>
    </row>
    <row r="77">
      <c r="A77" s="1" t="s">
        <v>314</v>
      </c>
      <c r="B77" s="7" t="s">
        <v>315</v>
      </c>
      <c r="C77" s="2" t="s">
        <v>316</v>
      </c>
      <c r="D77" s="7" t="s">
        <v>77</v>
      </c>
      <c r="E77" s="8">
        <f>sample_20250925!E77</f>
        <v>1</v>
      </c>
      <c r="F77" s="8">
        <v>1.0</v>
      </c>
      <c r="G77" s="8">
        <v>0.0</v>
      </c>
      <c r="H77" s="9" t="s">
        <v>21</v>
      </c>
      <c r="I77" s="12"/>
      <c r="J77" s="12"/>
      <c r="K77" s="12"/>
      <c r="L77" s="12"/>
      <c r="M77" s="10">
        <f t="shared" si="1"/>
        <v>1</v>
      </c>
      <c r="N77" s="10">
        <f t="shared" si="2"/>
        <v>0</v>
      </c>
      <c r="O77" s="10">
        <f>IFERROR(__xludf.DUMMYFUNCTION("INT(FILTER(GT(F77,0),ISNUMBER(F77)))"),1.0)</f>
        <v>1</v>
      </c>
      <c r="P77" s="10">
        <f t="shared" si="3"/>
        <v>1</v>
      </c>
      <c r="Q77" s="12"/>
    </row>
    <row r="78">
      <c r="A78" s="1" t="s">
        <v>317</v>
      </c>
      <c r="B78" s="7" t="s">
        <v>318</v>
      </c>
      <c r="C78" s="2" t="s">
        <v>319</v>
      </c>
      <c r="D78" s="1" t="s">
        <v>320</v>
      </c>
      <c r="E78" s="8">
        <f>sample_20250925!E78</f>
        <v>2</v>
      </c>
      <c r="F78" s="8">
        <v>2.0</v>
      </c>
      <c r="G78" s="8">
        <v>0.0</v>
      </c>
      <c r="H78" s="9" t="s">
        <v>21</v>
      </c>
      <c r="I78" s="12"/>
      <c r="J78" s="12"/>
      <c r="K78" s="12"/>
      <c r="L78" s="12"/>
      <c r="M78" s="10">
        <f t="shared" si="1"/>
        <v>1</v>
      </c>
      <c r="N78" s="10">
        <f t="shared" si="2"/>
        <v>0</v>
      </c>
      <c r="O78" s="10">
        <f>IFERROR(__xludf.DUMMYFUNCTION("INT(FILTER(GT(F78,0),ISNUMBER(F78)))"),1.0)</f>
        <v>1</v>
      </c>
      <c r="P78" s="10">
        <f t="shared" si="3"/>
        <v>1</v>
      </c>
      <c r="Q78" s="10">
        <f>IFERROR(__xludf.DUMMYFUNCTION("INT(FILTER(EQ(E78,F78),ISNUMBER(E78),ISNUMBER(F78)))"),1.0)</f>
        <v>1</v>
      </c>
    </row>
    <row r="79">
      <c r="A79" s="1" t="s">
        <v>321</v>
      </c>
      <c r="B79" s="7" t="s">
        <v>322</v>
      </c>
      <c r="C79" s="2" t="s">
        <v>323</v>
      </c>
      <c r="D79" s="1" t="s">
        <v>324</v>
      </c>
      <c r="E79" s="8">
        <f>sample_20250925!E79</f>
        <v>3</v>
      </c>
      <c r="F79" s="8">
        <f>IF(sample_20250925!$C79=C79,sample_20250925!F79, NA())</f>
        <v>3</v>
      </c>
      <c r="G79" s="8">
        <f>IF(sample_20250925!$C79=$C79,sample_20250925!G79, NA())</f>
        <v>0</v>
      </c>
      <c r="H79" s="9" t="s">
        <v>21</v>
      </c>
      <c r="I79" s="12"/>
      <c r="J79" s="12"/>
      <c r="K79" s="12"/>
      <c r="L79" s="12"/>
      <c r="M79" s="10">
        <f t="shared" si="1"/>
        <v>1</v>
      </c>
      <c r="N79" s="10">
        <f t="shared" si="2"/>
        <v>0</v>
      </c>
      <c r="O79" s="10">
        <f>IFERROR(__xludf.DUMMYFUNCTION("INT(FILTER(GT(F79,0),ISNUMBER(F79)))"),1.0)</f>
        <v>1</v>
      </c>
      <c r="P79" s="10">
        <f t="shared" si="3"/>
        <v>1</v>
      </c>
      <c r="Q79" s="10">
        <f>IFERROR(__xludf.DUMMYFUNCTION("INT(FILTER(EQ(E79,F79),ISNUMBER(E79),ISNUMBER(F79)))"),1.0)</f>
        <v>1</v>
      </c>
    </row>
    <row r="80">
      <c r="A80" s="1" t="s">
        <v>325</v>
      </c>
      <c r="B80" s="7" t="s">
        <v>326</v>
      </c>
      <c r="C80" s="2" t="s">
        <v>327</v>
      </c>
      <c r="D80" s="1" t="s">
        <v>328</v>
      </c>
      <c r="E80" s="8">
        <f>sample_20250925!E80</f>
        <v>5</v>
      </c>
      <c r="F80" s="8">
        <v>2.0</v>
      </c>
      <c r="G80" s="8">
        <v>1.0</v>
      </c>
      <c r="H80" s="9" t="s">
        <v>21</v>
      </c>
      <c r="I80" s="12"/>
      <c r="J80" s="12"/>
      <c r="K80" s="12"/>
      <c r="L80" s="12"/>
      <c r="M80" s="10">
        <f t="shared" si="1"/>
        <v>0.4</v>
      </c>
      <c r="N80" s="10">
        <f t="shared" si="2"/>
        <v>0.2</v>
      </c>
      <c r="O80" s="10">
        <f>IFERROR(__xludf.DUMMYFUNCTION("INT(FILTER(GT(F80,0),ISNUMBER(F80)))"),1.0)</f>
        <v>1</v>
      </c>
      <c r="P80" s="10">
        <f t="shared" si="3"/>
        <v>0.6666666667</v>
      </c>
      <c r="Q80" s="10">
        <f>IFERROR(__xludf.DUMMYFUNCTION("INT(FILTER(EQ(E80,F80),ISNUMBER(E80),ISNUMBER(F80)))"),0.0)</f>
        <v>0</v>
      </c>
    </row>
    <row r="81">
      <c r="A81" s="1" t="s">
        <v>329</v>
      </c>
      <c r="B81" s="7" t="s">
        <v>330</v>
      </c>
      <c r="C81" s="2" t="s">
        <v>331</v>
      </c>
      <c r="D81" s="1" t="s">
        <v>332</v>
      </c>
      <c r="E81" s="8">
        <f>sample_20250925!E81</f>
        <v>8</v>
      </c>
      <c r="F81" s="8">
        <v>5.0</v>
      </c>
      <c r="G81" s="8">
        <v>0.0</v>
      </c>
      <c r="H81" s="9" t="s">
        <v>21</v>
      </c>
      <c r="I81" s="12"/>
      <c r="J81" s="12"/>
      <c r="K81" s="12"/>
      <c r="L81" s="12"/>
      <c r="M81" s="10">
        <f t="shared" si="1"/>
        <v>0.625</v>
      </c>
      <c r="N81" s="10">
        <f t="shared" si="2"/>
        <v>0</v>
      </c>
      <c r="O81" s="10">
        <f>IFERROR(__xludf.DUMMYFUNCTION("INT(FILTER(GT(F81,0),ISNUMBER(F81)))"),1.0)</f>
        <v>1</v>
      </c>
      <c r="P81" s="10">
        <f t="shared" si="3"/>
        <v>1</v>
      </c>
      <c r="Q81" s="10">
        <f>IFERROR(__xludf.DUMMYFUNCTION("INT(FILTER(EQ(E81,F81),ISNUMBER(E81),ISNUMBER(F81)))"),0.0)</f>
        <v>0</v>
      </c>
    </row>
    <row r="82">
      <c r="A82" s="1" t="s">
        <v>333</v>
      </c>
      <c r="B82" s="7" t="s">
        <v>334</v>
      </c>
      <c r="C82" s="2" t="s">
        <v>335</v>
      </c>
      <c r="D82" s="7" t="s">
        <v>336</v>
      </c>
      <c r="E82" s="8">
        <f>sample_20250925!E82</f>
        <v>1</v>
      </c>
      <c r="F82" s="8">
        <v>0.0</v>
      </c>
      <c r="G82" s="8">
        <v>1.0</v>
      </c>
      <c r="H82" s="9" t="s">
        <v>21</v>
      </c>
      <c r="I82" s="12"/>
      <c r="J82" s="12"/>
      <c r="K82" s="12"/>
      <c r="L82" s="12"/>
      <c r="M82" s="10">
        <f t="shared" si="1"/>
        <v>0</v>
      </c>
      <c r="N82" s="10">
        <f t="shared" si="2"/>
        <v>1</v>
      </c>
      <c r="O82" s="10">
        <f>IFERROR(__xludf.DUMMYFUNCTION("INT(FILTER(GT(F82,0),ISNUMBER(F82)))"),0.0)</f>
        <v>0</v>
      </c>
      <c r="P82" s="10">
        <f t="shared" si="3"/>
        <v>0</v>
      </c>
      <c r="Q82" s="10">
        <f>IFERROR(__xludf.DUMMYFUNCTION("INT(FILTER(EQ(E82,F82),ISNUMBER(E82),ISNUMBER(F82)))"),0.0)</f>
        <v>0</v>
      </c>
    </row>
    <row r="83">
      <c r="A83" s="1" t="s">
        <v>337</v>
      </c>
      <c r="B83" s="7" t="s">
        <v>338</v>
      </c>
      <c r="C83" s="2" t="s">
        <v>339</v>
      </c>
      <c r="D83" s="1" t="s">
        <v>340</v>
      </c>
      <c r="E83" s="8">
        <f>sample_20250925!E83</f>
        <v>4</v>
      </c>
      <c r="F83" s="8">
        <v>2.0</v>
      </c>
      <c r="G83" s="8">
        <v>0.0</v>
      </c>
      <c r="H83" s="9" t="s">
        <v>21</v>
      </c>
      <c r="I83" s="12"/>
      <c r="J83" s="12"/>
      <c r="K83" s="12"/>
      <c r="L83" s="12"/>
      <c r="M83" s="10">
        <f t="shared" si="1"/>
        <v>0.5</v>
      </c>
      <c r="N83" s="10">
        <f t="shared" si="2"/>
        <v>0</v>
      </c>
      <c r="O83" s="10">
        <f>IFERROR(__xludf.DUMMYFUNCTION("INT(FILTER(GT(F83,0),ISNUMBER(F83)))"),1.0)</f>
        <v>1</v>
      </c>
      <c r="P83" s="10">
        <f t="shared" si="3"/>
        <v>1</v>
      </c>
      <c r="Q83" s="10">
        <f>IFERROR(__xludf.DUMMYFUNCTION("INT(FILTER(EQ(E83,F83),ISNUMBER(E83),ISNUMBER(F83)))"),0.0)</f>
        <v>0</v>
      </c>
    </row>
    <row r="84">
      <c r="A84" s="1" t="s">
        <v>341</v>
      </c>
      <c r="B84" s="7" t="s">
        <v>342</v>
      </c>
      <c r="C84" s="2" t="s">
        <v>343</v>
      </c>
      <c r="D84" s="1" t="s">
        <v>344</v>
      </c>
      <c r="E84" s="8">
        <f>sample_20250925!E84</f>
        <v>3</v>
      </c>
      <c r="F84" s="8">
        <v>3.0</v>
      </c>
      <c r="G84" s="8">
        <v>0.0</v>
      </c>
      <c r="H84" s="9" t="s">
        <v>21</v>
      </c>
      <c r="I84" s="12"/>
      <c r="J84" s="12"/>
      <c r="K84" s="12"/>
      <c r="L84" s="12"/>
      <c r="M84" s="10">
        <f t="shared" si="1"/>
        <v>1</v>
      </c>
      <c r="N84" s="10">
        <f t="shared" si="2"/>
        <v>0</v>
      </c>
      <c r="O84" s="10">
        <f>IFERROR(__xludf.DUMMYFUNCTION("INT(FILTER(GT(F84,0),ISNUMBER(F84)))"),1.0)</f>
        <v>1</v>
      </c>
      <c r="P84" s="10">
        <f t="shared" si="3"/>
        <v>1</v>
      </c>
      <c r="Q84" s="10">
        <f>IFERROR(__xludf.DUMMYFUNCTION("INT(FILTER(EQ(E84,F84),ISNUMBER(E84),ISNUMBER(F84)))"),1.0)</f>
        <v>1</v>
      </c>
    </row>
    <row r="85">
      <c r="A85" s="1" t="s">
        <v>345</v>
      </c>
      <c r="B85" s="7" t="s">
        <v>346</v>
      </c>
      <c r="C85" s="2" t="s">
        <v>347</v>
      </c>
      <c r="D85" s="1" t="s">
        <v>348</v>
      </c>
      <c r="E85" s="8">
        <f>sample_20250925!E85</f>
        <v>2</v>
      </c>
      <c r="F85" s="8">
        <f>IF(sample_20250925!$C85=C85,sample_20250925!F85, NA())</f>
        <v>2</v>
      </c>
      <c r="G85" s="8">
        <f>IF(sample_20250925!$C85=$C85,sample_20250925!G85, NA())</f>
        <v>0</v>
      </c>
      <c r="H85" s="9" t="s">
        <v>21</v>
      </c>
      <c r="I85" s="12"/>
      <c r="J85" s="12"/>
      <c r="K85" s="12"/>
      <c r="L85" s="12"/>
      <c r="M85" s="10">
        <f t="shared" si="1"/>
        <v>1</v>
      </c>
      <c r="N85" s="10">
        <f t="shared" si="2"/>
        <v>0</v>
      </c>
      <c r="O85" s="10">
        <f>IFERROR(__xludf.DUMMYFUNCTION("INT(FILTER(GT(F85,0),ISNUMBER(F85)))"),1.0)</f>
        <v>1</v>
      </c>
      <c r="P85" s="10">
        <f t="shared" si="3"/>
        <v>1</v>
      </c>
      <c r="Q85" s="10">
        <f>IFERROR(__xludf.DUMMYFUNCTION("INT(FILTER(EQ(E85,F85),ISNUMBER(E85),ISNUMBER(F85)))"),1.0)</f>
        <v>1</v>
      </c>
    </row>
    <row r="86">
      <c r="A86" s="1" t="s">
        <v>349</v>
      </c>
      <c r="B86" s="7" t="s">
        <v>350</v>
      </c>
      <c r="C86" s="2" t="s">
        <v>351</v>
      </c>
      <c r="D86" s="1" t="s">
        <v>352</v>
      </c>
      <c r="E86" s="8">
        <f>sample_20250925!E86</f>
        <v>3</v>
      </c>
      <c r="F86" s="8">
        <f>IF(sample_20250925!$C86=C86,sample_20250925!F86, NA())</f>
        <v>3</v>
      </c>
      <c r="G86" s="8">
        <f>IF(sample_20250925!$C86=$C86,sample_20250925!G86, NA())</f>
        <v>0</v>
      </c>
      <c r="H86" s="9" t="s">
        <v>21</v>
      </c>
      <c r="I86" s="12"/>
      <c r="J86" s="12"/>
      <c r="K86" s="12"/>
      <c r="L86" s="12"/>
      <c r="M86" s="10">
        <f t="shared" si="1"/>
        <v>1</v>
      </c>
      <c r="N86" s="10">
        <f t="shared" si="2"/>
        <v>0</v>
      </c>
      <c r="O86" s="10">
        <f>IFERROR(__xludf.DUMMYFUNCTION("INT(FILTER(GT(F86,0),ISNUMBER(F86)))"),1.0)</f>
        <v>1</v>
      </c>
      <c r="P86" s="10">
        <f t="shared" si="3"/>
        <v>1</v>
      </c>
      <c r="Q86" s="10">
        <f>IFERROR(__xludf.DUMMYFUNCTION("INT(FILTER(EQ(E86,F86),ISNUMBER(E86),ISNUMBER(F86)))"),1.0)</f>
        <v>1</v>
      </c>
    </row>
    <row r="87">
      <c r="A87" s="1" t="s">
        <v>353</v>
      </c>
      <c r="B87" s="7" t="s">
        <v>354</v>
      </c>
      <c r="C87" s="2" t="s">
        <v>355</v>
      </c>
      <c r="D87" s="7" t="s">
        <v>356</v>
      </c>
      <c r="E87" s="8">
        <f>sample_20250925!E87</f>
        <v>1</v>
      </c>
      <c r="F87" s="8">
        <f>IF(sample_20250925!$C87=C87,sample_20250925!F87, NA())</f>
        <v>1</v>
      </c>
      <c r="G87" s="8">
        <f>IF(sample_20250925!$C87=$C87,sample_20250925!G87, NA())</f>
        <v>0</v>
      </c>
      <c r="H87" s="9" t="s">
        <v>21</v>
      </c>
      <c r="I87" s="12"/>
      <c r="J87" s="12"/>
      <c r="K87" s="12"/>
      <c r="L87" s="12"/>
      <c r="M87" s="10">
        <f t="shared" si="1"/>
        <v>1</v>
      </c>
      <c r="N87" s="10">
        <f t="shared" si="2"/>
        <v>0</v>
      </c>
      <c r="O87" s="10">
        <f>IFERROR(__xludf.DUMMYFUNCTION("INT(FILTER(GT(F87,0),ISNUMBER(F87)))"),1.0)</f>
        <v>1</v>
      </c>
      <c r="P87" s="10">
        <f t="shared" si="3"/>
        <v>1</v>
      </c>
      <c r="Q87" s="10">
        <f>IFERROR(__xludf.DUMMYFUNCTION("INT(FILTER(EQ(E87,F87),ISNUMBER(E87),ISNUMBER(F87)))"),1.0)</f>
        <v>1</v>
      </c>
    </row>
    <row r="88">
      <c r="A88" s="1" t="s">
        <v>357</v>
      </c>
      <c r="B88" s="7" t="s">
        <v>358</v>
      </c>
      <c r="C88" s="2" t="s">
        <v>359</v>
      </c>
      <c r="D88" s="7" t="s">
        <v>360</v>
      </c>
      <c r="E88" s="8">
        <f>sample_20250925!E88</f>
        <v>2</v>
      </c>
      <c r="F88" s="8">
        <v>1.0</v>
      </c>
      <c r="G88" s="8">
        <v>0.0</v>
      </c>
      <c r="H88" s="9" t="s">
        <v>21</v>
      </c>
      <c r="I88" s="12"/>
      <c r="J88" s="12"/>
      <c r="K88" s="12"/>
      <c r="L88" s="12"/>
      <c r="M88" s="10">
        <f t="shared" si="1"/>
        <v>0.5</v>
      </c>
      <c r="N88" s="10">
        <f t="shared" si="2"/>
        <v>0</v>
      </c>
      <c r="O88" s="10">
        <f>IFERROR(__xludf.DUMMYFUNCTION("INT(FILTER(GT(F88,0),ISNUMBER(F88)))"),1.0)</f>
        <v>1</v>
      </c>
      <c r="P88" s="10">
        <f t="shared" si="3"/>
        <v>1</v>
      </c>
      <c r="Q88" s="12"/>
    </row>
    <row r="89">
      <c r="A89" s="1" t="s">
        <v>361</v>
      </c>
      <c r="B89" s="7" t="s">
        <v>362</v>
      </c>
      <c r="C89" s="2" t="s">
        <v>363</v>
      </c>
      <c r="D89" s="1" t="s">
        <v>364</v>
      </c>
      <c r="E89" s="8">
        <f>sample_20250925!E89</f>
        <v>5</v>
      </c>
      <c r="F89" s="8">
        <v>2.0</v>
      </c>
      <c r="G89" s="8">
        <v>0.0</v>
      </c>
      <c r="H89" s="9" t="s">
        <v>21</v>
      </c>
      <c r="I89" s="12"/>
      <c r="J89" s="12"/>
      <c r="K89" s="12"/>
      <c r="L89" s="12"/>
      <c r="M89" s="10">
        <f t="shared" si="1"/>
        <v>0.4</v>
      </c>
      <c r="N89" s="10">
        <f t="shared" si="2"/>
        <v>0</v>
      </c>
      <c r="O89" s="10">
        <f>IFERROR(__xludf.DUMMYFUNCTION("INT(FILTER(GT(F89,0),ISNUMBER(F89)))"),1.0)</f>
        <v>1</v>
      </c>
      <c r="P89" s="10">
        <f t="shared" si="3"/>
        <v>1</v>
      </c>
      <c r="Q89" s="10">
        <f>IFERROR(__xludf.DUMMYFUNCTION("INT(FILTER(EQ(E89,F89),ISNUMBER(E89),ISNUMBER(F89)))"),0.0)</f>
        <v>0</v>
      </c>
    </row>
    <row r="90">
      <c r="A90" s="1" t="s">
        <v>365</v>
      </c>
      <c r="B90" s="7" t="s">
        <v>366</v>
      </c>
      <c r="C90" s="2" t="s">
        <v>367</v>
      </c>
      <c r="D90" s="1" t="s">
        <v>368</v>
      </c>
      <c r="E90" s="8">
        <f>sample_20250925!E90</f>
        <v>2</v>
      </c>
      <c r="F90" s="8">
        <f>IF(sample_20250925!$C90=C90,sample_20250925!F90, NA())</f>
        <v>2</v>
      </c>
      <c r="G90" s="8">
        <f>IF(sample_20250925!$C90=$C90,sample_20250925!G90, NA())</f>
        <v>0</v>
      </c>
      <c r="H90" s="9" t="s">
        <v>21</v>
      </c>
      <c r="I90" s="12"/>
      <c r="J90" s="12"/>
      <c r="K90" s="12"/>
      <c r="L90" s="12"/>
      <c r="M90" s="10">
        <f t="shared" si="1"/>
        <v>1</v>
      </c>
      <c r="N90" s="10">
        <f t="shared" si="2"/>
        <v>0</v>
      </c>
      <c r="O90" s="10">
        <f>IFERROR(__xludf.DUMMYFUNCTION("INT(FILTER(GT(F90,0),ISNUMBER(F90)))"),1.0)</f>
        <v>1</v>
      </c>
      <c r="P90" s="10">
        <f t="shared" si="3"/>
        <v>1</v>
      </c>
      <c r="Q90" s="10">
        <f>IFERROR(__xludf.DUMMYFUNCTION("INT(FILTER(EQ(E90,F90),ISNUMBER(E90),ISNUMBER(F90)))"),1.0)</f>
        <v>1</v>
      </c>
    </row>
    <row r="91">
      <c r="A91" s="1" t="s">
        <v>369</v>
      </c>
      <c r="B91" s="7" t="s">
        <v>370</v>
      </c>
      <c r="C91" s="2" t="s">
        <v>371</v>
      </c>
      <c r="D91" s="7" t="s">
        <v>372</v>
      </c>
      <c r="E91" s="8">
        <f>sample_20250925!E91</f>
        <v>1</v>
      </c>
      <c r="F91" s="8">
        <f>IF(sample_20250925!$C91=C91,sample_20250925!F91, NA())</f>
        <v>1</v>
      </c>
      <c r="G91" s="8">
        <f>IF(sample_20250925!$C91=$C91,sample_20250925!G91, NA())</f>
        <v>0</v>
      </c>
      <c r="H91" s="9" t="s">
        <v>21</v>
      </c>
      <c r="I91" s="12"/>
      <c r="J91" s="12"/>
      <c r="K91" s="12"/>
      <c r="L91" s="12"/>
      <c r="M91" s="10">
        <f t="shared" si="1"/>
        <v>1</v>
      </c>
      <c r="N91" s="10">
        <f t="shared" si="2"/>
        <v>0</v>
      </c>
      <c r="O91" s="10">
        <f>IFERROR(__xludf.DUMMYFUNCTION("INT(FILTER(GT(F91,0),ISNUMBER(F91)))"),1.0)</f>
        <v>1</v>
      </c>
      <c r="P91" s="10">
        <f t="shared" si="3"/>
        <v>1</v>
      </c>
      <c r="Q91" s="10">
        <f>IFERROR(__xludf.DUMMYFUNCTION("INT(FILTER(EQ(E91,F91),ISNUMBER(E91),ISNUMBER(F91)))"),1.0)</f>
        <v>1</v>
      </c>
    </row>
    <row r="92">
      <c r="A92" s="1" t="s">
        <v>373</v>
      </c>
      <c r="B92" s="7" t="s">
        <v>374</v>
      </c>
      <c r="C92" s="2" t="s">
        <v>375</v>
      </c>
      <c r="D92" s="1" t="s">
        <v>376</v>
      </c>
      <c r="E92" s="8">
        <f>sample_20250925!E92</f>
        <v>3</v>
      </c>
      <c r="F92" s="8">
        <f>IF(sample_20250925!$C92=C92,sample_20250925!F92, NA())</f>
        <v>3</v>
      </c>
      <c r="G92" s="8">
        <f>IF(sample_20250925!$C92=$C92,sample_20250925!G92, NA())</f>
        <v>0</v>
      </c>
      <c r="H92" s="9" t="s">
        <v>21</v>
      </c>
      <c r="I92" s="12"/>
      <c r="J92" s="12"/>
      <c r="K92" s="12"/>
      <c r="L92" s="12"/>
      <c r="M92" s="10">
        <f t="shared" si="1"/>
        <v>1</v>
      </c>
      <c r="N92" s="10">
        <f t="shared" si="2"/>
        <v>0</v>
      </c>
      <c r="O92" s="10">
        <f>IFERROR(__xludf.DUMMYFUNCTION("INT(FILTER(GT(F92,0),ISNUMBER(F92)))"),1.0)</f>
        <v>1</v>
      </c>
      <c r="P92" s="10">
        <f t="shared" si="3"/>
        <v>1</v>
      </c>
      <c r="Q92" s="10">
        <f>IFERROR(__xludf.DUMMYFUNCTION("INT(FILTER(EQ(E92,F92),ISNUMBER(E92),ISNUMBER(F92)))"),1.0)</f>
        <v>1</v>
      </c>
    </row>
    <row r="93">
      <c r="A93" s="1" t="s">
        <v>377</v>
      </c>
      <c r="B93" s="7" t="s">
        <v>378</v>
      </c>
      <c r="C93" s="2" t="s">
        <v>379</v>
      </c>
      <c r="D93" s="1" t="s">
        <v>380</v>
      </c>
      <c r="E93" s="8">
        <f>sample_20250925!E93</f>
        <v>3</v>
      </c>
      <c r="F93" s="8">
        <v>2.0</v>
      </c>
      <c r="G93" s="8">
        <v>0.0</v>
      </c>
      <c r="H93" s="9" t="s">
        <v>21</v>
      </c>
      <c r="I93" s="12"/>
      <c r="J93" s="12"/>
      <c r="K93" s="12"/>
      <c r="L93" s="12"/>
      <c r="M93" s="10">
        <f t="shared" si="1"/>
        <v>0.6666666667</v>
      </c>
      <c r="N93" s="10">
        <f t="shared" si="2"/>
        <v>0</v>
      </c>
      <c r="O93" s="10">
        <f>IFERROR(__xludf.DUMMYFUNCTION("INT(FILTER(GT(F93,0),ISNUMBER(F93)))"),1.0)</f>
        <v>1</v>
      </c>
      <c r="P93" s="10">
        <f t="shared" si="3"/>
        <v>1</v>
      </c>
      <c r="Q93" s="10">
        <f>IFERROR(__xludf.DUMMYFUNCTION("INT(FILTER(EQ(E93,F93),ISNUMBER(E93),ISNUMBER(F93)))"),0.0)</f>
        <v>0</v>
      </c>
    </row>
    <row r="94">
      <c r="A94" s="1" t="s">
        <v>381</v>
      </c>
      <c r="B94" s="7" t="s">
        <v>382</v>
      </c>
      <c r="C94" s="2" t="s">
        <v>383</v>
      </c>
      <c r="D94" s="7" t="s">
        <v>384</v>
      </c>
      <c r="E94" s="8">
        <f>sample_20250925!E94</f>
        <v>1</v>
      </c>
      <c r="F94" s="8">
        <f>IF(sample_20250925!$C94=C94,sample_20250925!F94, NA())</f>
        <v>1</v>
      </c>
      <c r="G94" s="8">
        <f>IF(sample_20250925!$C94=$C94,sample_20250925!G94, NA())</f>
        <v>0</v>
      </c>
      <c r="H94" s="9" t="s">
        <v>21</v>
      </c>
      <c r="I94" s="12"/>
      <c r="J94" s="12"/>
      <c r="K94" s="12"/>
      <c r="L94" s="12"/>
      <c r="M94" s="10">
        <f t="shared" si="1"/>
        <v>1</v>
      </c>
      <c r="N94" s="10">
        <f t="shared" si="2"/>
        <v>0</v>
      </c>
      <c r="O94" s="10">
        <f>IFERROR(__xludf.DUMMYFUNCTION("INT(FILTER(GT(F94,0),ISNUMBER(F94)))"),1.0)</f>
        <v>1</v>
      </c>
      <c r="P94" s="10">
        <f t="shared" si="3"/>
        <v>1</v>
      </c>
      <c r="Q94" s="10">
        <f>IFERROR(__xludf.DUMMYFUNCTION("INT(FILTER(EQ(E94,F94),ISNUMBER(E94),ISNUMBER(F94)))"),1.0)</f>
        <v>1</v>
      </c>
    </row>
    <row r="95">
      <c r="A95" s="1" t="s">
        <v>385</v>
      </c>
      <c r="B95" s="7" t="s">
        <v>386</v>
      </c>
      <c r="C95" s="2" t="s">
        <v>387</v>
      </c>
      <c r="D95" s="1" t="s">
        <v>388</v>
      </c>
      <c r="E95" s="8">
        <f>sample_20250925!E95</f>
        <v>7</v>
      </c>
      <c r="F95" s="8">
        <v>5.0</v>
      </c>
      <c r="G95" s="8">
        <v>1.0</v>
      </c>
      <c r="H95" s="9" t="s">
        <v>21</v>
      </c>
      <c r="I95" s="12"/>
      <c r="J95" s="12"/>
      <c r="K95" s="12"/>
      <c r="L95" s="12"/>
      <c r="M95" s="10">
        <f t="shared" si="1"/>
        <v>0.7142857143</v>
      </c>
      <c r="N95" s="10">
        <f t="shared" si="2"/>
        <v>0.1428571429</v>
      </c>
      <c r="O95" s="10">
        <f>IFERROR(__xludf.DUMMYFUNCTION("INT(FILTER(GT(F95,0),ISNUMBER(F95)))"),1.0)</f>
        <v>1</v>
      </c>
      <c r="P95" s="10">
        <f t="shared" si="3"/>
        <v>0.8333333333</v>
      </c>
      <c r="Q95" s="10">
        <f>IFERROR(__xludf.DUMMYFUNCTION("INT(FILTER(EQ(E95,F95),ISNUMBER(E95),ISNUMBER(F95)))"),0.0)</f>
        <v>0</v>
      </c>
    </row>
    <row r="96">
      <c r="A96" s="1" t="s">
        <v>389</v>
      </c>
      <c r="B96" s="7" t="s">
        <v>390</v>
      </c>
      <c r="C96" s="2" t="s">
        <v>391</v>
      </c>
      <c r="D96" s="7" t="s">
        <v>392</v>
      </c>
      <c r="E96" s="8">
        <f>sample_20250925!E96</f>
        <v>1</v>
      </c>
      <c r="F96" s="8">
        <v>1.0</v>
      </c>
      <c r="G96" s="8">
        <v>0.0</v>
      </c>
      <c r="H96" s="9" t="s">
        <v>21</v>
      </c>
      <c r="I96" s="12"/>
      <c r="J96" s="12"/>
      <c r="K96" s="12"/>
      <c r="L96" s="12"/>
      <c r="M96" s="10">
        <f t="shared" si="1"/>
        <v>1</v>
      </c>
      <c r="N96" s="10">
        <f t="shared" si="2"/>
        <v>0</v>
      </c>
      <c r="O96" s="10">
        <f>IFERROR(__xludf.DUMMYFUNCTION("INT(FILTER(GT(F96,0),ISNUMBER(F96)))"),1.0)</f>
        <v>1</v>
      </c>
      <c r="P96" s="10">
        <f t="shared" si="3"/>
        <v>1</v>
      </c>
      <c r="Q96" s="10">
        <f>IFERROR(__xludf.DUMMYFUNCTION("INT(FILTER(EQ(E96,F96),ISNUMBER(E96),ISNUMBER(F96)))"),1.0)</f>
        <v>1</v>
      </c>
    </row>
    <row r="97">
      <c r="A97" s="1" t="s">
        <v>393</v>
      </c>
      <c r="B97" s="7" t="s">
        <v>394</v>
      </c>
      <c r="C97" s="2" t="s">
        <v>395</v>
      </c>
      <c r="D97" s="1" t="s">
        <v>396</v>
      </c>
      <c r="E97" s="8">
        <v>5.0</v>
      </c>
      <c r="F97" s="8">
        <v>4.0</v>
      </c>
      <c r="G97" s="8">
        <v>0.0</v>
      </c>
      <c r="H97" s="9" t="s">
        <v>21</v>
      </c>
      <c r="I97" s="12"/>
      <c r="J97" s="12"/>
      <c r="K97" s="12"/>
      <c r="L97" s="12"/>
      <c r="M97" s="10">
        <f t="shared" si="1"/>
        <v>0.8</v>
      </c>
      <c r="N97" s="10">
        <f t="shared" si="2"/>
        <v>0</v>
      </c>
      <c r="O97" s="10">
        <f>IFERROR(__xludf.DUMMYFUNCTION("INT(FILTER(GT(F97,0),ISNUMBER(F97)))"),1.0)</f>
        <v>1</v>
      </c>
      <c r="P97" s="10">
        <f t="shared" si="3"/>
        <v>1</v>
      </c>
      <c r="Q97" s="10">
        <f>IFERROR(__xludf.DUMMYFUNCTION("INT(FILTER(EQ(E97,F97),ISNUMBER(E97),ISNUMBER(F97)))"),0.0)</f>
        <v>0</v>
      </c>
    </row>
    <row r="98">
      <c r="A98" s="1" t="s">
        <v>397</v>
      </c>
      <c r="B98" s="7" t="s">
        <v>398</v>
      </c>
      <c r="C98" s="2" t="s">
        <v>399</v>
      </c>
      <c r="D98" s="7" t="s">
        <v>400</v>
      </c>
      <c r="E98" s="8">
        <f>sample_20250925!E98</f>
        <v>3</v>
      </c>
      <c r="F98" s="8">
        <v>1.0</v>
      </c>
      <c r="G98" s="8">
        <v>0.0</v>
      </c>
      <c r="H98" s="9" t="s">
        <v>21</v>
      </c>
      <c r="I98" s="12"/>
      <c r="J98" s="12"/>
      <c r="K98" s="12"/>
      <c r="L98" s="12"/>
      <c r="M98" s="10">
        <f t="shared" si="1"/>
        <v>0.3333333333</v>
      </c>
      <c r="N98" s="10">
        <f t="shared" si="2"/>
        <v>0</v>
      </c>
      <c r="O98" s="10">
        <f>IFERROR(__xludf.DUMMYFUNCTION("INT(FILTER(GT(F98,0),ISNUMBER(F98)))"),1.0)</f>
        <v>1</v>
      </c>
      <c r="P98" s="10">
        <f t="shared" si="3"/>
        <v>1</v>
      </c>
      <c r="Q98" s="10">
        <f>IFERROR(__xludf.DUMMYFUNCTION("INT(FILTER(EQ(E98,F98),ISNUMBER(E98),ISNUMBER(F98)))"),0.0)</f>
        <v>0</v>
      </c>
    </row>
    <row r="99">
      <c r="A99" s="1" t="s">
        <v>401</v>
      </c>
      <c r="B99" s="7" t="s">
        <v>402</v>
      </c>
      <c r="C99" s="2" t="s">
        <v>403</v>
      </c>
      <c r="D99" s="7" t="s">
        <v>404</v>
      </c>
      <c r="E99" s="8">
        <f>sample_20250925!E99</f>
        <v>2</v>
      </c>
      <c r="F99" s="8">
        <v>1.0</v>
      </c>
      <c r="G99" s="8">
        <v>0.0</v>
      </c>
      <c r="H99" s="9" t="s">
        <v>21</v>
      </c>
      <c r="I99" s="12"/>
      <c r="J99" s="12"/>
      <c r="K99" s="12"/>
      <c r="L99" s="12"/>
      <c r="M99" s="10">
        <f t="shared" si="1"/>
        <v>0.5</v>
      </c>
      <c r="N99" s="10">
        <f t="shared" si="2"/>
        <v>0</v>
      </c>
      <c r="O99" s="10">
        <f>IFERROR(__xludf.DUMMYFUNCTION("INT(FILTER(GT(F99,0),ISNUMBER(F99)))"),1.0)</f>
        <v>1</v>
      </c>
      <c r="P99" s="10">
        <f t="shared" si="3"/>
        <v>1</v>
      </c>
      <c r="Q99" s="12"/>
    </row>
    <row r="100">
      <c r="A100" s="1" t="s">
        <v>405</v>
      </c>
      <c r="B100" s="7" t="s">
        <v>406</v>
      </c>
      <c r="C100" s="2" t="s">
        <v>407</v>
      </c>
      <c r="D100" s="1" t="s">
        <v>408</v>
      </c>
      <c r="E100" s="8">
        <f>sample_20250925!E100</f>
        <v>3</v>
      </c>
      <c r="F100" s="8">
        <f>IF(sample_20250925!$C100=C100,sample_20250925!F100, NA())</f>
        <v>3</v>
      </c>
      <c r="G100" s="8">
        <f>IF(sample_20250925!$C100=$C100,sample_20250925!G100, NA())</f>
        <v>0</v>
      </c>
      <c r="H100" s="9" t="s">
        <v>21</v>
      </c>
      <c r="I100" s="12"/>
      <c r="J100" s="12"/>
      <c r="K100" s="12"/>
      <c r="L100" s="12"/>
      <c r="M100" s="10">
        <f t="shared" si="1"/>
        <v>1</v>
      </c>
      <c r="N100" s="10">
        <f t="shared" si="2"/>
        <v>0</v>
      </c>
      <c r="O100" s="10">
        <f>IFERROR(__xludf.DUMMYFUNCTION("INT(FILTER(GT(F100,0),ISNUMBER(F100)))"),1.0)</f>
        <v>1</v>
      </c>
      <c r="P100" s="10">
        <f t="shared" si="3"/>
        <v>1</v>
      </c>
      <c r="Q100" s="10">
        <f>IFERROR(__xludf.DUMMYFUNCTION("INT(FILTER(EQ(E100,F100),ISNUMBER(E100),ISNUMBER(F100)))"),1.0)</f>
        <v>1</v>
      </c>
    </row>
    <row r="101">
      <c r="A101" s="1" t="s">
        <v>409</v>
      </c>
      <c r="B101" s="7" t="s">
        <v>410</v>
      </c>
      <c r="C101" s="2" t="s">
        <v>411</v>
      </c>
      <c r="D101" s="1" t="s">
        <v>412</v>
      </c>
      <c r="E101" s="8">
        <f>sample_20250925!E101</f>
        <v>3</v>
      </c>
      <c r="F101" s="8">
        <v>1.0</v>
      </c>
      <c r="G101" s="8">
        <v>1.0</v>
      </c>
      <c r="H101" s="9" t="s">
        <v>21</v>
      </c>
      <c r="I101" s="12"/>
      <c r="J101" s="12"/>
      <c r="K101" s="12"/>
      <c r="L101" s="12"/>
      <c r="M101" s="10">
        <f t="shared" si="1"/>
        <v>0.3333333333</v>
      </c>
      <c r="N101" s="10">
        <f t="shared" si="2"/>
        <v>0.3333333333</v>
      </c>
      <c r="O101" s="10">
        <f>IFERROR(__xludf.DUMMYFUNCTION("INT(FILTER(GT(F101,0),ISNUMBER(F101)))"),1.0)</f>
        <v>1</v>
      </c>
      <c r="P101" s="10">
        <f t="shared" si="3"/>
        <v>0.5</v>
      </c>
      <c r="Q101" s="10">
        <f>IFERROR(__xludf.DUMMYFUNCTION("INT(FILTER(EQ(E101,F101),ISNUMBER(E101),ISNUMBER(F101)))"),0.0)</f>
        <v>0</v>
      </c>
    </row>
    <row r="102">
      <c r="A102" s="1" t="s">
        <v>413</v>
      </c>
      <c r="B102" s="7" t="s">
        <v>414</v>
      </c>
      <c r="C102" s="2" t="s">
        <v>172</v>
      </c>
      <c r="D102" s="7" t="s">
        <v>173</v>
      </c>
      <c r="E102" s="8">
        <f>sample_20250925!E102</f>
        <v>1</v>
      </c>
      <c r="F102" s="8">
        <f>IF(sample_20250925!$C102=C102,sample_20250925!F102, NA())</f>
        <v>1</v>
      </c>
      <c r="G102" s="8">
        <f>IF(sample_20250925!$C102=$C102,sample_20250925!G102, NA())</f>
        <v>0</v>
      </c>
      <c r="H102" s="9" t="s">
        <v>21</v>
      </c>
      <c r="I102" s="12"/>
      <c r="J102" s="12"/>
      <c r="K102" s="12"/>
      <c r="L102" s="12"/>
      <c r="M102" s="10">
        <f t="shared" si="1"/>
        <v>1</v>
      </c>
      <c r="N102" s="10">
        <f t="shared" si="2"/>
        <v>0</v>
      </c>
      <c r="O102" s="10">
        <f>IFERROR(__xludf.DUMMYFUNCTION("INT(FILTER(GT(F102,0),ISNUMBER(F102)))"),1.0)</f>
        <v>1</v>
      </c>
      <c r="P102" s="10">
        <f t="shared" si="3"/>
        <v>1</v>
      </c>
      <c r="Q102" s="10">
        <f>IFERROR(__xludf.DUMMYFUNCTION("INT(FILTER(EQ(E102,F102),ISNUMBER(E102),ISNUMBER(F102)))"),1.0)</f>
        <v>1</v>
      </c>
    </row>
    <row r="103">
      <c r="A103" s="1" t="s">
        <v>415</v>
      </c>
      <c r="B103" s="7" t="s">
        <v>416</v>
      </c>
      <c r="C103" s="2" t="s">
        <v>417</v>
      </c>
      <c r="D103" s="1" t="s">
        <v>418</v>
      </c>
      <c r="E103" s="8">
        <f>sample_20250925!E103</f>
        <v>7</v>
      </c>
      <c r="F103" s="8">
        <v>4.0</v>
      </c>
      <c r="G103" s="8">
        <v>0.0</v>
      </c>
      <c r="H103" s="9" t="s">
        <v>21</v>
      </c>
      <c r="I103" s="12"/>
      <c r="J103" s="12"/>
      <c r="K103" s="12"/>
      <c r="L103" s="12"/>
      <c r="M103" s="10">
        <f t="shared" si="1"/>
        <v>0.5714285714</v>
      </c>
      <c r="N103" s="10">
        <f t="shared" si="2"/>
        <v>0</v>
      </c>
      <c r="O103" s="10">
        <f>IFERROR(__xludf.DUMMYFUNCTION("INT(FILTER(GT(F103,0),ISNUMBER(F103)))"),1.0)</f>
        <v>1</v>
      </c>
      <c r="P103" s="10">
        <f t="shared" si="3"/>
        <v>1</v>
      </c>
      <c r="Q103" s="10">
        <f>IFERROR(__xludf.DUMMYFUNCTION("INT(FILTER(EQ(E103,F103),ISNUMBER(E103),ISNUMBER(F103)))"),0.0)</f>
        <v>0</v>
      </c>
    </row>
    <row r="104">
      <c r="A104" s="1" t="s">
        <v>419</v>
      </c>
      <c r="B104" s="7" t="s">
        <v>420</v>
      </c>
      <c r="C104" s="2" t="s">
        <v>421</v>
      </c>
      <c r="D104" s="1" t="s">
        <v>422</v>
      </c>
      <c r="E104" s="8">
        <f>sample_20250925!E104</f>
        <v>2</v>
      </c>
      <c r="F104" s="8">
        <v>1.0</v>
      </c>
      <c r="G104" s="8">
        <v>1.0</v>
      </c>
      <c r="H104" s="9" t="s">
        <v>21</v>
      </c>
      <c r="I104" s="12"/>
      <c r="J104" s="12"/>
      <c r="K104" s="12"/>
      <c r="L104" s="12"/>
      <c r="M104" s="10">
        <f t="shared" si="1"/>
        <v>0.5</v>
      </c>
      <c r="N104" s="10">
        <f t="shared" si="2"/>
        <v>0.5</v>
      </c>
      <c r="O104" s="10">
        <f>IFERROR(__xludf.DUMMYFUNCTION("INT(FILTER(GT(F104,0),ISNUMBER(F104)))"),1.0)</f>
        <v>1</v>
      </c>
      <c r="P104" s="10">
        <f t="shared" si="3"/>
        <v>0.5</v>
      </c>
      <c r="Q104" s="10">
        <f>IFERROR(__xludf.DUMMYFUNCTION("INT(FILTER(EQ(E104,F104),ISNUMBER(E104),ISNUMBER(F104)))"),0.0)</f>
        <v>0</v>
      </c>
    </row>
    <row r="105">
      <c r="A105" s="1" t="s">
        <v>423</v>
      </c>
      <c r="B105" s="7" t="s">
        <v>424</v>
      </c>
      <c r="C105" s="2" t="s">
        <v>425</v>
      </c>
      <c r="D105" s="7" t="s">
        <v>426</v>
      </c>
      <c r="E105" s="8">
        <f>sample_20250925!E105</f>
        <v>3</v>
      </c>
      <c r="F105" s="8">
        <v>1.0</v>
      </c>
      <c r="G105" s="8">
        <v>0.0</v>
      </c>
      <c r="H105" s="9" t="s">
        <v>21</v>
      </c>
      <c r="I105" s="12"/>
      <c r="J105" s="12"/>
      <c r="K105" s="12"/>
      <c r="L105" s="12"/>
      <c r="M105" s="10">
        <f t="shared" si="1"/>
        <v>0.3333333333</v>
      </c>
      <c r="N105" s="10">
        <f t="shared" si="2"/>
        <v>0</v>
      </c>
      <c r="O105" s="10">
        <f>IFERROR(__xludf.DUMMYFUNCTION("INT(FILTER(GT(F105,0),ISNUMBER(F105)))"),1.0)</f>
        <v>1</v>
      </c>
      <c r="P105" s="10">
        <f t="shared" si="3"/>
        <v>1</v>
      </c>
      <c r="Q105" s="10">
        <f>IFERROR(__xludf.DUMMYFUNCTION("INT(FILTER(EQ(E105,F105),ISNUMBER(E105),ISNUMBER(F105)))"),0.0)</f>
        <v>0</v>
      </c>
    </row>
    <row r="106">
      <c r="A106" s="1" t="s">
        <v>427</v>
      </c>
      <c r="B106" s="7" t="s">
        <v>428</v>
      </c>
      <c r="C106" s="2" t="s">
        <v>429</v>
      </c>
      <c r="D106" s="7" t="s">
        <v>430</v>
      </c>
      <c r="E106" s="8">
        <f>sample_20250925!E106</f>
        <v>1</v>
      </c>
      <c r="F106" s="8">
        <v>1.0</v>
      </c>
      <c r="G106" s="8">
        <v>0.0</v>
      </c>
      <c r="H106" s="9" t="s">
        <v>21</v>
      </c>
      <c r="I106" s="12"/>
      <c r="J106" s="12"/>
      <c r="K106" s="12"/>
      <c r="L106" s="12"/>
      <c r="M106" s="10">
        <f t="shared" si="1"/>
        <v>1</v>
      </c>
      <c r="N106" s="10">
        <f t="shared" si="2"/>
        <v>0</v>
      </c>
      <c r="O106" s="10">
        <f>IFERROR(__xludf.DUMMYFUNCTION("INT(FILTER(GT(F106,0),ISNUMBER(F106)))"),1.0)</f>
        <v>1</v>
      </c>
      <c r="P106" s="10">
        <f t="shared" si="3"/>
        <v>1</v>
      </c>
      <c r="Q106" s="10">
        <f>IFERROR(__xludf.DUMMYFUNCTION("INT(FILTER(EQ(E106,F106),ISNUMBER(E106),ISNUMBER(F106)))"),1.0)</f>
        <v>1</v>
      </c>
    </row>
    <row r="107">
      <c r="A107" s="1" t="s">
        <v>431</v>
      </c>
      <c r="B107" s="7" t="s">
        <v>432</v>
      </c>
      <c r="C107" s="2" t="s">
        <v>433</v>
      </c>
      <c r="D107" s="1" t="s">
        <v>434</v>
      </c>
      <c r="E107" s="8">
        <f>sample_20250925!E107</f>
        <v>4</v>
      </c>
      <c r="F107" s="8">
        <v>3.0</v>
      </c>
      <c r="G107" s="8">
        <v>0.0</v>
      </c>
      <c r="H107" s="9" t="s">
        <v>21</v>
      </c>
      <c r="I107" s="12"/>
      <c r="J107" s="12"/>
      <c r="K107" s="12"/>
      <c r="L107" s="12"/>
      <c r="M107" s="10">
        <f t="shared" si="1"/>
        <v>0.75</v>
      </c>
      <c r="N107" s="10">
        <f t="shared" si="2"/>
        <v>0</v>
      </c>
      <c r="O107" s="10">
        <f>IFERROR(__xludf.DUMMYFUNCTION("INT(FILTER(GT(F107,0),ISNUMBER(F107)))"),1.0)</f>
        <v>1</v>
      </c>
      <c r="P107" s="10">
        <f t="shared" si="3"/>
        <v>1</v>
      </c>
      <c r="Q107" s="10">
        <f>IFERROR(__xludf.DUMMYFUNCTION("INT(FILTER(EQ(E107,F107),ISNUMBER(E107),ISNUMBER(F107)))"),0.0)</f>
        <v>0</v>
      </c>
    </row>
    <row r="108">
      <c r="A108" s="1" t="s">
        <v>435</v>
      </c>
      <c r="B108" s="7" t="s">
        <v>436</v>
      </c>
      <c r="C108" s="2" t="s">
        <v>437</v>
      </c>
      <c r="D108" s="7" t="s">
        <v>296</v>
      </c>
      <c r="E108" s="8">
        <f>sample_20250925!E108</f>
        <v>1</v>
      </c>
      <c r="F108" s="8">
        <v>1.0</v>
      </c>
      <c r="G108" s="8">
        <v>0.0</v>
      </c>
      <c r="H108" s="9" t="s">
        <v>21</v>
      </c>
      <c r="I108" s="12"/>
      <c r="J108" s="12"/>
      <c r="K108" s="12"/>
      <c r="L108" s="12"/>
      <c r="M108" s="10">
        <f t="shared" si="1"/>
        <v>1</v>
      </c>
      <c r="N108" s="10">
        <f t="shared" si="2"/>
        <v>0</v>
      </c>
      <c r="O108" s="10">
        <f>IFERROR(__xludf.DUMMYFUNCTION("INT(FILTER(GT(F108,0),ISNUMBER(F108)))"),1.0)</f>
        <v>1</v>
      </c>
      <c r="P108" s="10">
        <f t="shared" si="3"/>
        <v>1</v>
      </c>
      <c r="Q108" s="10">
        <f>IFERROR(__xludf.DUMMYFUNCTION("INT(FILTER(EQ(E108,F108),ISNUMBER(E108),ISNUMBER(F108)))"),1.0)</f>
        <v>1</v>
      </c>
    </row>
    <row r="109">
      <c r="A109" s="1" t="s">
        <v>438</v>
      </c>
      <c r="B109" s="7" t="s">
        <v>439</v>
      </c>
      <c r="C109" s="2" t="s">
        <v>440</v>
      </c>
      <c r="D109" s="7" t="s">
        <v>441</v>
      </c>
      <c r="E109" s="8">
        <v>4.0</v>
      </c>
      <c r="F109" s="8">
        <v>1.0</v>
      </c>
      <c r="G109" s="8">
        <v>0.0</v>
      </c>
      <c r="H109" s="9" t="s">
        <v>21</v>
      </c>
      <c r="I109" s="12"/>
      <c r="J109" s="12"/>
      <c r="K109" s="12"/>
      <c r="L109" s="12"/>
      <c r="M109" s="10">
        <f t="shared" si="1"/>
        <v>0.25</v>
      </c>
      <c r="N109" s="10">
        <f t="shared" si="2"/>
        <v>0</v>
      </c>
      <c r="O109" s="10">
        <f>IFERROR(__xludf.DUMMYFUNCTION("INT(FILTER(GT(F109,0),ISNUMBER(F109)))"),1.0)</f>
        <v>1</v>
      </c>
      <c r="P109" s="10">
        <f t="shared" si="3"/>
        <v>1</v>
      </c>
      <c r="Q109" s="10">
        <f>IFERROR(__xludf.DUMMYFUNCTION("INT(FILTER(EQ(E109,F109),ISNUMBER(E109),ISNUMBER(F109)))"),0.0)</f>
        <v>0</v>
      </c>
    </row>
    <row r="110">
      <c r="A110" s="1" t="s">
        <v>442</v>
      </c>
      <c r="B110" s="7" t="s">
        <v>443</v>
      </c>
      <c r="C110" s="2" t="s">
        <v>444</v>
      </c>
      <c r="D110" s="7" t="s">
        <v>445</v>
      </c>
      <c r="E110" s="8">
        <f>sample_20250925!E110</f>
        <v>3</v>
      </c>
      <c r="F110" s="8">
        <v>1.0</v>
      </c>
      <c r="G110" s="8">
        <v>0.0</v>
      </c>
      <c r="H110" s="9" t="s">
        <v>21</v>
      </c>
      <c r="I110" s="12"/>
      <c r="J110" s="12"/>
      <c r="K110" s="12"/>
      <c r="L110" s="12"/>
      <c r="M110" s="10">
        <f t="shared" si="1"/>
        <v>0.3333333333</v>
      </c>
      <c r="N110" s="10">
        <f t="shared" si="2"/>
        <v>0</v>
      </c>
      <c r="O110" s="10">
        <f>IFERROR(__xludf.DUMMYFUNCTION("INT(FILTER(GT(F110,0),ISNUMBER(F110)))"),1.0)</f>
        <v>1</v>
      </c>
      <c r="P110" s="10">
        <f t="shared" si="3"/>
        <v>1</v>
      </c>
      <c r="Q110" s="12"/>
    </row>
    <row r="111">
      <c r="A111" s="1" t="s">
        <v>446</v>
      </c>
      <c r="B111" s="7" t="s">
        <v>447</v>
      </c>
      <c r="C111" s="2" t="s">
        <v>448</v>
      </c>
      <c r="D111" s="1" t="s">
        <v>449</v>
      </c>
      <c r="E111" s="8">
        <v>4.0</v>
      </c>
      <c r="F111" s="8">
        <v>3.0</v>
      </c>
      <c r="G111" s="8">
        <v>0.0</v>
      </c>
      <c r="H111" s="9" t="s">
        <v>21</v>
      </c>
      <c r="I111" s="12"/>
      <c r="J111" s="12"/>
      <c r="K111" s="12"/>
      <c r="L111" s="12"/>
      <c r="M111" s="10">
        <f t="shared" si="1"/>
        <v>0.75</v>
      </c>
      <c r="N111" s="10">
        <f t="shared" si="2"/>
        <v>0</v>
      </c>
      <c r="O111" s="10">
        <f>IFERROR(__xludf.DUMMYFUNCTION("INT(FILTER(GT(F111,0),ISNUMBER(F111)))"),1.0)</f>
        <v>1</v>
      </c>
      <c r="P111" s="10">
        <f t="shared" si="3"/>
        <v>1</v>
      </c>
      <c r="Q111" s="10">
        <f>IFERROR(__xludf.DUMMYFUNCTION("INT(FILTER(EQ(E111,F111),ISNUMBER(E111),ISNUMBER(F111)))"),0.0)</f>
        <v>0</v>
      </c>
    </row>
    <row r="112">
      <c r="A112" s="1" t="s">
        <v>450</v>
      </c>
      <c r="B112" s="7" t="s">
        <v>451</v>
      </c>
      <c r="C112" s="2" t="s">
        <v>452</v>
      </c>
      <c r="D112" s="1" t="s">
        <v>453</v>
      </c>
      <c r="E112" s="8">
        <v>5.0</v>
      </c>
      <c r="F112" s="8">
        <v>4.0</v>
      </c>
      <c r="G112" s="8">
        <v>0.0</v>
      </c>
      <c r="H112" s="9" t="s">
        <v>21</v>
      </c>
      <c r="I112" s="12"/>
      <c r="J112" s="12"/>
      <c r="K112" s="12"/>
      <c r="L112" s="12"/>
      <c r="M112" s="10">
        <f t="shared" si="1"/>
        <v>0.8</v>
      </c>
      <c r="N112" s="10">
        <f t="shared" si="2"/>
        <v>0</v>
      </c>
      <c r="O112" s="10">
        <f>IFERROR(__xludf.DUMMYFUNCTION("INT(FILTER(GT(F112,0),ISNUMBER(F112)))"),1.0)</f>
        <v>1</v>
      </c>
      <c r="P112" s="10">
        <f t="shared" si="3"/>
        <v>1</v>
      </c>
      <c r="Q112" s="10">
        <f>IFERROR(__xludf.DUMMYFUNCTION("INT(FILTER(EQ(E112,F112),ISNUMBER(E112),ISNUMBER(F112)))"),0.0)</f>
        <v>0</v>
      </c>
    </row>
    <row r="113">
      <c r="A113" s="1" t="s">
        <v>454</v>
      </c>
      <c r="B113" s="7" t="s">
        <v>455</v>
      </c>
      <c r="C113" s="2" t="s">
        <v>456</v>
      </c>
      <c r="D113" s="7" t="s">
        <v>457</v>
      </c>
      <c r="E113" s="8">
        <f>sample_20250925!E113</f>
        <v>2</v>
      </c>
      <c r="F113" s="8">
        <v>1.0</v>
      </c>
      <c r="G113" s="8">
        <v>0.0</v>
      </c>
      <c r="H113" s="9" t="s">
        <v>21</v>
      </c>
      <c r="I113" s="12"/>
      <c r="J113" s="12"/>
      <c r="K113" s="12"/>
      <c r="L113" s="12"/>
      <c r="M113" s="10">
        <f t="shared" si="1"/>
        <v>0.5</v>
      </c>
      <c r="N113" s="10">
        <f t="shared" si="2"/>
        <v>0</v>
      </c>
      <c r="O113" s="10">
        <f>IFERROR(__xludf.DUMMYFUNCTION("INT(FILTER(GT(F113,0),ISNUMBER(F113)))"),1.0)</f>
        <v>1</v>
      </c>
      <c r="P113" s="10">
        <f t="shared" si="3"/>
        <v>1</v>
      </c>
      <c r="Q113" s="10">
        <f>IFERROR(__xludf.DUMMYFUNCTION("INT(FILTER(EQ(E113,F113),ISNUMBER(E113),ISNUMBER(F113)))"),0.0)</f>
        <v>0</v>
      </c>
    </row>
    <row r="114">
      <c r="A114" s="1" t="s">
        <v>458</v>
      </c>
      <c r="B114" s="7" t="s">
        <v>459</v>
      </c>
      <c r="C114" s="2" t="s">
        <v>460</v>
      </c>
      <c r="D114" s="7" t="s">
        <v>461</v>
      </c>
      <c r="E114" s="8">
        <v>1.0</v>
      </c>
      <c r="F114" s="8">
        <v>1.0</v>
      </c>
      <c r="G114" s="8">
        <v>0.0</v>
      </c>
      <c r="H114" s="14" t="s">
        <v>462</v>
      </c>
      <c r="I114" s="12"/>
      <c r="J114" s="12"/>
      <c r="K114" s="12"/>
      <c r="L114" s="12"/>
      <c r="M114" s="10">
        <f t="shared" si="1"/>
        <v>1</v>
      </c>
      <c r="N114" s="10">
        <f t="shared" si="2"/>
        <v>0</v>
      </c>
      <c r="O114" s="10">
        <f>IFERROR(__xludf.DUMMYFUNCTION("INT(FILTER(GT(F114,0),ISNUMBER(F114)))"),1.0)</f>
        <v>1</v>
      </c>
      <c r="P114" s="10">
        <f t="shared" si="3"/>
        <v>1</v>
      </c>
      <c r="Q114" s="10">
        <f>IFERROR(__xludf.DUMMYFUNCTION("INT(FILTER(EQ(E114,F114),ISNUMBER(E114),ISNUMBER(F114)))"),1.0)</f>
        <v>1</v>
      </c>
    </row>
    <row r="115">
      <c r="A115" s="1" t="s">
        <v>463</v>
      </c>
      <c r="B115" s="7" t="s">
        <v>464</v>
      </c>
      <c r="C115" s="2" t="s">
        <v>465</v>
      </c>
      <c r="D115" s="1" t="s">
        <v>466</v>
      </c>
      <c r="E115" s="8">
        <v>4.0</v>
      </c>
      <c r="F115" s="8">
        <v>3.0</v>
      </c>
      <c r="G115" s="8">
        <v>0.0</v>
      </c>
      <c r="H115" s="14" t="s">
        <v>462</v>
      </c>
      <c r="I115" s="12"/>
      <c r="J115" s="12"/>
      <c r="K115" s="12"/>
      <c r="L115" s="12"/>
      <c r="M115" s="10">
        <f t="shared" si="1"/>
        <v>0.75</v>
      </c>
      <c r="N115" s="10">
        <f t="shared" si="2"/>
        <v>0</v>
      </c>
      <c r="O115" s="10">
        <f>IFERROR(__xludf.DUMMYFUNCTION("INT(FILTER(GT(F115,0),ISNUMBER(F115)))"),1.0)</f>
        <v>1</v>
      </c>
      <c r="P115" s="10">
        <f t="shared" si="3"/>
        <v>1</v>
      </c>
      <c r="Q115" s="10">
        <f>IFERROR(__xludf.DUMMYFUNCTION("INT(FILTER(EQ(E115,F115),ISNUMBER(E115),ISNUMBER(F115)))"),0.0)</f>
        <v>0</v>
      </c>
    </row>
    <row r="116">
      <c r="A116" s="1" t="s">
        <v>467</v>
      </c>
      <c r="B116" s="7" t="s">
        <v>468</v>
      </c>
      <c r="C116" s="2" t="s">
        <v>469</v>
      </c>
      <c r="D116" s="1" t="s">
        <v>470</v>
      </c>
      <c r="E116" s="8">
        <f>sample_20250925!E116</f>
        <v>1</v>
      </c>
      <c r="F116" s="8">
        <f>IF(sample_20250925!$C116=C116,sample_20250925!F116, NA())</f>
        <v>1</v>
      </c>
      <c r="G116" s="8">
        <f>IF(sample_20250925!$C116=$C116,sample_20250925!G116, NA())</f>
        <v>1</v>
      </c>
      <c r="H116" s="14" t="s">
        <v>462</v>
      </c>
      <c r="I116" s="12"/>
      <c r="J116" s="12"/>
      <c r="K116" s="12"/>
      <c r="L116" s="12"/>
      <c r="M116" s="10">
        <f t="shared" si="1"/>
        <v>1</v>
      </c>
      <c r="N116" s="10">
        <f t="shared" si="2"/>
        <v>1</v>
      </c>
      <c r="O116" s="10">
        <f>IFERROR(__xludf.DUMMYFUNCTION("INT(FILTER(GT(F116,0),ISNUMBER(F116)))"),1.0)</f>
        <v>1</v>
      </c>
      <c r="P116" s="10">
        <f t="shared" si="3"/>
        <v>0.5</v>
      </c>
      <c r="Q116" s="10">
        <f>IFERROR(__xludf.DUMMYFUNCTION("INT(FILTER(EQ(E116,F116),ISNUMBER(E116),ISNUMBER(F116)))"),1.0)</f>
        <v>1</v>
      </c>
    </row>
    <row r="117">
      <c r="A117" s="1" t="s">
        <v>471</v>
      </c>
      <c r="B117" s="7" t="s">
        <v>472</v>
      </c>
      <c r="C117" s="2" t="s">
        <v>473</v>
      </c>
      <c r="D117" s="1" t="s">
        <v>474</v>
      </c>
      <c r="E117" s="8">
        <f>sample_20250925!E117</f>
        <v>2</v>
      </c>
      <c r="F117" s="8">
        <f>IF(sample_20250925!$C117=C117,sample_20250925!F117, NA())</f>
        <v>2</v>
      </c>
      <c r="G117" s="8">
        <f>IF(sample_20250925!$C117=$C117,sample_20250925!G117, NA())</f>
        <v>0</v>
      </c>
      <c r="H117" s="14" t="s">
        <v>462</v>
      </c>
      <c r="I117" s="12"/>
      <c r="J117" s="12"/>
      <c r="K117" s="12"/>
      <c r="L117" s="12"/>
      <c r="M117" s="10">
        <f t="shared" si="1"/>
        <v>1</v>
      </c>
      <c r="N117" s="10">
        <f t="shared" si="2"/>
        <v>0</v>
      </c>
      <c r="O117" s="10">
        <f>IFERROR(__xludf.DUMMYFUNCTION("INT(FILTER(GT(F117,0),ISNUMBER(F117)))"),1.0)</f>
        <v>1</v>
      </c>
      <c r="P117" s="10">
        <f t="shared" si="3"/>
        <v>1</v>
      </c>
      <c r="Q117" s="10">
        <f>IFERROR(__xludf.DUMMYFUNCTION("INT(FILTER(EQ(E117,F117),ISNUMBER(E117),ISNUMBER(F117)))"),1.0)</f>
        <v>1</v>
      </c>
    </row>
    <row r="118">
      <c r="A118" s="1" t="s">
        <v>475</v>
      </c>
      <c r="B118" s="7" t="s">
        <v>476</v>
      </c>
      <c r="C118" s="2" t="s">
        <v>477</v>
      </c>
      <c r="D118" s="7" t="s">
        <v>478</v>
      </c>
      <c r="E118" s="8">
        <f>sample_20250925!E118</f>
        <v>2</v>
      </c>
      <c r="F118" s="8">
        <v>1.0</v>
      </c>
      <c r="G118" s="8">
        <v>0.0</v>
      </c>
      <c r="H118" s="14" t="s">
        <v>462</v>
      </c>
      <c r="I118" s="12"/>
      <c r="J118" s="12"/>
      <c r="K118" s="12"/>
      <c r="L118" s="12"/>
      <c r="M118" s="10">
        <f t="shared" si="1"/>
        <v>0.5</v>
      </c>
      <c r="N118" s="10">
        <f t="shared" si="2"/>
        <v>0</v>
      </c>
      <c r="O118" s="10">
        <f>IFERROR(__xludf.DUMMYFUNCTION("INT(FILTER(GT(F118,0),ISNUMBER(F118)))"),1.0)</f>
        <v>1</v>
      </c>
      <c r="P118" s="10">
        <f t="shared" si="3"/>
        <v>1</v>
      </c>
      <c r="Q118" s="10">
        <f>IFERROR(__xludf.DUMMYFUNCTION("INT(FILTER(EQ(E118,F118),ISNUMBER(E118),ISNUMBER(F118)))"),0.0)</f>
        <v>0</v>
      </c>
    </row>
    <row r="119">
      <c r="A119" s="1" t="s">
        <v>479</v>
      </c>
      <c r="B119" s="7" t="s">
        <v>480</v>
      </c>
      <c r="C119" s="2" t="s">
        <v>481</v>
      </c>
      <c r="D119" s="7" t="s">
        <v>482</v>
      </c>
      <c r="E119" s="8">
        <f>sample_20250925!E119</f>
        <v>2</v>
      </c>
      <c r="F119" s="8">
        <v>1.0</v>
      </c>
      <c r="G119" s="8">
        <v>0.0</v>
      </c>
      <c r="H119" s="14" t="s">
        <v>462</v>
      </c>
      <c r="I119" s="12"/>
      <c r="J119" s="12"/>
      <c r="K119" s="12"/>
      <c r="L119" s="12"/>
      <c r="M119" s="10">
        <f t="shared" si="1"/>
        <v>0.5</v>
      </c>
      <c r="N119" s="10">
        <f t="shared" si="2"/>
        <v>0</v>
      </c>
      <c r="O119" s="10">
        <f>IFERROR(__xludf.DUMMYFUNCTION("INT(FILTER(GT(F119,0),ISNUMBER(F119)))"),1.0)</f>
        <v>1</v>
      </c>
      <c r="P119" s="10">
        <f t="shared" si="3"/>
        <v>1</v>
      </c>
      <c r="Q119" s="10">
        <f>IFERROR(__xludf.DUMMYFUNCTION("INT(FILTER(EQ(E119,F119),ISNUMBER(E119),ISNUMBER(F119)))"),0.0)</f>
        <v>0</v>
      </c>
    </row>
    <row r="120">
      <c r="A120" s="1" t="s">
        <v>483</v>
      </c>
      <c r="B120" s="7" t="s">
        <v>484</v>
      </c>
      <c r="C120" s="2" t="s">
        <v>485</v>
      </c>
      <c r="D120" s="7" t="s">
        <v>486</v>
      </c>
      <c r="E120" s="8">
        <f>sample_20250925!E120</f>
        <v>2</v>
      </c>
      <c r="F120" s="8">
        <v>1.0</v>
      </c>
      <c r="G120" s="8">
        <v>0.0</v>
      </c>
      <c r="H120" s="14" t="s">
        <v>462</v>
      </c>
      <c r="I120" s="12"/>
      <c r="J120" s="12"/>
      <c r="K120" s="12"/>
      <c r="L120" s="12"/>
      <c r="M120" s="10">
        <f t="shared" si="1"/>
        <v>0.5</v>
      </c>
      <c r="N120" s="10">
        <f t="shared" si="2"/>
        <v>0</v>
      </c>
      <c r="O120" s="10">
        <f>IFERROR(__xludf.DUMMYFUNCTION("INT(FILTER(GT(F120,0),ISNUMBER(F120)))"),1.0)</f>
        <v>1</v>
      </c>
      <c r="P120" s="10">
        <f t="shared" si="3"/>
        <v>1</v>
      </c>
      <c r="Q120" s="10">
        <f>IFERROR(__xludf.DUMMYFUNCTION("INT(FILTER(EQ(E120,F120),ISNUMBER(E120),ISNUMBER(F120)))"),0.0)</f>
        <v>0</v>
      </c>
    </row>
    <row r="121">
      <c r="A121" s="1" t="s">
        <v>487</v>
      </c>
      <c r="B121" s="15" t="s">
        <v>488</v>
      </c>
      <c r="C121" s="2" t="s">
        <v>489</v>
      </c>
      <c r="D121" s="7" t="s">
        <v>490</v>
      </c>
      <c r="E121" s="8">
        <f>sample_20250925!E121</f>
        <v>2</v>
      </c>
      <c r="F121" s="8">
        <v>1.0</v>
      </c>
      <c r="G121" s="8">
        <v>0.0</v>
      </c>
      <c r="H121" s="14" t="s">
        <v>462</v>
      </c>
      <c r="I121" s="12"/>
      <c r="J121" s="12"/>
      <c r="K121" s="12"/>
      <c r="L121" s="12"/>
      <c r="M121" s="10">
        <f t="shared" si="1"/>
        <v>0.5</v>
      </c>
      <c r="N121" s="10">
        <f t="shared" si="2"/>
        <v>0</v>
      </c>
      <c r="O121" s="10">
        <f>IFERROR(__xludf.DUMMYFUNCTION("INT(FILTER(GT(F121,0),ISNUMBER(F121)))"),1.0)</f>
        <v>1</v>
      </c>
      <c r="P121" s="10">
        <f t="shared" si="3"/>
        <v>1</v>
      </c>
      <c r="Q121" s="12"/>
    </row>
    <row r="122">
      <c r="A122" s="1" t="s">
        <v>491</v>
      </c>
      <c r="B122" s="7" t="s">
        <v>492</v>
      </c>
      <c r="C122" s="2" t="s">
        <v>493</v>
      </c>
      <c r="D122" s="1" t="s">
        <v>494</v>
      </c>
      <c r="E122" s="8">
        <f>sample_20250925!E122</f>
        <v>3</v>
      </c>
      <c r="F122" s="8">
        <f>IF(sample_20250925!$C122=C122,sample_20250925!F122, NA())</f>
        <v>3</v>
      </c>
      <c r="G122" s="8">
        <f>IF(sample_20250925!$C122=$C122,sample_20250925!G122, NA())</f>
        <v>0</v>
      </c>
      <c r="H122" s="14" t="s">
        <v>462</v>
      </c>
      <c r="I122" s="12"/>
      <c r="J122" s="12"/>
      <c r="K122" s="12"/>
      <c r="L122" s="12"/>
      <c r="M122" s="10">
        <f t="shared" si="1"/>
        <v>1</v>
      </c>
      <c r="N122" s="10">
        <f t="shared" si="2"/>
        <v>0</v>
      </c>
      <c r="O122" s="10">
        <f>IFERROR(__xludf.DUMMYFUNCTION("INT(FILTER(GT(F122,0),ISNUMBER(F122)))"),1.0)</f>
        <v>1</v>
      </c>
      <c r="P122" s="10">
        <f t="shared" si="3"/>
        <v>1</v>
      </c>
      <c r="Q122" s="10">
        <f>IFERROR(__xludf.DUMMYFUNCTION("INT(FILTER(EQ(E122,F122),ISNUMBER(E122),ISNUMBER(F122)))"),1.0)</f>
        <v>1</v>
      </c>
    </row>
    <row r="123">
      <c r="A123" s="1" t="s">
        <v>495</v>
      </c>
      <c r="B123" s="15" t="s">
        <v>496</v>
      </c>
      <c r="C123" s="2" t="s">
        <v>497</v>
      </c>
      <c r="D123" s="1" t="s">
        <v>498</v>
      </c>
      <c r="E123" s="8">
        <f>sample_20250925!E123</f>
        <v>4</v>
      </c>
      <c r="F123" s="8">
        <v>3.0</v>
      </c>
      <c r="G123" s="8">
        <v>0.0</v>
      </c>
      <c r="H123" s="14" t="s">
        <v>462</v>
      </c>
      <c r="I123" s="12"/>
      <c r="J123" s="12"/>
      <c r="K123" s="12"/>
      <c r="L123" s="12"/>
      <c r="M123" s="10">
        <f t="shared" si="1"/>
        <v>0.75</v>
      </c>
      <c r="N123" s="10">
        <f t="shared" si="2"/>
        <v>0</v>
      </c>
      <c r="O123" s="10">
        <f>IFERROR(__xludf.DUMMYFUNCTION("INT(FILTER(GT(F123,0),ISNUMBER(F123)))"),1.0)</f>
        <v>1</v>
      </c>
      <c r="P123" s="10">
        <f t="shared" si="3"/>
        <v>1</v>
      </c>
      <c r="Q123" s="10">
        <f>IFERROR(__xludf.DUMMYFUNCTION("INT(FILTER(EQ(E123,F123),ISNUMBER(E123),ISNUMBER(F123)))"),0.0)</f>
        <v>0</v>
      </c>
    </row>
    <row r="124">
      <c r="A124" s="1" t="s">
        <v>499</v>
      </c>
      <c r="B124" s="7" t="s">
        <v>500</v>
      </c>
      <c r="C124" s="2" t="s">
        <v>501</v>
      </c>
      <c r="D124" s="1" t="s">
        <v>105</v>
      </c>
      <c r="E124" s="8">
        <f>sample_20250925!E124</f>
        <v>1</v>
      </c>
      <c r="F124" s="8">
        <f>IF(sample_20250925!$C124=C124,sample_20250925!F124, NA())</f>
        <v>1</v>
      </c>
      <c r="G124" s="8">
        <f>IF(sample_20250925!$C124=$C124,sample_20250925!G124, NA())</f>
        <v>0</v>
      </c>
      <c r="H124" s="14" t="s">
        <v>462</v>
      </c>
      <c r="I124" s="12"/>
      <c r="J124" s="12"/>
      <c r="K124" s="12"/>
      <c r="L124" s="12"/>
      <c r="M124" s="10">
        <f t="shared" si="1"/>
        <v>1</v>
      </c>
      <c r="N124" s="10">
        <f t="shared" si="2"/>
        <v>0</v>
      </c>
      <c r="O124" s="10">
        <f>IFERROR(__xludf.DUMMYFUNCTION("INT(FILTER(GT(F124,0),ISNUMBER(F124)))"),1.0)</f>
        <v>1</v>
      </c>
      <c r="P124" s="10">
        <f t="shared" si="3"/>
        <v>1</v>
      </c>
      <c r="Q124" s="10">
        <f>IFERROR(__xludf.DUMMYFUNCTION("INT(FILTER(EQ(E124,F124),ISNUMBER(E124),ISNUMBER(F124)))"),1.0)</f>
        <v>1</v>
      </c>
    </row>
    <row r="125">
      <c r="A125" s="1" t="s">
        <v>502</v>
      </c>
      <c r="B125" s="15" t="s">
        <v>503</v>
      </c>
      <c r="C125" s="2" t="s">
        <v>504</v>
      </c>
      <c r="D125" s="1" t="s">
        <v>505</v>
      </c>
      <c r="E125" s="8">
        <f>sample_20250925!E125</f>
        <v>3</v>
      </c>
      <c r="F125" s="8">
        <v>1.0</v>
      </c>
      <c r="G125" s="8">
        <v>1.0</v>
      </c>
      <c r="H125" s="14" t="s">
        <v>462</v>
      </c>
      <c r="I125" s="12"/>
      <c r="J125" s="12"/>
      <c r="K125" s="12"/>
      <c r="L125" s="12"/>
      <c r="M125" s="10">
        <f t="shared" si="1"/>
        <v>0.3333333333</v>
      </c>
      <c r="N125" s="10">
        <f t="shared" si="2"/>
        <v>0.3333333333</v>
      </c>
      <c r="O125" s="10">
        <f>IFERROR(__xludf.DUMMYFUNCTION("INT(FILTER(GT(F125,0),ISNUMBER(F125)))"),1.0)</f>
        <v>1</v>
      </c>
      <c r="P125" s="10">
        <f t="shared" si="3"/>
        <v>0.5</v>
      </c>
      <c r="Q125" s="10">
        <f>IFERROR(__xludf.DUMMYFUNCTION("INT(FILTER(EQ(E125,F125),ISNUMBER(E125),ISNUMBER(F125)))"),0.0)</f>
        <v>0</v>
      </c>
    </row>
    <row r="126">
      <c r="A126" s="1" t="s">
        <v>506</v>
      </c>
      <c r="B126" s="7" t="s">
        <v>507</v>
      </c>
      <c r="C126" s="2" t="s">
        <v>508</v>
      </c>
      <c r="D126" s="7" t="s">
        <v>509</v>
      </c>
      <c r="E126" s="8">
        <f>sample_20250925!E126</f>
        <v>1</v>
      </c>
      <c r="F126" s="8">
        <f>IF(sample_20250925!$C126=C126,sample_20250925!F126, NA())</f>
        <v>1</v>
      </c>
      <c r="G126" s="8">
        <f>IF(sample_20250925!$C126=$C126,sample_20250925!G126, NA())</f>
        <v>0</v>
      </c>
      <c r="H126" s="14" t="s">
        <v>462</v>
      </c>
      <c r="I126" s="12"/>
      <c r="J126" s="12"/>
      <c r="K126" s="12"/>
      <c r="L126" s="12"/>
      <c r="M126" s="10">
        <f t="shared" si="1"/>
        <v>1</v>
      </c>
      <c r="N126" s="10">
        <f t="shared" si="2"/>
        <v>0</v>
      </c>
      <c r="O126" s="10">
        <f>IFERROR(__xludf.DUMMYFUNCTION("INT(FILTER(GT(F126,0),ISNUMBER(F126)))"),1.0)</f>
        <v>1</v>
      </c>
      <c r="P126" s="10">
        <f t="shared" si="3"/>
        <v>1</v>
      </c>
      <c r="Q126" s="10">
        <f>IFERROR(__xludf.DUMMYFUNCTION("INT(FILTER(EQ(E126,F126),ISNUMBER(E126),ISNUMBER(F126)))"),1.0)</f>
        <v>1</v>
      </c>
    </row>
    <row r="127">
      <c r="A127" s="1" t="s">
        <v>510</v>
      </c>
      <c r="B127" s="15" t="s">
        <v>511</v>
      </c>
      <c r="C127" s="2" t="s">
        <v>512</v>
      </c>
      <c r="D127" s="7" t="s">
        <v>41</v>
      </c>
      <c r="E127" s="8">
        <f>sample_20250925!E127</f>
        <v>2</v>
      </c>
      <c r="F127" s="8">
        <v>1.0</v>
      </c>
      <c r="G127" s="8">
        <v>0.0</v>
      </c>
      <c r="H127" s="14" t="s">
        <v>462</v>
      </c>
      <c r="I127" s="12"/>
      <c r="J127" s="12"/>
      <c r="K127" s="12"/>
      <c r="L127" s="12"/>
      <c r="M127" s="10">
        <f t="shared" si="1"/>
        <v>0.5</v>
      </c>
      <c r="N127" s="10">
        <f t="shared" si="2"/>
        <v>0</v>
      </c>
      <c r="O127" s="10">
        <f>IFERROR(__xludf.DUMMYFUNCTION("INT(FILTER(GT(F127,0),ISNUMBER(F127)))"),1.0)</f>
        <v>1</v>
      </c>
      <c r="P127" s="10">
        <f t="shared" si="3"/>
        <v>1</v>
      </c>
      <c r="Q127" s="10">
        <f>IFERROR(__xludf.DUMMYFUNCTION("INT(FILTER(EQ(E127,F127),ISNUMBER(E127),ISNUMBER(F127)))"),0.0)</f>
        <v>0</v>
      </c>
    </row>
    <row r="128">
      <c r="A128" s="1" t="s">
        <v>513</v>
      </c>
      <c r="B128" s="7" t="s">
        <v>514</v>
      </c>
      <c r="C128" s="2" t="s">
        <v>515</v>
      </c>
      <c r="D128" s="1" t="s">
        <v>516</v>
      </c>
      <c r="E128" s="8">
        <f>sample_20250925!E128</f>
        <v>2</v>
      </c>
      <c r="F128" s="8">
        <f>IF(sample_20250925!$C128=C128,sample_20250925!F128, NA())</f>
        <v>2</v>
      </c>
      <c r="G128" s="8">
        <f>IF(sample_20250925!$C128=$C128,sample_20250925!G128, NA())</f>
        <v>0</v>
      </c>
      <c r="H128" s="14" t="s">
        <v>462</v>
      </c>
      <c r="I128" s="12"/>
      <c r="J128" s="12"/>
      <c r="K128" s="12"/>
      <c r="L128" s="12"/>
      <c r="M128" s="10">
        <f t="shared" si="1"/>
        <v>1</v>
      </c>
      <c r="N128" s="10">
        <f t="shared" si="2"/>
        <v>0</v>
      </c>
      <c r="O128" s="10">
        <f>IFERROR(__xludf.DUMMYFUNCTION("INT(FILTER(GT(F128,0),ISNUMBER(F128)))"),1.0)</f>
        <v>1</v>
      </c>
      <c r="P128" s="10">
        <f t="shared" si="3"/>
        <v>1</v>
      </c>
      <c r="Q128" s="10">
        <f>IFERROR(__xludf.DUMMYFUNCTION("INT(FILTER(EQ(E128,F128),ISNUMBER(E128),ISNUMBER(F128)))"),1.0)</f>
        <v>1</v>
      </c>
    </row>
    <row r="129">
      <c r="A129" s="1" t="s">
        <v>517</v>
      </c>
      <c r="B129" s="7" t="s">
        <v>518</v>
      </c>
      <c r="C129" s="2" t="s">
        <v>519</v>
      </c>
      <c r="D129" s="1" t="s">
        <v>520</v>
      </c>
      <c r="E129" s="8">
        <f>sample_20250925!E129</f>
        <v>4</v>
      </c>
      <c r="F129" s="8">
        <f>IF(sample_20250925!$C129=C129,sample_20250925!F129, NA())</f>
        <v>3</v>
      </c>
      <c r="G129" s="8">
        <f>IF(sample_20250925!$C129=$C129,sample_20250925!G129, NA())</f>
        <v>0</v>
      </c>
      <c r="H129" s="14" t="s">
        <v>462</v>
      </c>
      <c r="I129" s="12"/>
      <c r="J129" s="12"/>
      <c r="K129" s="12"/>
      <c r="L129" s="12"/>
      <c r="M129" s="10">
        <f t="shared" si="1"/>
        <v>0.75</v>
      </c>
      <c r="N129" s="10">
        <f t="shared" si="2"/>
        <v>0</v>
      </c>
      <c r="O129" s="10">
        <f>IFERROR(__xludf.DUMMYFUNCTION("INT(FILTER(GT(F129,0),ISNUMBER(F129)))"),1.0)</f>
        <v>1</v>
      </c>
      <c r="P129" s="10">
        <f t="shared" si="3"/>
        <v>1</v>
      </c>
      <c r="Q129" s="10">
        <f>IFERROR(__xludf.DUMMYFUNCTION("INT(FILTER(EQ(E129,F129),ISNUMBER(E129),ISNUMBER(F129)))"),0.0)</f>
        <v>0</v>
      </c>
    </row>
    <row r="130">
      <c r="A130" s="1" t="s">
        <v>521</v>
      </c>
      <c r="B130" s="15" t="s">
        <v>522</v>
      </c>
      <c r="C130" s="2" t="s">
        <v>523</v>
      </c>
      <c r="D130" s="7" t="s">
        <v>524</v>
      </c>
      <c r="E130" s="8">
        <v>3.0</v>
      </c>
      <c r="F130" s="8">
        <v>1.0</v>
      </c>
      <c r="G130" s="8">
        <v>0.0</v>
      </c>
      <c r="H130" s="14" t="s">
        <v>462</v>
      </c>
      <c r="I130" s="12"/>
      <c r="J130" s="12"/>
      <c r="K130" s="12"/>
      <c r="L130" s="12"/>
      <c r="M130" s="10">
        <f t="shared" si="1"/>
        <v>0.3333333333</v>
      </c>
      <c r="N130" s="10">
        <f t="shared" si="2"/>
        <v>0</v>
      </c>
      <c r="O130" s="10">
        <f>IFERROR(__xludf.DUMMYFUNCTION("INT(FILTER(GT(F130,0),ISNUMBER(F130)))"),1.0)</f>
        <v>1</v>
      </c>
      <c r="P130" s="10">
        <f t="shared" si="3"/>
        <v>1</v>
      </c>
      <c r="Q130" s="10">
        <f>IFERROR(__xludf.DUMMYFUNCTION("INT(FILTER(EQ(E130,F130),ISNUMBER(E130),ISNUMBER(F130)))"),0.0)</f>
        <v>0</v>
      </c>
    </row>
    <row r="131">
      <c r="A131" s="1" t="s">
        <v>525</v>
      </c>
      <c r="B131" s="15" t="s">
        <v>526</v>
      </c>
      <c r="C131" s="2" t="s">
        <v>527</v>
      </c>
      <c r="D131" s="1" t="s">
        <v>528</v>
      </c>
      <c r="E131" s="8">
        <v>4.0</v>
      </c>
      <c r="F131" s="8">
        <v>3.0</v>
      </c>
      <c r="G131" s="8">
        <v>0.0</v>
      </c>
      <c r="H131" s="14" t="s">
        <v>462</v>
      </c>
      <c r="I131" s="12"/>
      <c r="J131" s="12"/>
      <c r="K131" s="12"/>
      <c r="L131" s="12"/>
      <c r="M131" s="10">
        <f t="shared" si="1"/>
        <v>0.75</v>
      </c>
      <c r="N131" s="10">
        <f t="shared" si="2"/>
        <v>0</v>
      </c>
      <c r="O131" s="10">
        <f>IFERROR(__xludf.DUMMYFUNCTION("INT(FILTER(GT(F131,0),ISNUMBER(F131)))"),1.0)</f>
        <v>1</v>
      </c>
      <c r="P131" s="10">
        <f t="shared" si="3"/>
        <v>1</v>
      </c>
      <c r="Q131" s="10">
        <f>IFERROR(__xludf.DUMMYFUNCTION("INT(FILTER(EQ(E131,F131),ISNUMBER(E131),ISNUMBER(F131)))"),0.0)</f>
        <v>0</v>
      </c>
    </row>
    <row r="132">
      <c r="A132" s="1" t="s">
        <v>529</v>
      </c>
      <c r="B132" s="15" t="s">
        <v>530</v>
      </c>
      <c r="C132" s="2" t="s">
        <v>531</v>
      </c>
      <c r="D132" s="1" t="s">
        <v>532</v>
      </c>
      <c r="E132" s="8">
        <f>sample_20250925!E132</f>
        <v>4</v>
      </c>
      <c r="F132" s="8">
        <v>3.0</v>
      </c>
      <c r="G132" s="8">
        <v>0.0</v>
      </c>
      <c r="H132" s="14" t="s">
        <v>462</v>
      </c>
      <c r="I132" s="12"/>
      <c r="J132" s="12"/>
      <c r="K132" s="12"/>
      <c r="L132" s="12"/>
      <c r="M132" s="10">
        <f t="shared" si="1"/>
        <v>0.75</v>
      </c>
      <c r="N132" s="10">
        <f t="shared" si="2"/>
        <v>0</v>
      </c>
      <c r="O132" s="10">
        <f>IFERROR(__xludf.DUMMYFUNCTION("INT(FILTER(GT(F132,0),ISNUMBER(F132)))"),1.0)</f>
        <v>1</v>
      </c>
      <c r="P132" s="10">
        <f t="shared" si="3"/>
        <v>1</v>
      </c>
      <c r="Q132" s="12"/>
    </row>
    <row r="133">
      <c r="A133" s="1" t="s">
        <v>533</v>
      </c>
      <c r="B133" s="7" t="s">
        <v>534</v>
      </c>
      <c r="C133" s="2" t="s">
        <v>535</v>
      </c>
      <c r="D133" s="1" t="s">
        <v>536</v>
      </c>
      <c r="E133" s="8">
        <f>sample_20250925!E133</f>
        <v>2</v>
      </c>
      <c r="F133" s="8">
        <f>IF(sample_20250925!$C133=C133,sample_20250925!F133, NA())</f>
        <v>2</v>
      </c>
      <c r="G133" s="8">
        <f>IF(sample_20250925!$C133=$C133,sample_20250925!G133, NA())</f>
        <v>0</v>
      </c>
      <c r="H133" s="14" t="s">
        <v>462</v>
      </c>
      <c r="I133" s="12"/>
      <c r="J133" s="12"/>
      <c r="K133" s="12"/>
      <c r="L133" s="12"/>
      <c r="M133" s="10">
        <f t="shared" si="1"/>
        <v>1</v>
      </c>
      <c r="N133" s="10">
        <f t="shared" si="2"/>
        <v>0</v>
      </c>
      <c r="O133" s="10">
        <f>IFERROR(__xludf.DUMMYFUNCTION("INT(FILTER(GT(F133,0),ISNUMBER(F133)))"),1.0)</f>
        <v>1</v>
      </c>
      <c r="P133" s="10">
        <f t="shared" si="3"/>
        <v>1</v>
      </c>
      <c r="Q133" s="10">
        <f>IFERROR(__xludf.DUMMYFUNCTION("INT(FILTER(EQ(E133,F133),ISNUMBER(E133),ISNUMBER(F133)))"),1.0)</f>
        <v>1</v>
      </c>
    </row>
    <row r="134">
      <c r="A134" s="1" t="s">
        <v>537</v>
      </c>
      <c r="B134" s="7" t="s">
        <v>538</v>
      </c>
      <c r="C134" s="2" t="s">
        <v>539</v>
      </c>
      <c r="D134" s="1" t="s">
        <v>540</v>
      </c>
      <c r="E134" s="8">
        <f>sample_20250925!E134</f>
        <v>3</v>
      </c>
      <c r="F134" s="8">
        <v>2.0</v>
      </c>
      <c r="G134" s="8">
        <v>1.0</v>
      </c>
      <c r="H134" s="14" t="s">
        <v>462</v>
      </c>
      <c r="I134" s="12"/>
      <c r="J134" s="12"/>
      <c r="K134" s="12"/>
      <c r="L134" s="12"/>
      <c r="M134" s="10">
        <f t="shared" si="1"/>
        <v>0.6666666667</v>
      </c>
      <c r="N134" s="10">
        <f t="shared" si="2"/>
        <v>0.3333333333</v>
      </c>
      <c r="O134" s="10">
        <f>IFERROR(__xludf.DUMMYFUNCTION("INT(FILTER(GT(F134,0),ISNUMBER(F134)))"),1.0)</f>
        <v>1</v>
      </c>
      <c r="P134" s="10">
        <f t="shared" si="3"/>
        <v>0.6666666667</v>
      </c>
      <c r="Q134" s="10">
        <f>IFERROR(__xludf.DUMMYFUNCTION("INT(FILTER(EQ(E134,F134),ISNUMBER(E134),ISNUMBER(F134)))"),0.0)</f>
        <v>0</v>
      </c>
    </row>
    <row r="135">
      <c r="A135" s="1" t="s">
        <v>541</v>
      </c>
      <c r="B135" s="15" t="s">
        <v>542</v>
      </c>
      <c r="C135" s="2" t="s">
        <v>543</v>
      </c>
      <c r="D135" s="7" t="s">
        <v>544</v>
      </c>
      <c r="E135" s="8">
        <f>sample_20250925!E135</f>
        <v>1</v>
      </c>
      <c r="F135" s="8">
        <v>1.0</v>
      </c>
      <c r="G135" s="8">
        <v>0.0</v>
      </c>
      <c r="H135" s="14" t="s">
        <v>462</v>
      </c>
      <c r="I135" s="12"/>
      <c r="J135" s="12"/>
      <c r="K135" s="12"/>
      <c r="L135" s="12"/>
      <c r="M135" s="10">
        <f t="shared" si="1"/>
        <v>1</v>
      </c>
      <c r="N135" s="10">
        <f t="shared" si="2"/>
        <v>0</v>
      </c>
      <c r="O135" s="10">
        <f>IFERROR(__xludf.DUMMYFUNCTION("INT(FILTER(GT(F135,0),ISNUMBER(F135)))"),1.0)</f>
        <v>1</v>
      </c>
      <c r="P135" s="10">
        <f t="shared" si="3"/>
        <v>1</v>
      </c>
      <c r="Q135" s="10">
        <f>IFERROR(__xludf.DUMMYFUNCTION("INT(FILTER(EQ(E135,F135),ISNUMBER(E135),ISNUMBER(F135)))"),1.0)</f>
        <v>1</v>
      </c>
    </row>
    <row r="136">
      <c r="A136" s="1" t="s">
        <v>545</v>
      </c>
      <c r="B136" s="7" t="s">
        <v>546</v>
      </c>
      <c r="C136" s="2" t="s">
        <v>547</v>
      </c>
      <c r="D136" s="7" t="s">
        <v>548</v>
      </c>
      <c r="E136" s="8">
        <v>2.0</v>
      </c>
      <c r="F136" s="8">
        <v>1.0</v>
      </c>
      <c r="G136" s="8">
        <v>0.0</v>
      </c>
      <c r="H136" s="14" t="s">
        <v>462</v>
      </c>
      <c r="I136" s="12"/>
      <c r="J136" s="12"/>
      <c r="K136" s="12"/>
      <c r="L136" s="12"/>
      <c r="M136" s="10">
        <f t="shared" si="1"/>
        <v>0.5</v>
      </c>
      <c r="N136" s="10">
        <f t="shared" si="2"/>
        <v>0</v>
      </c>
      <c r="O136" s="10">
        <f>IFERROR(__xludf.DUMMYFUNCTION("INT(FILTER(GT(F136,0),ISNUMBER(F136)))"),1.0)</f>
        <v>1</v>
      </c>
      <c r="P136" s="10">
        <f t="shared" si="3"/>
        <v>1</v>
      </c>
      <c r="Q136" s="10">
        <f>IFERROR(__xludf.DUMMYFUNCTION("INT(FILTER(EQ(E136,F136),ISNUMBER(E136),ISNUMBER(F136)))"),0.0)</f>
        <v>0</v>
      </c>
    </row>
    <row r="137">
      <c r="A137" s="1" t="s">
        <v>549</v>
      </c>
      <c r="B137" s="7" t="s">
        <v>550</v>
      </c>
      <c r="C137" s="2" t="s">
        <v>551</v>
      </c>
      <c r="D137" s="1" t="s">
        <v>552</v>
      </c>
      <c r="E137" s="8">
        <f>sample_20250925!E137</f>
        <v>3</v>
      </c>
      <c r="F137" s="8">
        <v>2.0</v>
      </c>
      <c r="G137" s="8">
        <v>0.0</v>
      </c>
      <c r="H137" s="14" t="s">
        <v>462</v>
      </c>
      <c r="I137" s="12"/>
      <c r="J137" s="12"/>
      <c r="K137" s="12"/>
      <c r="L137" s="12"/>
      <c r="M137" s="10">
        <f t="shared" si="1"/>
        <v>0.6666666667</v>
      </c>
      <c r="N137" s="10">
        <f t="shared" si="2"/>
        <v>0</v>
      </c>
      <c r="O137" s="10">
        <f>IFERROR(__xludf.DUMMYFUNCTION("INT(FILTER(GT(F137,0),ISNUMBER(F137)))"),1.0)</f>
        <v>1</v>
      </c>
      <c r="P137" s="10">
        <f t="shared" si="3"/>
        <v>1</v>
      </c>
      <c r="Q137" s="10">
        <f>IFERROR(__xludf.DUMMYFUNCTION("INT(FILTER(EQ(E137,F137),ISNUMBER(E137),ISNUMBER(F137)))"),0.0)</f>
        <v>0</v>
      </c>
    </row>
    <row r="138">
      <c r="A138" s="1" t="s">
        <v>553</v>
      </c>
      <c r="B138" s="7" t="s">
        <v>554</v>
      </c>
      <c r="C138" s="2" t="s">
        <v>555</v>
      </c>
      <c r="D138" s="7" t="s">
        <v>556</v>
      </c>
      <c r="E138" s="8">
        <f>sample_20250925!E138</f>
        <v>3</v>
      </c>
      <c r="F138" s="8">
        <f>IF(sample_20250925!$C138=C138,sample_20250925!F138, NA())</f>
        <v>1</v>
      </c>
      <c r="G138" s="8">
        <f>IF(sample_20250925!$C138=$C138,sample_20250925!G138, NA())</f>
        <v>0</v>
      </c>
      <c r="H138" s="14" t="s">
        <v>462</v>
      </c>
      <c r="I138" s="12"/>
      <c r="J138" s="12"/>
      <c r="K138" s="12"/>
      <c r="L138" s="12"/>
      <c r="M138" s="10">
        <f t="shared" si="1"/>
        <v>0.3333333333</v>
      </c>
      <c r="N138" s="10">
        <f t="shared" si="2"/>
        <v>0</v>
      </c>
      <c r="O138" s="10">
        <f>IFERROR(__xludf.DUMMYFUNCTION("INT(FILTER(GT(F138,0),ISNUMBER(F138)))"),1.0)</f>
        <v>1</v>
      </c>
      <c r="P138" s="10">
        <f t="shared" si="3"/>
        <v>1</v>
      </c>
      <c r="Q138" s="10">
        <f>IFERROR(__xludf.DUMMYFUNCTION("INT(FILTER(EQ(E138,F138),ISNUMBER(E138),ISNUMBER(F138)))"),0.0)</f>
        <v>0</v>
      </c>
    </row>
    <row r="139">
      <c r="A139" s="1" t="s">
        <v>557</v>
      </c>
      <c r="B139" s="7" t="s">
        <v>558</v>
      </c>
      <c r="C139" s="2" t="s">
        <v>559</v>
      </c>
      <c r="D139" s="1" t="s">
        <v>560</v>
      </c>
      <c r="E139" s="8">
        <f>sample_20250925!E139</f>
        <v>3</v>
      </c>
      <c r="F139" s="8">
        <v>2.0</v>
      </c>
      <c r="G139" s="8">
        <v>0.0</v>
      </c>
      <c r="H139" s="14" t="s">
        <v>462</v>
      </c>
      <c r="I139" s="12"/>
      <c r="J139" s="12"/>
      <c r="K139" s="12"/>
      <c r="L139" s="12"/>
      <c r="M139" s="10">
        <f t="shared" si="1"/>
        <v>0.6666666667</v>
      </c>
      <c r="N139" s="10">
        <f t="shared" si="2"/>
        <v>0</v>
      </c>
      <c r="O139" s="10">
        <f>IFERROR(__xludf.DUMMYFUNCTION("INT(FILTER(GT(F139,0),ISNUMBER(F139)))"),1.0)</f>
        <v>1</v>
      </c>
      <c r="P139" s="10">
        <f t="shared" si="3"/>
        <v>1</v>
      </c>
      <c r="Q139" s="10">
        <f>IFERROR(__xludf.DUMMYFUNCTION("INT(FILTER(EQ(E139,F139),ISNUMBER(E139),ISNUMBER(F139)))"),0.0)</f>
        <v>0</v>
      </c>
    </row>
    <row r="140">
      <c r="A140" s="1" t="s">
        <v>561</v>
      </c>
      <c r="B140" s="7" t="s">
        <v>562</v>
      </c>
      <c r="C140" s="2" t="s">
        <v>477</v>
      </c>
      <c r="D140" s="7" t="s">
        <v>478</v>
      </c>
      <c r="E140" s="8">
        <v>3.0</v>
      </c>
      <c r="F140" s="8">
        <v>1.0</v>
      </c>
      <c r="G140" s="8">
        <f>IF(sample_20250925!$C140=$C140,sample_20250925!G140, NA())</f>
        <v>0</v>
      </c>
      <c r="H140" s="14" t="s">
        <v>462</v>
      </c>
      <c r="I140" s="12"/>
      <c r="J140" s="12"/>
      <c r="K140" s="12"/>
      <c r="L140" s="12"/>
      <c r="M140" s="10">
        <f t="shared" si="1"/>
        <v>0.3333333333</v>
      </c>
      <c r="N140" s="10">
        <f t="shared" si="2"/>
        <v>0</v>
      </c>
      <c r="O140" s="10">
        <f>IFERROR(__xludf.DUMMYFUNCTION("INT(FILTER(GT(F140,0),ISNUMBER(F140)))"),1.0)</f>
        <v>1</v>
      </c>
      <c r="P140" s="10">
        <f t="shared" si="3"/>
        <v>1</v>
      </c>
      <c r="Q140" s="10">
        <f>IFERROR(__xludf.DUMMYFUNCTION("INT(FILTER(EQ(E140,F140),ISNUMBER(E140),ISNUMBER(F140)))"),0.0)</f>
        <v>0</v>
      </c>
    </row>
    <row r="141">
      <c r="A141" s="1" t="s">
        <v>563</v>
      </c>
      <c r="B141" s="7" t="s">
        <v>564</v>
      </c>
      <c r="C141" s="2" t="s">
        <v>565</v>
      </c>
      <c r="D141" s="7" t="s">
        <v>566</v>
      </c>
      <c r="E141" s="8">
        <f>sample_20250925!E141</f>
        <v>1</v>
      </c>
      <c r="F141" s="8">
        <f>IF(sample_20250925!$C141=C141,sample_20250925!F141, NA())</f>
        <v>1</v>
      </c>
      <c r="G141" s="8">
        <f>IF(sample_20250925!$C141=$C141,sample_20250925!G141, NA())</f>
        <v>0</v>
      </c>
      <c r="H141" s="14" t="s">
        <v>462</v>
      </c>
      <c r="I141" s="12"/>
      <c r="J141" s="12"/>
      <c r="K141" s="12"/>
      <c r="L141" s="12"/>
      <c r="M141" s="10">
        <f t="shared" si="1"/>
        <v>1</v>
      </c>
      <c r="N141" s="10">
        <f t="shared" si="2"/>
        <v>0</v>
      </c>
      <c r="O141" s="10">
        <f>IFERROR(__xludf.DUMMYFUNCTION("INT(FILTER(GT(F141,0),ISNUMBER(F141)))"),1.0)</f>
        <v>1</v>
      </c>
      <c r="P141" s="10">
        <f t="shared" si="3"/>
        <v>1</v>
      </c>
      <c r="Q141" s="10">
        <f>IFERROR(__xludf.DUMMYFUNCTION("INT(FILTER(EQ(E141,F141),ISNUMBER(E141),ISNUMBER(F141)))"),1.0)</f>
        <v>1</v>
      </c>
    </row>
    <row r="142">
      <c r="A142" s="1" t="s">
        <v>567</v>
      </c>
      <c r="B142" s="7" t="s">
        <v>568</v>
      </c>
      <c r="C142" s="2" t="s">
        <v>569</v>
      </c>
      <c r="D142" s="7" t="s">
        <v>570</v>
      </c>
      <c r="E142" s="8">
        <f>sample_20250925!E142</f>
        <v>1</v>
      </c>
      <c r="F142" s="8">
        <f>IF(sample_20250925!$C142=C142,sample_20250925!F142, NA())</f>
        <v>1</v>
      </c>
      <c r="G142" s="8">
        <f>IF(sample_20250925!$C142=$C142,sample_20250925!G142, NA())</f>
        <v>0</v>
      </c>
      <c r="H142" s="14" t="s">
        <v>462</v>
      </c>
      <c r="I142" s="12"/>
      <c r="J142" s="12"/>
      <c r="K142" s="12"/>
      <c r="L142" s="12"/>
      <c r="M142" s="10">
        <f t="shared" si="1"/>
        <v>1</v>
      </c>
      <c r="N142" s="10">
        <f t="shared" si="2"/>
        <v>0</v>
      </c>
      <c r="O142" s="10">
        <f>IFERROR(__xludf.DUMMYFUNCTION("INT(FILTER(GT(F142,0),ISNUMBER(F142)))"),1.0)</f>
        <v>1</v>
      </c>
      <c r="P142" s="10">
        <f t="shared" si="3"/>
        <v>1</v>
      </c>
      <c r="Q142" s="10">
        <f>IFERROR(__xludf.DUMMYFUNCTION("INT(FILTER(EQ(E142,F142),ISNUMBER(E142),ISNUMBER(F142)))"),1.0)</f>
        <v>1</v>
      </c>
    </row>
    <row r="143">
      <c r="A143" s="1" t="s">
        <v>571</v>
      </c>
      <c r="B143" s="7" t="s">
        <v>572</v>
      </c>
      <c r="C143" s="2" t="s">
        <v>573</v>
      </c>
      <c r="D143" s="1" t="s">
        <v>574</v>
      </c>
      <c r="E143" s="8">
        <f>sample_20250925!E143</f>
        <v>2</v>
      </c>
      <c r="F143" s="8">
        <v>2.0</v>
      </c>
      <c r="G143" s="8">
        <v>0.0</v>
      </c>
      <c r="H143" s="14" t="s">
        <v>462</v>
      </c>
      <c r="I143" s="12"/>
      <c r="J143" s="12"/>
      <c r="K143" s="12"/>
      <c r="L143" s="12"/>
      <c r="M143" s="10">
        <f t="shared" si="1"/>
        <v>1</v>
      </c>
      <c r="N143" s="10">
        <f t="shared" si="2"/>
        <v>0</v>
      </c>
      <c r="O143" s="10">
        <f>IFERROR(__xludf.DUMMYFUNCTION("INT(FILTER(GT(F143,0),ISNUMBER(F143)))"),1.0)</f>
        <v>1</v>
      </c>
      <c r="P143" s="10">
        <f t="shared" si="3"/>
        <v>1</v>
      </c>
      <c r="Q143" s="12"/>
    </row>
    <row r="144">
      <c r="A144" s="1" t="s">
        <v>575</v>
      </c>
      <c r="B144" s="7" t="s">
        <v>576</v>
      </c>
      <c r="C144" s="2" t="s">
        <v>577</v>
      </c>
      <c r="D144" s="7" t="s">
        <v>296</v>
      </c>
      <c r="E144" s="8">
        <f>sample_20250925!E144</f>
        <v>1</v>
      </c>
      <c r="F144" s="8">
        <f>IF(sample_20250925!$C144=C144,sample_20250925!F144, NA())</f>
        <v>1</v>
      </c>
      <c r="G144" s="8">
        <f>IF(sample_20250925!$C144=$C144,sample_20250925!G144, NA())</f>
        <v>0</v>
      </c>
      <c r="H144" s="14" t="s">
        <v>462</v>
      </c>
      <c r="I144" s="12"/>
      <c r="J144" s="12"/>
      <c r="K144" s="12"/>
      <c r="L144" s="12"/>
      <c r="M144" s="10">
        <f t="shared" si="1"/>
        <v>1</v>
      </c>
      <c r="N144" s="10">
        <f t="shared" si="2"/>
        <v>0</v>
      </c>
      <c r="O144" s="10">
        <f>IFERROR(__xludf.DUMMYFUNCTION("INT(FILTER(GT(F144,0),ISNUMBER(F144)))"),1.0)</f>
        <v>1</v>
      </c>
      <c r="P144" s="10">
        <f t="shared" si="3"/>
        <v>1</v>
      </c>
      <c r="Q144" s="10">
        <f>IFERROR(__xludf.DUMMYFUNCTION("INT(FILTER(EQ(E144,F144),ISNUMBER(E144),ISNUMBER(F144)))"),1.0)</f>
        <v>1</v>
      </c>
    </row>
    <row r="145">
      <c r="A145" s="1" t="s">
        <v>578</v>
      </c>
      <c r="B145" s="7" t="s">
        <v>579</v>
      </c>
      <c r="C145" s="2" t="s">
        <v>580</v>
      </c>
      <c r="D145" s="1" t="s">
        <v>581</v>
      </c>
      <c r="E145" s="8">
        <f>sample_20250925!E145</f>
        <v>3</v>
      </c>
      <c r="F145" s="8">
        <f>IF(sample_20250925!$C145=C145,sample_20250925!F145, NA())</f>
        <v>3</v>
      </c>
      <c r="G145" s="8">
        <f>IF(sample_20250925!$C145=$C145,sample_20250925!G145, NA())</f>
        <v>0</v>
      </c>
      <c r="H145" s="14" t="s">
        <v>462</v>
      </c>
      <c r="I145" s="12"/>
      <c r="J145" s="12"/>
      <c r="K145" s="12"/>
      <c r="L145" s="12"/>
      <c r="M145" s="10">
        <f t="shared" si="1"/>
        <v>1</v>
      </c>
      <c r="N145" s="10">
        <f t="shared" si="2"/>
        <v>0</v>
      </c>
      <c r="O145" s="10">
        <f>IFERROR(__xludf.DUMMYFUNCTION("INT(FILTER(GT(F145,0),ISNUMBER(F145)))"),1.0)</f>
        <v>1</v>
      </c>
      <c r="P145" s="10">
        <f t="shared" si="3"/>
        <v>1</v>
      </c>
      <c r="Q145" s="10">
        <f>IFERROR(__xludf.DUMMYFUNCTION("INT(FILTER(EQ(E145,F145),ISNUMBER(E145),ISNUMBER(F145)))"),1.0)</f>
        <v>1</v>
      </c>
    </row>
    <row r="146">
      <c r="A146" s="1" t="s">
        <v>582</v>
      </c>
      <c r="B146" s="7" t="s">
        <v>583</v>
      </c>
      <c r="C146" s="2" t="s">
        <v>584</v>
      </c>
      <c r="D146" s="7" t="s">
        <v>585</v>
      </c>
      <c r="E146" s="8">
        <f>sample_20250925!E146</f>
        <v>1</v>
      </c>
      <c r="F146" s="8">
        <f>IF(sample_20250925!$C146=C146,sample_20250925!F146, NA())</f>
        <v>1</v>
      </c>
      <c r="G146" s="8">
        <f>IF(sample_20250925!$C146=$C146,sample_20250925!G146, NA())</f>
        <v>0</v>
      </c>
      <c r="H146" s="14" t="s">
        <v>462</v>
      </c>
      <c r="I146" s="12"/>
      <c r="J146" s="12"/>
      <c r="K146" s="12"/>
      <c r="L146" s="12"/>
      <c r="M146" s="10">
        <f t="shared" si="1"/>
        <v>1</v>
      </c>
      <c r="N146" s="10">
        <f t="shared" si="2"/>
        <v>0</v>
      </c>
      <c r="O146" s="10">
        <f>IFERROR(__xludf.DUMMYFUNCTION("INT(FILTER(GT(F146,0),ISNUMBER(F146)))"),1.0)</f>
        <v>1</v>
      </c>
      <c r="P146" s="10">
        <f t="shared" si="3"/>
        <v>1</v>
      </c>
      <c r="Q146" s="10">
        <f>IFERROR(__xludf.DUMMYFUNCTION("INT(FILTER(EQ(E146,F146),ISNUMBER(E146),ISNUMBER(F146)))"),1.0)</f>
        <v>1</v>
      </c>
    </row>
    <row r="147">
      <c r="A147" s="1" t="s">
        <v>586</v>
      </c>
      <c r="B147" s="7" t="s">
        <v>587</v>
      </c>
      <c r="C147" s="2" t="s">
        <v>136</v>
      </c>
      <c r="D147" s="7" t="s">
        <v>137</v>
      </c>
      <c r="E147" s="8">
        <f>sample_20250925!E147</f>
        <v>3</v>
      </c>
      <c r="F147" s="8">
        <v>1.0</v>
      </c>
      <c r="G147" s="8">
        <v>0.0</v>
      </c>
      <c r="H147" s="14" t="s">
        <v>462</v>
      </c>
      <c r="I147" s="12"/>
      <c r="J147" s="12"/>
      <c r="K147" s="12"/>
      <c r="L147" s="12"/>
      <c r="M147" s="10">
        <f t="shared" si="1"/>
        <v>0.3333333333</v>
      </c>
      <c r="N147" s="10">
        <f t="shared" si="2"/>
        <v>0</v>
      </c>
      <c r="O147" s="10">
        <f>IFERROR(__xludf.DUMMYFUNCTION("INT(FILTER(GT(F147,0),ISNUMBER(F147)))"),1.0)</f>
        <v>1</v>
      </c>
      <c r="P147" s="10">
        <f t="shared" si="3"/>
        <v>1</v>
      </c>
      <c r="Q147" s="10">
        <f>IFERROR(__xludf.DUMMYFUNCTION("INT(FILTER(EQ(E147,F147),ISNUMBER(E147),ISNUMBER(F147)))"),0.0)</f>
        <v>0</v>
      </c>
    </row>
    <row r="148">
      <c r="A148" s="1" t="s">
        <v>588</v>
      </c>
      <c r="B148" s="7" t="s">
        <v>589</v>
      </c>
      <c r="C148" s="2" t="s">
        <v>590</v>
      </c>
      <c r="D148" s="1" t="s">
        <v>591</v>
      </c>
      <c r="E148" s="8">
        <v>5.0</v>
      </c>
      <c r="F148" s="8">
        <v>2.0</v>
      </c>
      <c r="G148" s="8">
        <v>0.0</v>
      </c>
      <c r="H148" s="14" t="s">
        <v>462</v>
      </c>
      <c r="I148" s="12"/>
      <c r="J148" s="12"/>
      <c r="K148" s="12"/>
      <c r="L148" s="12"/>
      <c r="M148" s="10">
        <f t="shared" si="1"/>
        <v>0.4</v>
      </c>
      <c r="N148" s="10">
        <f t="shared" si="2"/>
        <v>0</v>
      </c>
      <c r="O148" s="10">
        <f>IFERROR(__xludf.DUMMYFUNCTION("INT(FILTER(GT(F148,0),ISNUMBER(F148)))"),1.0)</f>
        <v>1</v>
      </c>
      <c r="P148" s="10">
        <f t="shared" si="3"/>
        <v>1</v>
      </c>
      <c r="Q148" s="10">
        <f>IFERROR(__xludf.DUMMYFUNCTION("INT(FILTER(EQ(E148,F148),ISNUMBER(E148),ISNUMBER(F148)))"),0.0)</f>
        <v>0</v>
      </c>
    </row>
    <row r="149">
      <c r="A149" s="1" t="s">
        <v>592</v>
      </c>
      <c r="B149" s="7" t="s">
        <v>593</v>
      </c>
      <c r="C149" s="2" t="s">
        <v>565</v>
      </c>
      <c r="D149" s="7" t="s">
        <v>566</v>
      </c>
      <c r="E149" s="8">
        <f>sample_20250925!E149</f>
        <v>1</v>
      </c>
      <c r="F149" s="8">
        <f>IF(sample_20250925!$C149=C149,sample_20250925!F149, NA())</f>
        <v>1</v>
      </c>
      <c r="G149" s="8">
        <f>IF(sample_20250925!$C149=$C149,sample_20250925!G149, NA())</f>
        <v>0</v>
      </c>
      <c r="H149" s="14" t="s">
        <v>462</v>
      </c>
      <c r="I149" s="12"/>
      <c r="J149" s="12"/>
      <c r="K149" s="12"/>
      <c r="L149" s="12"/>
      <c r="M149" s="10">
        <f t="shared" si="1"/>
        <v>1</v>
      </c>
      <c r="N149" s="10">
        <f t="shared" si="2"/>
        <v>0</v>
      </c>
      <c r="O149" s="10">
        <f>IFERROR(__xludf.DUMMYFUNCTION("INT(FILTER(GT(F149,0),ISNUMBER(F149)))"),1.0)</f>
        <v>1</v>
      </c>
      <c r="P149" s="10">
        <f t="shared" si="3"/>
        <v>1</v>
      </c>
      <c r="Q149" s="10">
        <f>IFERROR(__xludf.DUMMYFUNCTION("INT(FILTER(EQ(E149,F149),ISNUMBER(E149),ISNUMBER(F149)))"),1.0)</f>
        <v>1</v>
      </c>
    </row>
    <row r="150">
      <c r="A150" s="1" t="s">
        <v>594</v>
      </c>
      <c r="B150" s="7" t="s">
        <v>595</v>
      </c>
      <c r="C150" s="2" t="s">
        <v>596</v>
      </c>
      <c r="D150" s="1" t="s">
        <v>597</v>
      </c>
      <c r="E150" s="8">
        <f>sample_20250925!E150</f>
        <v>2</v>
      </c>
      <c r="F150" s="8">
        <f>IF(sample_20250925!$C150=C150,sample_20250925!F150, NA())</f>
        <v>2</v>
      </c>
      <c r="G150" s="8">
        <f>IF(sample_20250925!$C150=$C150,sample_20250925!G150, NA())</f>
        <v>0</v>
      </c>
      <c r="H150" s="14" t="s">
        <v>462</v>
      </c>
      <c r="I150" s="12"/>
      <c r="J150" s="12"/>
      <c r="K150" s="12"/>
      <c r="L150" s="12"/>
      <c r="M150" s="10">
        <f t="shared" si="1"/>
        <v>1</v>
      </c>
      <c r="N150" s="10">
        <f t="shared" si="2"/>
        <v>0</v>
      </c>
      <c r="O150" s="10">
        <f>IFERROR(__xludf.DUMMYFUNCTION("INT(FILTER(GT(F150,0),ISNUMBER(F150)))"),1.0)</f>
        <v>1</v>
      </c>
      <c r="P150" s="10">
        <f t="shared" si="3"/>
        <v>1</v>
      </c>
      <c r="Q150" s="10">
        <f>IFERROR(__xludf.DUMMYFUNCTION("INT(FILTER(EQ(E150,F150),ISNUMBER(E150),ISNUMBER(F150)))"),1.0)</f>
        <v>1</v>
      </c>
    </row>
    <row r="151">
      <c r="A151" s="1" t="s">
        <v>598</v>
      </c>
      <c r="B151" s="7" t="s">
        <v>599</v>
      </c>
      <c r="C151" s="2" t="s">
        <v>600</v>
      </c>
      <c r="D151" s="1" t="s">
        <v>601</v>
      </c>
      <c r="E151" s="8">
        <f>sample_20250925!E151</f>
        <v>4</v>
      </c>
      <c r="F151" s="8">
        <v>3.0</v>
      </c>
      <c r="G151" s="8">
        <v>0.0</v>
      </c>
      <c r="H151" s="14" t="s">
        <v>462</v>
      </c>
      <c r="I151" s="12"/>
      <c r="J151" s="12"/>
      <c r="K151" s="12"/>
      <c r="L151" s="12"/>
      <c r="M151" s="10">
        <f t="shared" si="1"/>
        <v>0.75</v>
      </c>
      <c r="N151" s="10">
        <f t="shared" si="2"/>
        <v>0</v>
      </c>
      <c r="O151" s="10">
        <f>IFERROR(__xludf.DUMMYFUNCTION("INT(FILTER(GT(F151,0),ISNUMBER(F151)))"),1.0)</f>
        <v>1</v>
      </c>
      <c r="P151" s="10">
        <f t="shared" si="3"/>
        <v>1</v>
      </c>
      <c r="Q151" s="10">
        <f>IFERROR(__xludf.DUMMYFUNCTION("INT(FILTER(EQ(E151,F151),ISNUMBER(E151),ISNUMBER(F151)))"),0.0)</f>
        <v>0</v>
      </c>
    </row>
    <row r="152">
      <c r="A152" s="1" t="s">
        <v>602</v>
      </c>
      <c r="B152" s="7" t="s">
        <v>603</v>
      </c>
      <c r="C152" s="2" t="s">
        <v>604</v>
      </c>
      <c r="D152" s="1" t="s">
        <v>605</v>
      </c>
      <c r="E152" s="8">
        <f>sample_20250925!E152</f>
        <v>3</v>
      </c>
      <c r="F152" s="8">
        <v>3.0</v>
      </c>
      <c r="G152" s="8">
        <v>0.0</v>
      </c>
      <c r="H152" s="14" t="s">
        <v>462</v>
      </c>
      <c r="I152" s="12"/>
      <c r="J152" s="12"/>
      <c r="K152" s="12"/>
      <c r="L152" s="12"/>
      <c r="M152" s="10">
        <f t="shared" si="1"/>
        <v>1</v>
      </c>
      <c r="N152" s="10">
        <f t="shared" si="2"/>
        <v>0</v>
      </c>
      <c r="O152" s="10">
        <f>IFERROR(__xludf.DUMMYFUNCTION("INT(FILTER(GT(F152,0),ISNUMBER(F152)))"),1.0)</f>
        <v>1</v>
      </c>
      <c r="P152" s="10">
        <f t="shared" si="3"/>
        <v>1</v>
      </c>
      <c r="Q152" s="10">
        <f>IFERROR(__xludf.DUMMYFUNCTION("INT(FILTER(EQ(E152,F152),ISNUMBER(E152),ISNUMBER(F152)))"),1.0)</f>
        <v>1</v>
      </c>
    </row>
    <row r="153">
      <c r="A153" s="1" t="s">
        <v>606</v>
      </c>
      <c r="B153" s="7" t="s">
        <v>607</v>
      </c>
      <c r="C153" s="2" t="s">
        <v>608</v>
      </c>
      <c r="D153" s="1" t="s">
        <v>65</v>
      </c>
      <c r="E153" s="8">
        <f>sample_20250925!E153</f>
        <v>3</v>
      </c>
      <c r="F153" s="8">
        <v>2.0</v>
      </c>
      <c r="G153" s="8">
        <v>0.0</v>
      </c>
      <c r="H153" s="14" t="s">
        <v>462</v>
      </c>
      <c r="I153" s="12"/>
      <c r="J153" s="12"/>
      <c r="K153" s="12"/>
      <c r="L153" s="12"/>
      <c r="M153" s="10">
        <f t="shared" si="1"/>
        <v>0.6666666667</v>
      </c>
      <c r="N153" s="10">
        <f t="shared" si="2"/>
        <v>0</v>
      </c>
      <c r="O153" s="10">
        <f>IFERROR(__xludf.DUMMYFUNCTION("INT(FILTER(GT(F153,0),ISNUMBER(F153)))"),1.0)</f>
        <v>1</v>
      </c>
      <c r="P153" s="10">
        <f t="shared" si="3"/>
        <v>1</v>
      </c>
      <c r="Q153" s="10">
        <f>IFERROR(__xludf.DUMMYFUNCTION("INT(FILTER(EQ(E153,F153),ISNUMBER(E153),ISNUMBER(F153)))"),0.0)</f>
        <v>0</v>
      </c>
    </row>
    <row r="154">
      <c r="A154" s="1" t="s">
        <v>609</v>
      </c>
      <c r="B154" s="7" t="s">
        <v>610</v>
      </c>
      <c r="C154" s="2" t="s">
        <v>136</v>
      </c>
      <c r="D154" s="7" t="s">
        <v>137</v>
      </c>
      <c r="E154" s="8">
        <f>sample_20250925!E154</f>
        <v>2</v>
      </c>
      <c r="F154" s="8">
        <v>1.0</v>
      </c>
      <c r="G154" s="8">
        <v>0.0</v>
      </c>
      <c r="H154" s="14" t="s">
        <v>462</v>
      </c>
      <c r="I154" s="12"/>
      <c r="J154" s="12"/>
      <c r="K154" s="12"/>
      <c r="L154" s="12"/>
      <c r="M154" s="10">
        <f t="shared" si="1"/>
        <v>0.5</v>
      </c>
      <c r="N154" s="10">
        <f t="shared" si="2"/>
        <v>0</v>
      </c>
      <c r="O154" s="10">
        <f>IFERROR(__xludf.DUMMYFUNCTION("INT(FILTER(GT(F154,0),ISNUMBER(F154)))"),1.0)</f>
        <v>1</v>
      </c>
      <c r="P154" s="10">
        <f t="shared" si="3"/>
        <v>1</v>
      </c>
      <c r="Q154" s="12"/>
    </row>
    <row r="155">
      <c r="A155" s="1" t="s">
        <v>611</v>
      </c>
      <c r="B155" s="7" t="s">
        <v>612</v>
      </c>
      <c r="C155" s="2" t="s">
        <v>613</v>
      </c>
      <c r="D155" s="1" t="s">
        <v>614</v>
      </c>
      <c r="E155" s="8">
        <v>3.0</v>
      </c>
      <c r="F155" s="8">
        <v>2.0</v>
      </c>
      <c r="G155" s="8">
        <v>0.0</v>
      </c>
      <c r="H155" s="14" t="s">
        <v>462</v>
      </c>
      <c r="I155" s="12"/>
      <c r="J155" s="12"/>
      <c r="K155" s="12"/>
      <c r="L155" s="12"/>
      <c r="M155" s="10">
        <f t="shared" si="1"/>
        <v>0.6666666667</v>
      </c>
      <c r="N155" s="10">
        <f t="shared" si="2"/>
        <v>0</v>
      </c>
      <c r="O155" s="10">
        <f>IFERROR(__xludf.DUMMYFUNCTION("INT(FILTER(GT(F155,0),ISNUMBER(F155)))"),1.0)</f>
        <v>1</v>
      </c>
      <c r="P155" s="10">
        <f t="shared" si="3"/>
        <v>1</v>
      </c>
      <c r="Q155" s="10">
        <f>IFERROR(__xludf.DUMMYFUNCTION("INT(FILTER(EQ(E155,F155),ISNUMBER(E155),ISNUMBER(F155)))"),0.0)</f>
        <v>0</v>
      </c>
    </row>
    <row r="156">
      <c r="A156" s="1" t="s">
        <v>615</v>
      </c>
      <c r="B156" s="7" t="s">
        <v>616</v>
      </c>
      <c r="C156" s="2" t="s">
        <v>617</v>
      </c>
      <c r="D156" s="7" t="s">
        <v>618</v>
      </c>
      <c r="E156" s="8">
        <f>sample_20250925!E156</f>
        <v>2</v>
      </c>
      <c r="F156" s="8">
        <v>1.0</v>
      </c>
      <c r="G156" s="8">
        <v>0.0</v>
      </c>
      <c r="H156" s="14" t="s">
        <v>462</v>
      </c>
      <c r="I156" s="12"/>
      <c r="J156" s="12"/>
      <c r="K156" s="12"/>
      <c r="L156" s="12"/>
      <c r="M156" s="10">
        <f t="shared" si="1"/>
        <v>0.5</v>
      </c>
      <c r="N156" s="10">
        <f t="shared" si="2"/>
        <v>0</v>
      </c>
      <c r="O156" s="10">
        <f>IFERROR(__xludf.DUMMYFUNCTION("INT(FILTER(GT(F156,0),ISNUMBER(F156)))"),1.0)</f>
        <v>1</v>
      </c>
      <c r="P156" s="10">
        <f t="shared" si="3"/>
        <v>1</v>
      </c>
      <c r="Q156" s="10">
        <f>IFERROR(__xludf.DUMMYFUNCTION("INT(FILTER(EQ(E156,F156),ISNUMBER(E156),ISNUMBER(F156)))"),0.0)</f>
        <v>0</v>
      </c>
    </row>
    <row r="157">
      <c r="A157" s="1" t="s">
        <v>619</v>
      </c>
      <c r="B157" s="7" t="s">
        <v>620</v>
      </c>
      <c r="C157" s="2" t="s">
        <v>136</v>
      </c>
      <c r="D157" s="7" t="s">
        <v>137</v>
      </c>
      <c r="E157" s="8">
        <f>sample_20250925!E157</f>
        <v>2</v>
      </c>
      <c r="F157" s="8">
        <v>1.0</v>
      </c>
      <c r="G157" s="8">
        <v>0.0</v>
      </c>
      <c r="H157" s="14" t="s">
        <v>462</v>
      </c>
      <c r="I157" s="12"/>
      <c r="J157" s="12"/>
      <c r="K157" s="12"/>
      <c r="L157" s="12"/>
      <c r="M157" s="10">
        <f t="shared" si="1"/>
        <v>0.5</v>
      </c>
      <c r="N157" s="10">
        <f t="shared" si="2"/>
        <v>0</v>
      </c>
      <c r="O157" s="10">
        <f>IFERROR(__xludf.DUMMYFUNCTION("INT(FILTER(GT(F157,0),ISNUMBER(F157)))"),1.0)</f>
        <v>1</v>
      </c>
      <c r="P157" s="10">
        <f t="shared" si="3"/>
        <v>1</v>
      </c>
      <c r="Q157" s="10">
        <f>IFERROR(__xludf.DUMMYFUNCTION("INT(FILTER(EQ(E157,F157),ISNUMBER(E157),ISNUMBER(F157)))"),0.0)</f>
        <v>0</v>
      </c>
    </row>
    <row r="158">
      <c r="A158" s="1" t="s">
        <v>621</v>
      </c>
      <c r="B158" s="7" t="s">
        <v>622</v>
      </c>
      <c r="C158" s="2" t="s">
        <v>623</v>
      </c>
      <c r="D158" s="1" t="s">
        <v>624</v>
      </c>
      <c r="E158" s="8">
        <f>sample_20250925!E158</f>
        <v>1</v>
      </c>
      <c r="F158" s="8">
        <f>IF(sample_20250925!$C158=C158,sample_20250925!F158, NA())</f>
        <v>1</v>
      </c>
      <c r="G158" s="8">
        <f>IF(sample_20250925!$C158=$C158,sample_20250925!G158, NA())</f>
        <v>0</v>
      </c>
      <c r="H158" s="14" t="s">
        <v>462</v>
      </c>
      <c r="I158" s="12"/>
      <c r="J158" s="12"/>
      <c r="K158" s="12"/>
      <c r="L158" s="12"/>
      <c r="M158" s="10">
        <f t="shared" si="1"/>
        <v>1</v>
      </c>
      <c r="N158" s="10">
        <f t="shared" si="2"/>
        <v>0</v>
      </c>
      <c r="O158" s="10">
        <f>IFERROR(__xludf.DUMMYFUNCTION("INT(FILTER(GT(F158,0),ISNUMBER(F158)))"),1.0)</f>
        <v>1</v>
      </c>
      <c r="P158" s="10">
        <f t="shared" si="3"/>
        <v>1</v>
      </c>
      <c r="Q158" s="10">
        <f>IFERROR(__xludf.DUMMYFUNCTION("INT(FILTER(EQ(E158,F158),ISNUMBER(E158),ISNUMBER(F158)))"),1.0)</f>
        <v>1</v>
      </c>
    </row>
    <row r="159">
      <c r="A159" s="1" t="s">
        <v>625</v>
      </c>
      <c r="B159" s="7" t="s">
        <v>626</v>
      </c>
      <c r="C159" s="2" t="s">
        <v>627</v>
      </c>
      <c r="D159" s="1" t="s">
        <v>628</v>
      </c>
      <c r="E159" s="8">
        <f>sample_20250925!E159</f>
        <v>2</v>
      </c>
      <c r="F159" s="8">
        <v>2.0</v>
      </c>
      <c r="G159" s="8">
        <v>0.0</v>
      </c>
      <c r="H159" s="14" t="s">
        <v>462</v>
      </c>
      <c r="I159" s="12"/>
      <c r="J159" s="12"/>
      <c r="K159" s="12"/>
      <c r="L159" s="12"/>
      <c r="M159" s="10">
        <f t="shared" si="1"/>
        <v>1</v>
      </c>
      <c r="N159" s="10">
        <f t="shared" si="2"/>
        <v>0</v>
      </c>
      <c r="O159" s="10">
        <f>IFERROR(__xludf.DUMMYFUNCTION("INT(FILTER(GT(F159,0),ISNUMBER(F159)))"),1.0)</f>
        <v>1</v>
      </c>
      <c r="P159" s="10">
        <f t="shared" si="3"/>
        <v>1</v>
      </c>
      <c r="Q159" s="10">
        <f>IFERROR(__xludf.DUMMYFUNCTION("INT(FILTER(EQ(E159,F159),ISNUMBER(E159),ISNUMBER(F159)))"),1.0)</f>
        <v>1</v>
      </c>
    </row>
    <row r="160">
      <c r="A160" s="1" t="s">
        <v>629</v>
      </c>
      <c r="B160" s="7" t="s">
        <v>630</v>
      </c>
      <c r="C160" s="2" t="s">
        <v>512</v>
      </c>
      <c r="D160" s="7" t="s">
        <v>41</v>
      </c>
      <c r="E160" s="8">
        <f>sample_20250925!E160</f>
        <v>2</v>
      </c>
      <c r="F160" s="8">
        <v>1.0</v>
      </c>
      <c r="G160" s="8">
        <v>0.0</v>
      </c>
      <c r="H160" s="14" t="s">
        <v>462</v>
      </c>
      <c r="I160" s="12"/>
      <c r="J160" s="12"/>
      <c r="K160" s="12"/>
      <c r="L160" s="12"/>
      <c r="M160" s="10">
        <f t="shared" si="1"/>
        <v>0.5</v>
      </c>
      <c r="N160" s="10">
        <f t="shared" si="2"/>
        <v>0</v>
      </c>
      <c r="O160" s="10">
        <f>IFERROR(__xludf.DUMMYFUNCTION("INT(FILTER(GT(F160,0),ISNUMBER(F160)))"),1.0)</f>
        <v>1</v>
      </c>
      <c r="P160" s="10">
        <f t="shared" si="3"/>
        <v>1</v>
      </c>
      <c r="Q160" s="10">
        <f>IFERROR(__xludf.DUMMYFUNCTION("INT(FILTER(EQ(E160,F160),ISNUMBER(E160),ISNUMBER(F160)))"),0.0)</f>
        <v>0</v>
      </c>
    </row>
    <row r="161">
      <c r="A161" s="1" t="s">
        <v>631</v>
      </c>
      <c r="B161" s="7" t="s">
        <v>632</v>
      </c>
      <c r="C161" s="2" t="s">
        <v>633</v>
      </c>
      <c r="D161" s="1" t="s">
        <v>634</v>
      </c>
      <c r="E161" s="8">
        <f>sample_20250925!E161</f>
        <v>5</v>
      </c>
      <c r="F161" s="8">
        <v>4.0</v>
      </c>
      <c r="G161" s="8">
        <v>0.0</v>
      </c>
      <c r="H161" s="14" t="s">
        <v>462</v>
      </c>
      <c r="I161" s="12"/>
      <c r="J161" s="12"/>
      <c r="K161" s="12"/>
      <c r="L161" s="12"/>
      <c r="M161" s="10">
        <f t="shared" si="1"/>
        <v>0.8</v>
      </c>
      <c r="N161" s="10">
        <f t="shared" si="2"/>
        <v>0</v>
      </c>
      <c r="O161" s="10">
        <f>IFERROR(__xludf.DUMMYFUNCTION("INT(FILTER(GT(F161,0),ISNUMBER(F161)))"),1.0)</f>
        <v>1</v>
      </c>
      <c r="P161" s="10">
        <f t="shared" si="3"/>
        <v>1</v>
      </c>
      <c r="Q161" s="10">
        <f>IFERROR(__xludf.DUMMYFUNCTION("INT(FILTER(EQ(E161,F161),ISNUMBER(E161),ISNUMBER(F161)))"),0.0)</f>
        <v>0</v>
      </c>
    </row>
    <row r="162">
      <c r="A162" s="1" t="s">
        <v>635</v>
      </c>
      <c r="B162" s="7" t="s">
        <v>636</v>
      </c>
      <c r="C162" s="2" t="s">
        <v>268</v>
      </c>
      <c r="D162" s="7" t="s">
        <v>137</v>
      </c>
      <c r="E162" s="8">
        <f>sample_20250925!E162</f>
        <v>1</v>
      </c>
      <c r="F162" s="8">
        <f>IF(sample_20250925!$C162=C162,sample_20250925!F162, NA())</f>
        <v>1</v>
      </c>
      <c r="G162" s="8">
        <f>IF(sample_20250925!$C162=$C162,sample_20250925!G162, NA())</f>
        <v>0</v>
      </c>
      <c r="H162" s="14" t="s">
        <v>462</v>
      </c>
      <c r="I162" s="12"/>
      <c r="J162" s="12"/>
      <c r="K162" s="12"/>
      <c r="L162" s="12"/>
      <c r="M162" s="10">
        <f t="shared" si="1"/>
        <v>1</v>
      </c>
      <c r="N162" s="10">
        <f t="shared" si="2"/>
        <v>0</v>
      </c>
      <c r="O162" s="10">
        <f>IFERROR(__xludf.DUMMYFUNCTION("INT(FILTER(GT(F162,0),ISNUMBER(F162)))"),1.0)</f>
        <v>1</v>
      </c>
      <c r="P162" s="10">
        <f t="shared" si="3"/>
        <v>1</v>
      </c>
      <c r="Q162" s="10">
        <f>IFERROR(__xludf.DUMMYFUNCTION("INT(FILTER(EQ(E162,F162),ISNUMBER(E162),ISNUMBER(F162)))"),1.0)</f>
        <v>1</v>
      </c>
    </row>
    <row r="163">
      <c r="A163" s="1" t="s">
        <v>637</v>
      </c>
      <c r="B163" s="7" t="s">
        <v>638</v>
      </c>
      <c r="C163" s="2" t="s">
        <v>639</v>
      </c>
      <c r="D163" s="7" t="s">
        <v>640</v>
      </c>
      <c r="E163" s="8">
        <f>sample_20250925!E163</f>
        <v>1</v>
      </c>
      <c r="F163" s="8">
        <f>IF(sample_20250925!$C163=C163,sample_20250925!F163, NA())</f>
        <v>0</v>
      </c>
      <c r="G163" s="8">
        <f>IF(sample_20250925!$C163=$C163,sample_20250925!G163, NA())</f>
        <v>1</v>
      </c>
      <c r="H163" s="14" t="s">
        <v>462</v>
      </c>
      <c r="I163" s="12"/>
      <c r="J163" s="12"/>
      <c r="K163" s="12"/>
      <c r="L163" s="12"/>
      <c r="M163" s="10">
        <f t="shared" si="1"/>
        <v>0</v>
      </c>
      <c r="N163" s="10">
        <f t="shared" si="2"/>
        <v>1</v>
      </c>
      <c r="O163" s="10">
        <f>IFERROR(__xludf.DUMMYFUNCTION("INT(FILTER(GT(F163,0),ISNUMBER(F163)))"),0.0)</f>
        <v>0</v>
      </c>
      <c r="P163" s="10">
        <f t="shared" si="3"/>
        <v>0</v>
      </c>
      <c r="Q163" s="10">
        <f>IFERROR(__xludf.DUMMYFUNCTION("INT(FILTER(EQ(E163,F163),ISNUMBER(E163),ISNUMBER(F163)))"),0.0)</f>
        <v>0</v>
      </c>
    </row>
    <row r="164">
      <c r="A164" s="1" t="s">
        <v>641</v>
      </c>
      <c r="B164" s="7" t="s">
        <v>642</v>
      </c>
      <c r="C164" s="2" t="s">
        <v>643</v>
      </c>
      <c r="D164" s="7" t="s">
        <v>644</v>
      </c>
      <c r="E164" s="8">
        <f>sample_20250925!E164</f>
        <v>1</v>
      </c>
      <c r="F164" s="8">
        <f>IF(sample_20250925!$C164=C164,sample_20250925!F164, NA())</f>
        <v>1</v>
      </c>
      <c r="G164" s="8">
        <f>IF(sample_20250925!$C164=$C164,sample_20250925!G164, NA())</f>
        <v>0</v>
      </c>
      <c r="H164" s="14" t="s">
        <v>462</v>
      </c>
      <c r="I164" s="12"/>
      <c r="J164" s="12"/>
      <c r="K164" s="12"/>
      <c r="L164" s="12"/>
      <c r="M164" s="10">
        <f t="shared" si="1"/>
        <v>1</v>
      </c>
      <c r="N164" s="10">
        <f t="shared" si="2"/>
        <v>0</v>
      </c>
      <c r="O164" s="10">
        <f>IFERROR(__xludf.DUMMYFUNCTION("INT(FILTER(GT(F164,0),ISNUMBER(F164)))"),1.0)</f>
        <v>1</v>
      </c>
      <c r="P164" s="10">
        <f t="shared" si="3"/>
        <v>1</v>
      </c>
      <c r="Q164" s="10">
        <f>IFERROR(__xludf.DUMMYFUNCTION("INT(FILTER(EQ(E164,F164),ISNUMBER(E164),ISNUMBER(F164)))"),1.0)</f>
        <v>1</v>
      </c>
    </row>
    <row r="165">
      <c r="A165" s="1" t="s">
        <v>645</v>
      </c>
      <c r="B165" s="7" t="s">
        <v>646</v>
      </c>
      <c r="C165" s="2" t="s">
        <v>647</v>
      </c>
      <c r="D165" s="7" t="s">
        <v>648</v>
      </c>
      <c r="E165" s="8">
        <f>sample_20250925!E165</f>
        <v>1</v>
      </c>
      <c r="F165" s="8">
        <f>IF(sample_20250925!$C165=C165,sample_20250925!F165, NA())</f>
        <v>1</v>
      </c>
      <c r="G165" s="8">
        <f>IF(sample_20250925!$C165=$C165,sample_20250925!G165, NA())</f>
        <v>0</v>
      </c>
      <c r="H165" s="14" t="s">
        <v>462</v>
      </c>
      <c r="I165" s="12"/>
      <c r="J165" s="12"/>
      <c r="K165" s="12"/>
      <c r="L165" s="12"/>
      <c r="M165" s="10">
        <f t="shared" si="1"/>
        <v>1</v>
      </c>
      <c r="N165" s="10">
        <f t="shared" si="2"/>
        <v>0</v>
      </c>
      <c r="O165" s="10">
        <f>IFERROR(__xludf.DUMMYFUNCTION("INT(FILTER(GT(F165,0),ISNUMBER(F165)))"),1.0)</f>
        <v>1</v>
      </c>
      <c r="P165" s="10">
        <f t="shared" si="3"/>
        <v>1</v>
      </c>
      <c r="Q165" s="12"/>
    </row>
    <row r="166">
      <c r="A166" s="1" t="s">
        <v>649</v>
      </c>
      <c r="B166" s="7" t="s">
        <v>650</v>
      </c>
      <c r="C166" s="2" t="s">
        <v>651</v>
      </c>
      <c r="D166" s="7" t="s">
        <v>652</v>
      </c>
      <c r="E166" s="8">
        <f>sample_20250925!E166</f>
        <v>1</v>
      </c>
      <c r="F166" s="8">
        <f>IF(sample_20250925!$C166=C166,sample_20250925!F166, NA())</f>
        <v>1</v>
      </c>
      <c r="G166" s="8">
        <f>IF(sample_20250925!$C166=$C166,sample_20250925!G166, NA())</f>
        <v>0</v>
      </c>
      <c r="H166" s="14" t="s">
        <v>462</v>
      </c>
      <c r="I166" s="12"/>
      <c r="J166" s="12"/>
      <c r="K166" s="12"/>
      <c r="L166" s="12"/>
      <c r="M166" s="10">
        <f t="shared" si="1"/>
        <v>1</v>
      </c>
      <c r="N166" s="10">
        <f t="shared" si="2"/>
        <v>0</v>
      </c>
      <c r="O166" s="10">
        <f>IFERROR(__xludf.DUMMYFUNCTION("INT(FILTER(GT(F166,0),ISNUMBER(F166)))"),1.0)</f>
        <v>1</v>
      </c>
      <c r="P166" s="10">
        <f t="shared" si="3"/>
        <v>1</v>
      </c>
      <c r="Q166" s="10">
        <f>IFERROR(__xludf.DUMMYFUNCTION("INT(FILTER(EQ(E166,F166),ISNUMBER(E166),ISNUMBER(F166)))"),1.0)</f>
        <v>1</v>
      </c>
    </row>
    <row r="167">
      <c r="A167" s="1" t="s">
        <v>653</v>
      </c>
      <c r="B167" s="7" t="s">
        <v>654</v>
      </c>
      <c r="C167" s="2" t="s">
        <v>655</v>
      </c>
      <c r="D167" s="1" t="s">
        <v>656</v>
      </c>
      <c r="E167" s="8">
        <f>sample_20250925!E167</f>
        <v>4</v>
      </c>
      <c r="F167" s="8">
        <v>3.0</v>
      </c>
      <c r="G167" s="8">
        <v>0.0</v>
      </c>
      <c r="H167" s="14" t="s">
        <v>462</v>
      </c>
      <c r="I167" s="12"/>
      <c r="J167" s="12"/>
      <c r="K167" s="12"/>
      <c r="L167" s="12"/>
      <c r="M167" s="10">
        <f t="shared" si="1"/>
        <v>0.75</v>
      </c>
      <c r="N167" s="10">
        <f t="shared" si="2"/>
        <v>0</v>
      </c>
      <c r="O167" s="10">
        <f>IFERROR(__xludf.DUMMYFUNCTION("INT(FILTER(GT(F167,0),ISNUMBER(F167)))"),1.0)</f>
        <v>1</v>
      </c>
      <c r="P167" s="10">
        <f t="shared" si="3"/>
        <v>1</v>
      </c>
      <c r="Q167" s="10">
        <f>IFERROR(__xludf.DUMMYFUNCTION("INT(FILTER(EQ(E167,F167),ISNUMBER(E167),ISNUMBER(F167)))"),0.0)</f>
        <v>0</v>
      </c>
    </row>
    <row r="168">
      <c r="A168" s="1" t="s">
        <v>657</v>
      </c>
      <c r="B168" s="7" t="s">
        <v>658</v>
      </c>
      <c r="C168" s="2" t="s">
        <v>659</v>
      </c>
      <c r="D168" s="1" t="s">
        <v>660</v>
      </c>
      <c r="E168" s="8">
        <f>sample_20250925!E168</f>
        <v>4</v>
      </c>
      <c r="F168" s="8">
        <v>3.0</v>
      </c>
      <c r="G168" s="8">
        <v>0.0</v>
      </c>
      <c r="H168" s="14" t="s">
        <v>462</v>
      </c>
      <c r="I168" s="12"/>
      <c r="J168" s="12"/>
      <c r="K168" s="12"/>
      <c r="L168" s="12"/>
      <c r="M168" s="10">
        <f t="shared" si="1"/>
        <v>0.75</v>
      </c>
      <c r="N168" s="10">
        <f t="shared" si="2"/>
        <v>0</v>
      </c>
      <c r="O168" s="10">
        <f>IFERROR(__xludf.DUMMYFUNCTION("INT(FILTER(GT(F168,0),ISNUMBER(F168)))"),1.0)</f>
        <v>1</v>
      </c>
      <c r="P168" s="10">
        <f t="shared" si="3"/>
        <v>1</v>
      </c>
      <c r="Q168" s="10">
        <f>IFERROR(__xludf.DUMMYFUNCTION("INT(FILTER(EQ(E168,F168),ISNUMBER(E168),ISNUMBER(F168)))"),0.0)</f>
        <v>0</v>
      </c>
    </row>
    <row r="169">
      <c r="A169" s="1" t="s">
        <v>661</v>
      </c>
      <c r="B169" s="7" t="s">
        <v>662</v>
      </c>
      <c r="C169" s="2" t="s">
        <v>663</v>
      </c>
      <c r="D169" s="1" t="s">
        <v>664</v>
      </c>
      <c r="E169" s="8">
        <v>6.0</v>
      </c>
      <c r="F169" s="8">
        <v>4.0</v>
      </c>
      <c r="G169" s="8">
        <v>0.0</v>
      </c>
      <c r="H169" s="14" t="s">
        <v>462</v>
      </c>
      <c r="I169" s="12"/>
      <c r="J169" s="12"/>
      <c r="K169" s="12"/>
      <c r="L169" s="12"/>
      <c r="M169" s="10">
        <f t="shared" si="1"/>
        <v>0.6666666667</v>
      </c>
      <c r="N169" s="10">
        <f t="shared" si="2"/>
        <v>0</v>
      </c>
      <c r="O169" s="10">
        <f>IFERROR(__xludf.DUMMYFUNCTION("INT(FILTER(GT(F169,0),ISNUMBER(F169)))"),1.0)</f>
        <v>1</v>
      </c>
      <c r="P169" s="10">
        <f t="shared" si="3"/>
        <v>1</v>
      </c>
      <c r="Q169" s="10">
        <f>IFERROR(__xludf.DUMMYFUNCTION("INT(FILTER(EQ(E169,F169),ISNUMBER(E169),ISNUMBER(F169)))"),0.0)</f>
        <v>0</v>
      </c>
    </row>
    <row r="170">
      <c r="A170" s="1" t="s">
        <v>665</v>
      </c>
      <c r="B170" s="7" t="s">
        <v>666</v>
      </c>
      <c r="C170" s="2" t="s">
        <v>667</v>
      </c>
      <c r="D170" s="7" t="s">
        <v>668</v>
      </c>
      <c r="E170" s="8">
        <f>sample_20250925!E170</f>
        <v>1</v>
      </c>
      <c r="F170" s="8">
        <f>IF(sample_20250925!$C170=C170,sample_20250925!F170, NA())</f>
        <v>1</v>
      </c>
      <c r="G170" s="8">
        <f>IF(sample_20250925!$C170=$C170,sample_20250925!G170, NA())</f>
        <v>0</v>
      </c>
      <c r="H170" s="14" t="s">
        <v>462</v>
      </c>
      <c r="I170" s="12"/>
      <c r="J170" s="12"/>
      <c r="K170" s="12"/>
      <c r="L170" s="12"/>
      <c r="M170" s="10">
        <f t="shared" si="1"/>
        <v>1</v>
      </c>
      <c r="N170" s="10">
        <f t="shared" si="2"/>
        <v>0</v>
      </c>
      <c r="O170" s="10">
        <f>IFERROR(__xludf.DUMMYFUNCTION("INT(FILTER(GT(F170,0),ISNUMBER(F170)))"),1.0)</f>
        <v>1</v>
      </c>
      <c r="P170" s="10">
        <f t="shared" si="3"/>
        <v>1</v>
      </c>
      <c r="Q170" s="10">
        <f>IFERROR(__xludf.DUMMYFUNCTION("INT(FILTER(EQ(E170,F170),ISNUMBER(E170),ISNUMBER(F170)))"),1.0)</f>
        <v>1</v>
      </c>
    </row>
    <row r="171">
      <c r="A171" s="1" t="s">
        <v>669</v>
      </c>
      <c r="B171" s="7" t="s">
        <v>670</v>
      </c>
      <c r="C171" s="2" t="s">
        <v>671</v>
      </c>
      <c r="D171" s="1" t="s">
        <v>672</v>
      </c>
      <c r="E171" s="8">
        <f>sample_20250925!E171</f>
        <v>2</v>
      </c>
      <c r="F171" s="8">
        <v>2.0</v>
      </c>
      <c r="G171" s="8">
        <v>0.0</v>
      </c>
      <c r="H171" s="14" t="s">
        <v>462</v>
      </c>
      <c r="I171" s="12"/>
      <c r="J171" s="12"/>
      <c r="K171" s="12"/>
      <c r="L171" s="12"/>
      <c r="M171" s="10">
        <f t="shared" si="1"/>
        <v>1</v>
      </c>
      <c r="N171" s="10">
        <f t="shared" si="2"/>
        <v>0</v>
      </c>
      <c r="O171" s="10">
        <f>IFERROR(__xludf.DUMMYFUNCTION("INT(FILTER(GT(F171,0),ISNUMBER(F171)))"),1.0)</f>
        <v>1</v>
      </c>
      <c r="P171" s="10">
        <f t="shared" si="3"/>
        <v>1</v>
      </c>
      <c r="Q171" s="10">
        <f>IFERROR(__xludf.DUMMYFUNCTION("INT(FILTER(EQ(E171,F171),ISNUMBER(E171),ISNUMBER(F171)))"),1.0)</f>
        <v>1</v>
      </c>
    </row>
    <row r="172">
      <c r="A172" s="1" t="s">
        <v>673</v>
      </c>
      <c r="B172" s="7" t="s">
        <v>674</v>
      </c>
      <c r="C172" s="2" t="s">
        <v>675</v>
      </c>
      <c r="D172" s="1" t="s">
        <v>676</v>
      </c>
      <c r="E172" s="8">
        <v>19.0</v>
      </c>
      <c r="F172" s="8">
        <v>15.0</v>
      </c>
      <c r="G172" s="8">
        <v>1.0</v>
      </c>
      <c r="H172" s="14" t="s">
        <v>462</v>
      </c>
      <c r="I172" s="12"/>
      <c r="J172" s="12"/>
      <c r="K172" s="12"/>
      <c r="L172" s="12"/>
      <c r="M172" s="10">
        <f t="shared" si="1"/>
        <v>0.7894736842</v>
      </c>
      <c r="N172" s="10">
        <f t="shared" si="2"/>
        <v>0.05263157895</v>
      </c>
      <c r="O172" s="10">
        <f>IFERROR(__xludf.DUMMYFUNCTION("INT(FILTER(GT(F172,0),ISNUMBER(F172)))"),1.0)</f>
        <v>1</v>
      </c>
      <c r="P172" s="10">
        <f t="shared" si="3"/>
        <v>0.9375</v>
      </c>
      <c r="Q172" s="10">
        <f>IFERROR(__xludf.DUMMYFUNCTION("INT(FILTER(EQ(E172,F172),ISNUMBER(E172),ISNUMBER(F172)))"),0.0)</f>
        <v>0</v>
      </c>
    </row>
    <row r="173">
      <c r="A173" s="1" t="s">
        <v>677</v>
      </c>
      <c r="B173" s="7" t="s">
        <v>678</v>
      </c>
      <c r="C173" s="2" t="s">
        <v>299</v>
      </c>
      <c r="E173" s="8">
        <f>sample_20250925!E173</f>
        <v>1</v>
      </c>
      <c r="F173" s="8">
        <v>0.0</v>
      </c>
      <c r="G173" s="8">
        <v>0.0</v>
      </c>
      <c r="H173" s="14" t="s">
        <v>462</v>
      </c>
      <c r="I173" s="12"/>
      <c r="J173" s="12"/>
      <c r="K173" s="12"/>
      <c r="L173" s="12"/>
      <c r="M173" s="10">
        <f t="shared" si="1"/>
        <v>0</v>
      </c>
      <c r="N173" s="10">
        <f t="shared" si="2"/>
        <v>0</v>
      </c>
      <c r="O173" s="10">
        <f>IFERROR(__xludf.DUMMYFUNCTION("INT(FILTER(GT(F173,0),ISNUMBER(F173)))"),0.0)</f>
        <v>0</v>
      </c>
      <c r="P173" s="10" t="str">
        <f t="shared" si="3"/>
        <v>#DIV/0!</v>
      </c>
      <c r="Q173" s="10">
        <f>IFERROR(__xludf.DUMMYFUNCTION("INT(FILTER(EQ(E173,F173),ISNUMBER(E173),ISNUMBER(F173)))"),0.0)</f>
        <v>0</v>
      </c>
    </row>
    <row r="174">
      <c r="A174" s="1" t="s">
        <v>679</v>
      </c>
      <c r="B174" s="7" t="s">
        <v>680</v>
      </c>
      <c r="C174" s="2" t="s">
        <v>681</v>
      </c>
      <c r="D174" s="7" t="s">
        <v>445</v>
      </c>
      <c r="E174" s="8">
        <f>sample_20250925!E174</f>
        <v>1</v>
      </c>
      <c r="F174" s="8">
        <f>IF(sample_20250925!$C174=C174,sample_20250925!F174, NA())</f>
        <v>1</v>
      </c>
      <c r="G174" s="8">
        <f>IF(sample_20250925!$C174=$C174,sample_20250925!G174, NA())</f>
        <v>0</v>
      </c>
      <c r="H174" s="14" t="s">
        <v>462</v>
      </c>
      <c r="I174" s="12"/>
      <c r="J174" s="12"/>
      <c r="K174" s="12"/>
      <c r="L174" s="12"/>
      <c r="M174" s="10">
        <f t="shared" si="1"/>
        <v>1</v>
      </c>
      <c r="N174" s="10">
        <f t="shared" si="2"/>
        <v>0</v>
      </c>
      <c r="O174" s="10">
        <f>IFERROR(__xludf.DUMMYFUNCTION("INT(FILTER(GT(F174,0),ISNUMBER(F174)))"),1.0)</f>
        <v>1</v>
      </c>
      <c r="P174" s="10">
        <f t="shared" si="3"/>
        <v>1</v>
      </c>
      <c r="Q174" s="10">
        <f>IFERROR(__xludf.DUMMYFUNCTION("INT(FILTER(EQ(E174,F174),ISNUMBER(E174),ISNUMBER(F174)))"),1.0)</f>
        <v>1</v>
      </c>
    </row>
    <row r="175">
      <c r="A175" s="1" t="s">
        <v>682</v>
      </c>
      <c r="B175" s="7" t="s">
        <v>683</v>
      </c>
      <c r="C175" s="2" t="s">
        <v>684</v>
      </c>
      <c r="D175" s="1" t="s">
        <v>685</v>
      </c>
      <c r="E175" s="8">
        <v>5.0</v>
      </c>
      <c r="F175" s="8">
        <v>2.0</v>
      </c>
      <c r="G175" s="8">
        <v>0.0</v>
      </c>
      <c r="H175" s="14" t="s">
        <v>686</v>
      </c>
      <c r="I175" s="12"/>
      <c r="J175" s="12"/>
      <c r="K175" s="12"/>
      <c r="L175" s="12"/>
      <c r="M175" s="10">
        <f t="shared" si="1"/>
        <v>0.4</v>
      </c>
      <c r="N175" s="10">
        <f t="shared" si="2"/>
        <v>0</v>
      </c>
      <c r="O175" s="10">
        <f>IFERROR(__xludf.DUMMYFUNCTION("INT(FILTER(GT(F175,0),ISNUMBER(F175)))"),1.0)</f>
        <v>1</v>
      </c>
      <c r="P175" s="10">
        <f t="shared" si="3"/>
        <v>1</v>
      </c>
      <c r="Q175" s="10">
        <f>IFERROR(__xludf.DUMMYFUNCTION("INT(FILTER(EQ(E175,F175),ISNUMBER(E175),ISNUMBER(F175)))"),0.0)</f>
        <v>0</v>
      </c>
    </row>
    <row r="176">
      <c r="A176" s="1" t="s">
        <v>687</v>
      </c>
      <c r="B176" s="7" t="s">
        <v>688</v>
      </c>
      <c r="C176" s="2" t="s">
        <v>689</v>
      </c>
      <c r="D176" s="1" t="s">
        <v>690</v>
      </c>
      <c r="E176" s="8">
        <v>9.0</v>
      </c>
      <c r="F176" s="8">
        <v>7.0</v>
      </c>
      <c r="G176" s="8">
        <v>0.0</v>
      </c>
      <c r="H176" s="14" t="s">
        <v>686</v>
      </c>
      <c r="I176" s="12"/>
      <c r="J176" s="12"/>
      <c r="K176" s="12"/>
      <c r="L176" s="12"/>
      <c r="M176" s="10">
        <f t="shared" si="1"/>
        <v>0.7777777778</v>
      </c>
      <c r="N176" s="10">
        <f t="shared" si="2"/>
        <v>0</v>
      </c>
      <c r="O176" s="10">
        <f>IFERROR(__xludf.DUMMYFUNCTION("INT(FILTER(GT(F176,0),ISNUMBER(F176)))"),1.0)</f>
        <v>1</v>
      </c>
      <c r="P176" s="10">
        <f t="shared" si="3"/>
        <v>1</v>
      </c>
      <c r="Q176" s="12"/>
    </row>
    <row r="177">
      <c r="A177" s="1" t="s">
        <v>691</v>
      </c>
      <c r="B177" s="7" t="s">
        <v>692</v>
      </c>
      <c r="C177" s="2" t="s">
        <v>693</v>
      </c>
      <c r="D177" s="1" t="s">
        <v>694</v>
      </c>
      <c r="E177" s="8">
        <v>3.0</v>
      </c>
      <c r="F177" s="8">
        <v>2.0</v>
      </c>
      <c r="G177" s="8">
        <v>0.0</v>
      </c>
      <c r="H177" s="14" t="s">
        <v>686</v>
      </c>
      <c r="I177" s="12"/>
      <c r="J177" s="12"/>
      <c r="K177" s="12"/>
      <c r="L177" s="12"/>
      <c r="M177" s="10">
        <f t="shared" si="1"/>
        <v>0.6666666667</v>
      </c>
      <c r="N177" s="10">
        <f t="shared" si="2"/>
        <v>0</v>
      </c>
      <c r="O177" s="10">
        <f>IFERROR(__xludf.DUMMYFUNCTION("INT(FILTER(GT(F177,0),ISNUMBER(F177)))"),1.0)</f>
        <v>1</v>
      </c>
      <c r="P177" s="10">
        <f t="shared" si="3"/>
        <v>1</v>
      </c>
      <c r="Q177" s="10">
        <f>IFERROR(__xludf.DUMMYFUNCTION("INT(FILTER(EQ(E177,F177),ISNUMBER(E177),ISNUMBER(F177)))"),0.0)</f>
        <v>0</v>
      </c>
    </row>
    <row r="178">
      <c r="A178" s="1" t="s">
        <v>695</v>
      </c>
      <c r="B178" s="7" t="s">
        <v>696</v>
      </c>
      <c r="C178" s="2" t="s">
        <v>697</v>
      </c>
      <c r="D178" s="7" t="s">
        <v>698</v>
      </c>
      <c r="E178" s="8">
        <f>sample_20250925!E178</f>
        <v>1</v>
      </c>
      <c r="F178" s="8">
        <f>IF(sample_20250925!$C178=C178,sample_20250925!F178, NA())</f>
        <v>1</v>
      </c>
      <c r="G178" s="8">
        <f>IF(sample_20250925!$C178=$C178,sample_20250925!G178, NA())</f>
        <v>0</v>
      </c>
      <c r="H178" s="14" t="s">
        <v>686</v>
      </c>
      <c r="I178" s="12"/>
      <c r="J178" s="12"/>
      <c r="K178" s="12"/>
      <c r="L178" s="12"/>
      <c r="M178" s="10">
        <f t="shared" si="1"/>
        <v>1</v>
      </c>
      <c r="N178" s="10">
        <f t="shared" si="2"/>
        <v>0</v>
      </c>
      <c r="O178" s="10">
        <f>IFERROR(__xludf.DUMMYFUNCTION("INT(FILTER(GT(F178,0),ISNUMBER(F178)))"),1.0)</f>
        <v>1</v>
      </c>
      <c r="P178" s="10">
        <f t="shared" si="3"/>
        <v>1</v>
      </c>
      <c r="Q178" s="10">
        <f>IFERROR(__xludf.DUMMYFUNCTION("INT(FILTER(EQ(E178,F178),ISNUMBER(E178),ISNUMBER(F178)))"),1.0)</f>
        <v>1</v>
      </c>
    </row>
    <row r="179">
      <c r="A179" s="1" t="s">
        <v>699</v>
      </c>
      <c r="B179" s="7" t="s">
        <v>700</v>
      </c>
      <c r="C179" s="2" t="s">
        <v>701</v>
      </c>
      <c r="D179" s="1" t="s">
        <v>702</v>
      </c>
      <c r="E179" s="8">
        <v>4.0</v>
      </c>
      <c r="F179" s="8">
        <v>2.0</v>
      </c>
      <c r="G179" s="8">
        <f>IF(sample_20250925!$C179=$C179,sample_20250925!G179, NA())</f>
        <v>0</v>
      </c>
      <c r="H179" s="14" t="s">
        <v>686</v>
      </c>
      <c r="I179" s="12"/>
      <c r="J179" s="12"/>
      <c r="K179" s="12"/>
      <c r="L179" s="12"/>
      <c r="M179" s="10">
        <f t="shared" si="1"/>
        <v>0.5</v>
      </c>
      <c r="N179" s="10">
        <f t="shared" si="2"/>
        <v>0</v>
      </c>
      <c r="O179" s="10">
        <f>IFERROR(__xludf.DUMMYFUNCTION("INT(FILTER(GT(F179,0),ISNUMBER(F179)))"),1.0)</f>
        <v>1</v>
      </c>
      <c r="P179" s="10">
        <f t="shared" si="3"/>
        <v>1</v>
      </c>
      <c r="Q179" s="10">
        <f>IFERROR(__xludf.DUMMYFUNCTION("INT(FILTER(EQ(E179,F179),ISNUMBER(E179),ISNUMBER(F179)))"),0.0)</f>
        <v>0</v>
      </c>
    </row>
    <row r="180">
      <c r="A180" s="1" t="s">
        <v>703</v>
      </c>
      <c r="B180" s="7" t="s">
        <v>704</v>
      </c>
      <c r="C180" s="2" t="s">
        <v>584</v>
      </c>
      <c r="D180" s="7" t="s">
        <v>585</v>
      </c>
      <c r="E180" s="8">
        <f>sample_20250925!E180</f>
        <v>1</v>
      </c>
      <c r="F180" s="8">
        <f>IF(sample_20250925!$C180=C180,sample_20250925!F180, NA())</f>
        <v>1</v>
      </c>
      <c r="G180" s="8">
        <f>IF(sample_20250925!$C180=$C180,sample_20250925!G180, NA())</f>
        <v>0</v>
      </c>
      <c r="H180" s="14" t="s">
        <v>686</v>
      </c>
      <c r="I180" s="12"/>
      <c r="J180" s="12"/>
      <c r="K180" s="12"/>
      <c r="L180" s="12"/>
      <c r="M180" s="10">
        <f t="shared" si="1"/>
        <v>1</v>
      </c>
      <c r="N180" s="10">
        <f t="shared" si="2"/>
        <v>0</v>
      </c>
      <c r="O180" s="10">
        <f>IFERROR(__xludf.DUMMYFUNCTION("INT(FILTER(GT(F180,0),ISNUMBER(F180)))"),1.0)</f>
        <v>1</v>
      </c>
      <c r="P180" s="10">
        <f t="shared" si="3"/>
        <v>1</v>
      </c>
      <c r="Q180" s="10">
        <f>IFERROR(__xludf.DUMMYFUNCTION("INT(FILTER(EQ(E180,F180),ISNUMBER(E180),ISNUMBER(F180)))"),1.0)</f>
        <v>1</v>
      </c>
    </row>
    <row r="181">
      <c r="A181" s="1" t="s">
        <v>705</v>
      </c>
      <c r="B181" s="7" t="s">
        <v>706</v>
      </c>
      <c r="C181" s="2" t="s">
        <v>707</v>
      </c>
      <c r="D181" s="1" t="s">
        <v>708</v>
      </c>
      <c r="E181" s="8">
        <f>sample_20250925!E181</f>
        <v>5</v>
      </c>
      <c r="F181" s="8">
        <f>IF(sample_20250925!$C181=C181,sample_20250925!F181, NA())</f>
        <v>5</v>
      </c>
      <c r="G181" s="8">
        <f>IF(sample_20250925!$C181=$C181,sample_20250925!G181, NA())</f>
        <v>0</v>
      </c>
      <c r="H181" s="14" t="s">
        <v>686</v>
      </c>
      <c r="I181" s="12"/>
      <c r="J181" s="12"/>
      <c r="K181" s="12"/>
      <c r="L181" s="12"/>
      <c r="M181" s="10">
        <f t="shared" si="1"/>
        <v>1</v>
      </c>
      <c r="N181" s="10">
        <f t="shared" si="2"/>
        <v>0</v>
      </c>
      <c r="O181" s="10">
        <f>IFERROR(__xludf.DUMMYFUNCTION("INT(FILTER(GT(F181,0),ISNUMBER(F181)))"),1.0)</f>
        <v>1</v>
      </c>
      <c r="P181" s="10">
        <f t="shared" si="3"/>
        <v>1</v>
      </c>
      <c r="Q181" s="10">
        <f>IFERROR(__xludf.DUMMYFUNCTION("INT(FILTER(EQ(E181,F181),ISNUMBER(E181),ISNUMBER(F181)))"),1.0)</f>
        <v>1</v>
      </c>
    </row>
    <row r="182">
      <c r="A182" s="1" t="s">
        <v>709</v>
      </c>
      <c r="B182" s="7" t="s">
        <v>710</v>
      </c>
      <c r="C182" s="2" t="s">
        <v>711</v>
      </c>
      <c r="D182" s="1" t="s">
        <v>712</v>
      </c>
      <c r="E182" s="8">
        <f>sample_20250925!E182</f>
        <v>6</v>
      </c>
      <c r="F182" s="8">
        <v>2.0</v>
      </c>
      <c r="G182" s="8">
        <v>1.0</v>
      </c>
      <c r="H182" s="14" t="s">
        <v>686</v>
      </c>
      <c r="I182" s="12"/>
      <c r="J182" s="12"/>
      <c r="K182" s="12"/>
      <c r="L182" s="12"/>
      <c r="M182" s="10">
        <f t="shared" si="1"/>
        <v>0.3333333333</v>
      </c>
      <c r="N182" s="10">
        <f t="shared" si="2"/>
        <v>0.1666666667</v>
      </c>
      <c r="O182" s="10">
        <f>IFERROR(__xludf.DUMMYFUNCTION("INT(FILTER(GT(F182,0),ISNUMBER(F182)))"),1.0)</f>
        <v>1</v>
      </c>
      <c r="P182" s="10">
        <f t="shared" si="3"/>
        <v>0.6666666667</v>
      </c>
      <c r="Q182" s="10">
        <f>IFERROR(__xludf.DUMMYFUNCTION("INT(FILTER(EQ(E182,F182),ISNUMBER(E182),ISNUMBER(F182)))"),0.0)</f>
        <v>0</v>
      </c>
    </row>
    <row r="183">
      <c r="A183" s="1" t="s">
        <v>713</v>
      </c>
      <c r="B183" s="7" t="s">
        <v>714</v>
      </c>
      <c r="C183" s="2" t="s">
        <v>715</v>
      </c>
      <c r="D183" s="7" t="s">
        <v>716</v>
      </c>
      <c r="E183" s="8">
        <f>sample_20250925!E183</f>
        <v>1</v>
      </c>
      <c r="F183" s="8">
        <v>1.0</v>
      </c>
      <c r="G183" s="8">
        <v>0.0</v>
      </c>
      <c r="H183" s="14" t="s">
        <v>686</v>
      </c>
      <c r="I183" s="12"/>
      <c r="J183" s="12"/>
      <c r="K183" s="12"/>
      <c r="L183" s="12"/>
      <c r="M183" s="10">
        <f t="shared" si="1"/>
        <v>1</v>
      </c>
      <c r="N183" s="10">
        <f t="shared" si="2"/>
        <v>0</v>
      </c>
      <c r="O183" s="10">
        <f>IFERROR(__xludf.DUMMYFUNCTION("INT(FILTER(GT(F183,0),ISNUMBER(F183)))"),1.0)</f>
        <v>1</v>
      </c>
      <c r="P183" s="10">
        <f t="shared" si="3"/>
        <v>1</v>
      </c>
      <c r="Q183" s="10">
        <f>IFERROR(__xludf.DUMMYFUNCTION("INT(FILTER(EQ(E183,F183),ISNUMBER(E183),ISNUMBER(F183)))"),1.0)</f>
        <v>1</v>
      </c>
    </row>
    <row r="184">
      <c r="A184" s="1" t="s">
        <v>717</v>
      </c>
      <c r="B184" s="7" t="s">
        <v>718</v>
      </c>
      <c r="C184" s="2" t="s">
        <v>719</v>
      </c>
      <c r="D184" s="1" t="s">
        <v>720</v>
      </c>
      <c r="E184" s="8">
        <f>sample_20250925!E184</f>
        <v>4</v>
      </c>
      <c r="F184" s="8">
        <f>IF(sample_20250925!$C184=C184,sample_20250925!F184, NA())</f>
        <v>4</v>
      </c>
      <c r="G184" s="8">
        <f>IF(sample_20250925!$C184=$C184,sample_20250925!G184, NA())</f>
        <v>0</v>
      </c>
      <c r="H184" s="14" t="s">
        <v>686</v>
      </c>
      <c r="I184" s="12"/>
      <c r="J184" s="12"/>
      <c r="K184" s="12"/>
      <c r="L184" s="12"/>
      <c r="M184" s="10">
        <f t="shared" si="1"/>
        <v>1</v>
      </c>
      <c r="N184" s="10">
        <f t="shared" si="2"/>
        <v>0</v>
      </c>
      <c r="O184" s="10">
        <f>IFERROR(__xludf.DUMMYFUNCTION("INT(FILTER(GT(F184,0),ISNUMBER(F184)))"),1.0)</f>
        <v>1</v>
      </c>
      <c r="P184" s="10">
        <f t="shared" si="3"/>
        <v>1</v>
      </c>
      <c r="Q184" s="10">
        <f>IFERROR(__xludf.DUMMYFUNCTION("INT(FILTER(EQ(E184,F184),ISNUMBER(E184),ISNUMBER(F184)))"),1.0)</f>
        <v>1</v>
      </c>
    </row>
    <row r="185">
      <c r="A185" s="1" t="s">
        <v>721</v>
      </c>
      <c r="B185" s="7" t="s">
        <v>722</v>
      </c>
      <c r="C185" s="2" t="s">
        <v>723</v>
      </c>
      <c r="D185" s="1" t="s">
        <v>724</v>
      </c>
      <c r="E185" s="8">
        <f>sample_20250925!E185</f>
        <v>4</v>
      </c>
      <c r="F185" s="8">
        <v>2.0</v>
      </c>
      <c r="G185" s="8">
        <v>0.0</v>
      </c>
      <c r="H185" s="14" t="s">
        <v>686</v>
      </c>
      <c r="I185" s="12"/>
      <c r="J185" s="12"/>
      <c r="K185" s="12"/>
      <c r="L185" s="12"/>
      <c r="M185" s="10">
        <f t="shared" si="1"/>
        <v>0.5</v>
      </c>
      <c r="N185" s="10">
        <f t="shared" si="2"/>
        <v>0</v>
      </c>
      <c r="O185" s="10">
        <f>IFERROR(__xludf.DUMMYFUNCTION("INT(FILTER(GT(F185,0),ISNUMBER(F185)))"),1.0)</f>
        <v>1</v>
      </c>
      <c r="P185" s="10">
        <f t="shared" si="3"/>
        <v>1</v>
      </c>
      <c r="Q185" s="10">
        <f>IFERROR(__xludf.DUMMYFUNCTION("INT(FILTER(EQ(E185,F185),ISNUMBER(E185),ISNUMBER(F185)))"),0.0)</f>
        <v>0</v>
      </c>
    </row>
    <row r="186">
      <c r="A186" s="1" t="s">
        <v>725</v>
      </c>
      <c r="B186" s="7" t="s">
        <v>726</v>
      </c>
      <c r="C186" s="2" t="s">
        <v>727</v>
      </c>
      <c r="D186" s="7" t="s">
        <v>728</v>
      </c>
      <c r="E186" s="8">
        <f>sample_20250925!E186</f>
        <v>1</v>
      </c>
      <c r="F186" s="8">
        <f>IF(sample_20250925!$C186=C186,sample_20250925!F186, NA())</f>
        <v>1</v>
      </c>
      <c r="G186" s="8">
        <f>IF(sample_20250925!$C186=$C186,sample_20250925!G186, NA())</f>
        <v>0</v>
      </c>
      <c r="H186" s="14" t="s">
        <v>686</v>
      </c>
      <c r="I186" s="12"/>
      <c r="J186" s="12"/>
      <c r="K186" s="12"/>
      <c r="L186" s="12"/>
      <c r="M186" s="10">
        <f t="shared" si="1"/>
        <v>1</v>
      </c>
      <c r="N186" s="10">
        <f t="shared" si="2"/>
        <v>0</v>
      </c>
      <c r="O186" s="10">
        <f>IFERROR(__xludf.DUMMYFUNCTION("INT(FILTER(GT(F186,0),ISNUMBER(F186)))"),1.0)</f>
        <v>1</v>
      </c>
      <c r="P186" s="10">
        <f t="shared" si="3"/>
        <v>1</v>
      </c>
      <c r="Q186" s="10">
        <f>IFERROR(__xludf.DUMMYFUNCTION("INT(FILTER(EQ(E186,F186),ISNUMBER(E186),ISNUMBER(F186)))"),1.0)</f>
        <v>1</v>
      </c>
    </row>
    <row r="187">
      <c r="A187" s="1" t="s">
        <v>729</v>
      </c>
      <c r="B187" s="7" t="s">
        <v>730</v>
      </c>
      <c r="C187" s="2" t="s">
        <v>731</v>
      </c>
      <c r="D187" s="1" t="s">
        <v>732</v>
      </c>
      <c r="E187" s="8">
        <f>sample_20250925!E187</f>
        <v>3</v>
      </c>
      <c r="F187" s="8">
        <v>1.0</v>
      </c>
      <c r="G187" s="8">
        <v>1.0</v>
      </c>
      <c r="H187" s="14" t="s">
        <v>686</v>
      </c>
      <c r="I187" s="12"/>
      <c r="J187" s="12"/>
      <c r="K187" s="12"/>
      <c r="L187" s="12"/>
      <c r="M187" s="10">
        <f t="shared" si="1"/>
        <v>0.3333333333</v>
      </c>
      <c r="N187" s="10">
        <f t="shared" si="2"/>
        <v>0.3333333333</v>
      </c>
      <c r="O187" s="10">
        <f>IFERROR(__xludf.DUMMYFUNCTION("INT(FILTER(GT(F187,0),ISNUMBER(F187)))"),1.0)</f>
        <v>1</v>
      </c>
      <c r="P187" s="10">
        <f t="shared" si="3"/>
        <v>0.5</v>
      </c>
      <c r="Q187" s="12"/>
    </row>
    <row r="188">
      <c r="A188" s="1" t="s">
        <v>733</v>
      </c>
      <c r="B188" s="7" t="s">
        <v>734</v>
      </c>
      <c r="C188" s="2" t="s">
        <v>735</v>
      </c>
      <c r="D188" s="1" t="s">
        <v>736</v>
      </c>
      <c r="E188" s="8">
        <f>sample_20250925!E188</f>
        <v>2</v>
      </c>
      <c r="F188" s="8">
        <f>IF(sample_20250925!$C188=C188,sample_20250925!F188, NA())</f>
        <v>2</v>
      </c>
      <c r="G188" s="8">
        <f>IF(sample_20250925!$C188=$C188,sample_20250925!G188, NA())</f>
        <v>0</v>
      </c>
      <c r="H188" s="14" t="s">
        <v>686</v>
      </c>
      <c r="I188" s="12"/>
      <c r="J188" s="12"/>
      <c r="K188" s="12"/>
      <c r="L188" s="12"/>
      <c r="M188" s="10">
        <f t="shared" si="1"/>
        <v>1</v>
      </c>
      <c r="N188" s="10">
        <f t="shared" si="2"/>
        <v>0</v>
      </c>
      <c r="O188" s="10">
        <f>IFERROR(__xludf.DUMMYFUNCTION("INT(FILTER(GT(F188,0),ISNUMBER(F188)))"),1.0)</f>
        <v>1</v>
      </c>
      <c r="P188" s="10">
        <f t="shared" si="3"/>
        <v>1</v>
      </c>
      <c r="Q188" s="10">
        <f>IFERROR(__xludf.DUMMYFUNCTION("INT(FILTER(EQ(E188,F188),ISNUMBER(E188),ISNUMBER(F188)))"),1.0)</f>
        <v>1</v>
      </c>
    </row>
    <row r="189">
      <c r="A189" s="1" t="s">
        <v>737</v>
      </c>
      <c r="B189" s="7" t="s">
        <v>738</v>
      </c>
      <c r="C189" s="2" t="s">
        <v>739</v>
      </c>
      <c r="D189" s="7" t="s">
        <v>740</v>
      </c>
      <c r="E189" s="8">
        <f>sample_20250925!E189</f>
        <v>2</v>
      </c>
      <c r="F189" s="8">
        <f>IF(sample_20250925!$C189=C189,sample_20250925!F189, NA())</f>
        <v>1</v>
      </c>
      <c r="G189" s="8">
        <f>IF(sample_20250925!$C189=$C189,sample_20250925!G189, NA())</f>
        <v>0</v>
      </c>
      <c r="H189" s="14" t="s">
        <v>686</v>
      </c>
      <c r="I189" s="12"/>
      <c r="J189" s="12"/>
      <c r="K189" s="12"/>
      <c r="L189" s="12"/>
      <c r="M189" s="10">
        <f t="shared" si="1"/>
        <v>0.5</v>
      </c>
      <c r="N189" s="10">
        <f t="shared" si="2"/>
        <v>0</v>
      </c>
      <c r="O189" s="10">
        <f>IFERROR(__xludf.DUMMYFUNCTION("INT(FILTER(GT(F189,0),ISNUMBER(F189)))"),1.0)</f>
        <v>1</v>
      </c>
      <c r="P189" s="10">
        <f t="shared" si="3"/>
        <v>1</v>
      </c>
      <c r="Q189" s="10">
        <f>IFERROR(__xludf.DUMMYFUNCTION("INT(FILTER(EQ(E189,F189),ISNUMBER(E189),ISNUMBER(F189)))"),0.0)</f>
        <v>0</v>
      </c>
    </row>
    <row r="190">
      <c r="A190" s="1" t="s">
        <v>741</v>
      </c>
      <c r="B190" s="7" t="s">
        <v>742</v>
      </c>
      <c r="C190" s="2" t="s">
        <v>743</v>
      </c>
      <c r="D190" s="1" t="s">
        <v>744</v>
      </c>
      <c r="E190" s="8">
        <f>sample_20250925!E190</f>
        <v>2</v>
      </c>
      <c r="F190" s="8">
        <f>IF(sample_20250925!$C190=C190,sample_20250925!F190, NA())</f>
        <v>2</v>
      </c>
      <c r="G190" s="8">
        <f>IF(sample_20250925!$C190=$C190,sample_20250925!G190, NA())</f>
        <v>1</v>
      </c>
      <c r="H190" s="14" t="s">
        <v>686</v>
      </c>
      <c r="I190" s="12"/>
      <c r="J190" s="12"/>
      <c r="K190" s="12"/>
      <c r="L190" s="12"/>
      <c r="M190" s="10">
        <f t="shared" si="1"/>
        <v>1</v>
      </c>
      <c r="N190" s="10">
        <f t="shared" si="2"/>
        <v>0.5</v>
      </c>
      <c r="O190" s="10">
        <f>IFERROR(__xludf.DUMMYFUNCTION("INT(FILTER(GT(F190,0),ISNUMBER(F190)))"),1.0)</f>
        <v>1</v>
      </c>
      <c r="P190" s="10">
        <f t="shared" si="3"/>
        <v>0.6666666667</v>
      </c>
      <c r="Q190" s="10">
        <f>IFERROR(__xludf.DUMMYFUNCTION("INT(FILTER(EQ(E190,F190),ISNUMBER(E190),ISNUMBER(F190)))"),1.0)</f>
        <v>1</v>
      </c>
    </row>
    <row r="191">
      <c r="A191" s="1" t="s">
        <v>745</v>
      </c>
      <c r="B191" s="7" t="s">
        <v>746</v>
      </c>
      <c r="C191" s="2" t="s">
        <v>747</v>
      </c>
      <c r="D191" s="1" t="s">
        <v>748</v>
      </c>
      <c r="E191" s="8">
        <f>sample_20250925!E191</f>
        <v>4</v>
      </c>
      <c r="F191" s="8">
        <f>IF(sample_20250925!$C191=C191,sample_20250925!F191, NA())</f>
        <v>4</v>
      </c>
      <c r="G191" s="8">
        <f>IF(sample_20250925!$C191=$C191,sample_20250925!G191, NA())</f>
        <v>0</v>
      </c>
      <c r="H191" s="14" t="s">
        <v>686</v>
      </c>
      <c r="I191" s="12"/>
      <c r="J191" s="12"/>
      <c r="K191" s="12"/>
      <c r="L191" s="12"/>
      <c r="M191" s="10">
        <f t="shared" si="1"/>
        <v>1</v>
      </c>
      <c r="N191" s="10">
        <f t="shared" si="2"/>
        <v>0</v>
      </c>
      <c r="O191" s="10">
        <f>IFERROR(__xludf.DUMMYFUNCTION("INT(FILTER(GT(F191,0),ISNUMBER(F191)))"),1.0)</f>
        <v>1</v>
      </c>
      <c r="P191" s="10">
        <f t="shared" si="3"/>
        <v>1</v>
      </c>
      <c r="Q191" s="10">
        <f>IFERROR(__xludf.DUMMYFUNCTION("INT(FILTER(EQ(E191,F191),ISNUMBER(E191),ISNUMBER(F191)))"),1.0)</f>
        <v>1</v>
      </c>
    </row>
    <row r="192">
      <c r="A192" s="1" t="s">
        <v>749</v>
      </c>
      <c r="B192" s="7" t="s">
        <v>750</v>
      </c>
      <c r="C192" s="2" t="s">
        <v>751</v>
      </c>
      <c r="D192" s="1" t="s">
        <v>752</v>
      </c>
      <c r="E192" s="8">
        <f>sample_20250925!E192</f>
        <v>6</v>
      </c>
      <c r="F192" s="8">
        <v>3.0</v>
      </c>
      <c r="G192" s="8">
        <v>0.0</v>
      </c>
      <c r="H192" s="14" t="s">
        <v>686</v>
      </c>
      <c r="I192" s="12"/>
      <c r="J192" s="12"/>
      <c r="K192" s="12"/>
      <c r="L192" s="12"/>
      <c r="M192" s="10">
        <f t="shared" si="1"/>
        <v>0.5</v>
      </c>
      <c r="N192" s="10">
        <f t="shared" si="2"/>
        <v>0</v>
      </c>
      <c r="O192" s="10">
        <f>IFERROR(__xludf.DUMMYFUNCTION("INT(FILTER(GT(F192,0),ISNUMBER(F192)))"),1.0)</f>
        <v>1</v>
      </c>
      <c r="P192" s="10">
        <f t="shared" si="3"/>
        <v>1</v>
      </c>
      <c r="Q192" s="10">
        <f>IFERROR(__xludf.DUMMYFUNCTION("INT(FILTER(EQ(E192,F192),ISNUMBER(E192),ISNUMBER(F192)))"),0.0)</f>
        <v>0</v>
      </c>
    </row>
    <row r="193">
      <c r="A193" s="1" t="s">
        <v>753</v>
      </c>
      <c r="B193" s="7" t="s">
        <v>754</v>
      </c>
      <c r="C193" s="2" t="s">
        <v>755</v>
      </c>
      <c r="D193" s="7" t="s">
        <v>756</v>
      </c>
      <c r="E193" s="8">
        <f>sample_20250925!E193</f>
        <v>2</v>
      </c>
      <c r="F193" s="8">
        <v>1.0</v>
      </c>
      <c r="G193" s="8">
        <v>0.0</v>
      </c>
      <c r="H193" s="14" t="s">
        <v>686</v>
      </c>
      <c r="I193" s="12"/>
      <c r="J193" s="12"/>
      <c r="K193" s="12"/>
      <c r="L193" s="12"/>
      <c r="M193" s="10">
        <f t="shared" si="1"/>
        <v>0.5</v>
      </c>
      <c r="N193" s="10">
        <f t="shared" si="2"/>
        <v>0</v>
      </c>
      <c r="O193" s="10">
        <f>IFERROR(__xludf.DUMMYFUNCTION("INT(FILTER(GT(F193,0),ISNUMBER(F193)))"),1.0)</f>
        <v>1</v>
      </c>
      <c r="P193" s="10">
        <f t="shared" si="3"/>
        <v>1</v>
      </c>
      <c r="Q193" s="10">
        <f>IFERROR(__xludf.DUMMYFUNCTION("INT(FILTER(EQ(E193,F193),ISNUMBER(E193),ISNUMBER(F193)))"),0.0)</f>
        <v>0</v>
      </c>
    </row>
    <row r="194">
      <c r="A194" s="1" t="s">
        <v>757</v>
      </c>
      <c r="B194" s="7" t="s">
        <v>758</v>
      </c>
      <c r="C194" s="2" t="s">
        <v>176</v>
      </c>
      <c r="D194" s="7" t="s">
        <v>177</v>
      </c>
      <c r="E194" s="8">
        <f>sample_20250925!E194</f>
        <v>1</v>
      </c>
      <c r="F194" s="8">
        <v>1.0</v>
      </c>
      <c r="G194" s="8">
        <v>0.0</v>
      </c>
      <c r="H194" s="14" t="s">
        <v>686</v>
      </c>
      <c r="I194" s="12"/>
      <c r="J194" s="12"/>
      <c r="K194" s="12"/>
      <c r="L194" s="12"/>
      <c r="M194" s="10">
        <f t="shared" si="1"/>
        <v>1</v>
      </c>
      <c r="N194" s="10">
        <f t="shared" si="2"/>
        <v>0</v>
      </c>
      <c r="O194" s="10">
        <f>IFERROR(__xludf.DUMMYFUNCTION("INT(FILTER(GT(F194,0),ISNUMBER(F194)))"),1.0)</f>
        <v>1</v>
      </c>
      <c r="P194" s="10">
        <f t="shared" si="3"/>
        <v>1</v>
      </c>
      <c r="Q194" s="10">
        <f>IFERROR(__xludf.DUMMYFUNCTION("INT(FILTER(EQ(E194,F194),ISNUMBER(E194),ISNUMBER(F194)))"),1.0)</f>
        <v>1</v>
      </c>
    </row>
    <row r="195">
      <c r="A195" s="1" t="s">
        <v>759</v>
      </c>
      <c r="B195" s="7" t="s">
        <v>760</v>
      </c>
      <c r="C195" s="2" t="s">
        <v>761</v>
      </c>
      <c r="D195" s="1" t="s">
        <v>762</v>
      </c>
      <c r="E195" s="8">
        <f>sample_20250925!E195</f>
        <v>7</v>
      </c>
      <c r="F195" s="8">
        <v>5.0</v>
      </c>
      <c r="G195" s="8">
        <v>0.0</v>
      </c>
      <c r="H195" s="14" t="s">
        <v>686</v>
      </c>
      <c r="I195" s="12"/>
      <c r="J195" s="12"/>
      <c r="K195" s="12"/>
      <c r="L195" s="12"/>
      <c r="M195" s="10">
        <f t="shared" si="1"/>
        <v>0.7142857143</v>
      </c>
      <c r="N195" s="10">
        <f t="shared" si="2"/>
        <v>0</v>
      </c>
      <c r="O195" s="10">
        <f>IFERROR(__xludf.DUMMYFUNCTION("INT(FILTER(GT(F195,0),ISNUMBER(F195)))"),1.0)</f>
        <v>1</v>
      </c>
      <c r="P195" s="10">
        <f t="shared" si="3"/>
        <v>1</v>
      </c>
      <c r="Q195" s="10">
        <f>IFERROR(__xludf.DUMMYFUNCTION("INT(FILTER(EQ(E195,F195),ISNUMBER(E195),ISNUMBER(F195)))"),0.0)</f>
        <v>0</v>
      </c>
    </row>
    <row r="196">
      <c r="A196" s="1" t="s">
        <v>763</v>
      </c>
      <c r="B196" s="7" t="s">
        <v>764</v>
      </c>
      <c r="C196" s="2" t="s">
        <v>765</v>
      </c>
      <c r="D196" s="1" t="s">
        <v>766</v>
      </c>
      <c r="E196" s="8">
        <f>sample_20250925!E196</f>
        <v>3</v>
      </c>
      <c r="F196" s="8">
        <f>IF(sample_20250925!$C196=C196,sample_20250925!F196, NA())</f>
        <v>3</v>
      </c>
      <c r="G196" s="8">
        <f>IF(sample_20250925!$C196=$C196,sample_20250925!G196, NA())</f>
        <v>0</v>
      </c>
      <c r="H196" s="14" t="s">
        <v>686</v>
      </c>
      <c r="I196" s="12"/>
      <c r="J196" s="12"/>
      <c r="K196" s="12"/>
      <c r="L196" s="12"/>
      <c r="M196" s="10">
        <f t="shared" si="1"/>
        <v>1</v>
      </c>
      <c r="N196" s="10">
        <f t="shared" si="2"/>
        <v>0</v>
      </c>
      <c r="O196" s="10">
        <f>IFERROR(__xludf.DUMMYFUNCTION("INT(FILTER(GT(F196,0),ISNUMBER(F196)))"),1.0)</f>
        <v>1</v>
      </c>
      <c r="P196" s="10">
        <f t="shared" si="3"/>
        <v>1</v>
      </c>
      <c r="Q196" s="10">
        <f>IFERROR(__xludf.DUMMYFUNCTION("INT(FILTER(EQ(E196,F196),ISNUMBER(E196),ISNUMBER(F196)))"),1.0)</f>
        <v>1</v>
      </c>
    </row>
    <row r="197">
      <c r="A197" s="1" t="s">
        <v>767</v>
      </c>
      <c r="B197" s="7" t="s">
        <v>768</v>
      </c>
      <c r="C197" s="2" t="s">
        <v>769</v>
      </c>
      <c r="D197" s="7" t="s">
        <v>770</v>
      </c>
      <c r="E197" s="8">
        <f>sample_20250925!E197</f>
        <v>1</v>
      </c>
      <c r="F197" s="8">
        <f>IF(sample_20250925!$C197=C197,sample_20250925!F197, NA())</f>
        <v>1</v>
      </c>
      <c r="G197" s="8">
        <f>IF(sample_20250925!$C197=$C197,sample_20250925!G197, NA())</f>
        <v>0</v>
      </c>
      <c r="H197" s="14" t="s">
        <v>686</v>
      </c>
      <c r="I197" s="12"/>
      <c r="J197" s="12"/>
      <c r="K197" s="12"/>
      <c r="L197" s="12"/>
      <c r="M197" s="10">
        <f t="shared" si="1"/>
        <v>1</v>
      </c>
      <c r="N197" s="10">
        <f t="shared" si="2"/>
        <v>0</v>
      </c>
      <c r="O197" s="10">
        <f>IFERROR(__xludf.DUMMYFUNCTION("INT(FILTER(GT(F197,0),ISNUMBER(F197)))"),1.0)</f>
        <v>1</v>
      </c>
      <c r="P197" s="10">
        <f t="shared" si="3"/>
        <v>1</v>
      </c>
      <c r="Q197" s="10">
        <f>IFERROR(__xludf.DUMMYFUNCTION("INT(FILTER(EQ(E197,F197),ISNUMBER(E197),ISNUMBER(F197)))"),1.0)</f>
        <v>1</v>
      </c>
    </row>
    <row r="198">
      <c r="A198" s="1" t="s">
        <v>771</v>
      </c>
      <c r="B198" s="7" t="s">
        <v>772</v>
      </c>
      <c r="C198" s="2" t="s">
        <v>773</v>
      </c>
      <c r="D198" s="1" t="s">
        <v>774</v>
      </c>
      <c r="E198" s="8">
        <f>sample_20250925!E198</f>
        <v>2</v>
      </c>
      <c r="F198" s="8">
        <f>IF(sample_20250925!$C198=C198,sample_20250925!F198, NA())</f>
        <v>2</v>
      </c>
      <c r="G198" s="8">
        <f>IF(sample_20250925!$C198=$C198,sample_20250925!G198, NA())</f>
        <v>0</v>
      </c>
      <c r="H198" s="14" t="s">
        <v>686</v>
      </c>
      <c r="I198" s="12"/>
      <c r="J198" s="12"/>
      <c r="K198" s="12"/>
      <c r="L198" s="12"/>
      <c r="M198" s="10">
        <f t="shared" si="1"/>
        <v>1</v>
      </c>
      <c r="N198" s="10">
        <f t="shared" si="2"/>
        <v>0</v>
      </c>
      <c r="O198" s="10">
        <f>IFERROR(__xludf.DUMMYFUNCTION("INT(FILTER(GT(F198,0),ISNUMBER(F198)))"),1.0)</f>
        <v>1</v>
      </c>
      <c r="P198" s="10">
        <f t="shared" si="3"/>
        <v>1</v>
      </c>
      <c r="Q198" s="12"/>
    </row>
    <row r="199">
      <c r="A199" s="1" t="s">
        <v>775</v>
      </c>
      <c r="B199" s="7" t="s">
        <v>776</v>
      </c>
      <c r="C199" s="2" t="s">
        <v>777</v>
      </c>
      <c r="D199" s="7" t="s">
        <v>778</v>
      </c>
      <c r="E199" s="8">
        <f>sample_20250925!E199</f>
        <v>1</v>
      </c>
      <c r="F199" s="8">
        <f>IF(sample_20250925!$C199=C199,sample_20250925!F199, NA())</f>
        <v>1</v>
      </c>
      <c r="G199" s="8">
        <f>IF(sample_20250925!$C199=$C199,sample_20250925!G199, NA())</f>
        <v>0</v>
      </c>
      <c r="H199" s="14" t="s">
        <v>686</v>
      </c>
      <c r="I199" s="12"/>
      <c r="J199" s="12"/>
      <c r="K199" s="12"/>
      <c r="L199" s="12"/>
      <c r="M199" s="10">
        <f t="shared" si="1"/>
        <v>1</v>
      </c>
      <c r="N199" s="10">
        <f t="shared" si="2"/>
        <v>0</v>
      </c>
      <c r="O199" s="10">
        <f>IFERROR(__xludf.DUMMYFUNCTION("INT(FILTER(GT(F199,0),ISNUMBER(F199)))"),1.0)</f>
        <v>1</v>
      </c>
      <c r="P199" s="10">
        <f t="shared" si="3"/>
        <v>1</v>
      </c>
      <c r="Q199" s="10">
        <f>IFERROR(__xludf.DUMMYFUNCTION("INT(FILTER(EQ(E199,F199),ISNUMBER(E199),ISNUMBER(F199)))"),1.0)</f>
        <v>1</v>
      </c>
    </row>
    <row r="200">
      <c r="A200" s="1" t="s">
        <v>779</v>
      </c>
      <c r="B200" s="7" t="s">
        <v>780</v>
      </c>
      <c r="C200" s="2" t="s">
        <v>781</v>
      </c>
      <c r="D200" s="1" t="s">
        <v>782</v>
      </c>
      <c r="E200" s="8">
        <f>sample_20250925!E200</f>
        <v>2</v>
      </c>
      <c r="F200" s="8">
        <f>IF(sample_20250925!$C200=C200,sample_20250925!F200, NA())</f>
        <v>2</v>
      </c>
      <c r="G200" s="8">
        <f>IF(sample_20250925!$C200=$C200,sample_20250925!G200, NA())</f>
        <v>0</v>
      </c>
      <c r="H200" s="14" t="s">
        <v>686</v>
      </c>
      <c r="I200" s="12"/>
      <c r="J200" s="12"/>
      <c r="K200" s="12"/>
      <c r="L200" s="12"/>
      <c r="M200" s="10">
        <f t="shared" si="1"/>
        <v>1</v>
      </c>
      <c r="N200" s="10">
        <f t="shared" si="2"/>
        <v>0</v>
      </c>
      <c r="O200" s="10">
        <f>IFERROR(__xludf.DUMMYFUNCTION("INT(FILTER(GT(F200,0),ISNUMBER(F200)))"),1.0)</f>
        <v>1</v>
      </c>
      <c r="P200" s="10">
        <f t="shared" si="3"/>
        <v>1</v>
      </c>
      <c r="Q200" s="10">
        <f>IFERROR(__xludf.DUMMYFUNCTION("INT(FILTER(EQ(E200,F200),ISNUMBER(E200),ISNUMBER(F200)))"),1.0)</f>
        <v>1</v>
      </c>
    </row>
    <row r="201">
      <c r="A201" s="1" t="s">
        <v>783</v>
      </c>
      <c r="B201" s="7" t="s">
        <v>784</v>
      </c>
      <c r="C201" s="2" t="s">
        <v>785</v>
      </c>
      <c r="D201" s="7" t="s">
        <v>786</v>
      </c>
      <c r="E201" s="8">
        <f>sample_20250925!E201</f>
        <v>1</v>
      </c>
      <c r="F201" s="8">
        <f>IF(sample_20250925!$C201=C201,sample_20250925!F201, NA())</f>
        <v>1</v>
      </c>
      <c r="G201" s="8">
        <f>IF(sample_20250925!$C201=$C201,sample_20250925!G201, NA())</f>
        <v>0</v>
      </c>
      <c r="H201" s="14" t="s">
        <v>686</v>
      </c>
      <c r="I201" s="12"/>
      <c r="J201" s="12"/>
      <c r="K201" s="12"/>
      <c r="L201" s="12"/>
      <c r="M201" s="10">
        <f t="shared" si="1"/>
        <v>1</v>
      </c>
      <c r="N201" s="10">
        <f t="shared" si="2"/>
        <v>0</v>
      </c>
      <c r="O201" s="10">
        <f>IFERROR(__xludf.DUMMYFUNCTION("INT(FILTER(GT(F201,0),ISNUMBER(F201)))"),1.0)</f>
        <v>1</v>
      </c>
      <c r="P201" s="10">
        <f t="shared" si="3"/>
        <v>1</v>
      </c>
      <c r="Q201" s="10">
        <f>IFERROR(__xludf.DUMMYFUNCTION("INT(FILTER(EQ(E201,F201),ISNUMBER(E201),ISNUMBER(F201)))"),1.0)</f>
        <v>1</v>
      </c>
    </row>
    <row r="202">
      <c r="A202" s="1" t="s">
        <v>787</v>
      </c>
      <c r="B202" s="7" t="s">
        <v>788</v>
      </c>
      <c r="C202" s="2" t="s">
        <v>789</v>
      </c>
      <c r="D202" s="1" t="s">
        <v>790</v>
      </c>
      <c r="E202" s="8">
        <f>sample_20250925!E202</f>
        <v>3</v>
      </c>
      <c r="F202" s="8">
        <f>IF(sample_20250925!$C202=C202,sample_20250925!F202, NA())</f>
        <v>3</v>
      </c>
      <c r="G202" s="8">
        <f>IF(sample_20250925!$C202=$C202,sample_20250925!G202, NA())</f>
        <v>0</v>
      </c>
      <c r="H202" s="14" t="s">
        <v>686</v>
      </c>
      <c r="I202" s="12"/>
      <c r="J202" s="12"/>
      <c r="K202" s="12"/>
      <c r="L202" s="12"/>
      <c r="M202" s="10">
        <f t="shared" si="1"/>
        <v>1</v>
      </c>
      <c r="N202" s="10">
        <f t="shared" si="2"/>
        <v>0</v>
      </c>
      <c r="O202" s="10">
        <f>IFERROR(__xludf.DUMMYFUNCTION("INT(FILTER(GT(F202,0),ISNUMBER(F202)))"),1.0)</f>
        <v>1</v>
      </c>
      <c r="P202" s="10">
        <f t="shared" si="3"/>
        <v>1</v>
      </c>
      <c r="Q202" s="10">
        <f>IFERROR(__xludf.DUMMYFUNCTION("INT(FILTER(EQ(E202,F202),ISNUMBER(E202),ISNUMBER(F202)))"),1.0)</f>
        <v>1</v>
      </c>
    </row>
    <row r="203">
      <c r="A203" s="1" t="s">
        <v>791</v>
      </c>
      <c r="B203" s="7" t="s">
        <v>792</v>
      </c>
      <c r="C203" s="2" t="s">
        <v>793</v>
      </c>
      <c r="D203" s="1" t="s">
        <v>794</v>
      </c>
      <c r="E203" s="8">
        <f>sample_20250925!E203</f>
        <v>2</v>
      </c>
      <c r="F203" s="8">
        <f>IF(sample_20250925!$C203=C203,sample_20250925!F203, NA())</f>
        <v>2</v>
      </c>
      <c r="G203" s="8">
        <f>IF(sample_20250925!$C203=$C203,sample_20250925!G203, NA())</f>
        <v>0</v>
      </c>
      <c r="H203" s="14" t="s">
        <v>686</v>
      </c>
      <c r="I203" s="12"/>
      <c r="J203" s="12"/>
      <c r="K203" s="12"/>
      <c r="L203" s="12"/>
      <c r="M203" s="10">
        <f t="shared" si="1"/>
        <v>1</v>
      </c>
      <c r="N203" s="10">
        <f t="shared" si="2"/>
        <v>0</v>
      </c>
      <c r="O203" s="10">
        <f>IFERROR(__xludf.DUMMYFUNCTION("INT(FILTER(GT(F203,0),ISNUMBER(F203)))"),1.0)</f>
        <v>1</v>
      </c>
      <c r="P203" s="10">
        <f t="shared" si="3"/>
        <v>1</v>
      </c>
      <c r="Q203" s="10">
        <f>IFERROR(__xludf.DUMMYFUNCTION("INT(FILTER(EQ(E203,F203),ISNUMBER(E203),ISNUMBER(F203)))"),1.0)</f>
        <v>1</v>
      </c>
    </row>
    <row r="204">
      <c r="A204" s="1" t="s">
        <v>795</v>
      </c>
      <c r="B204" s="7" t="s">
        <v>796</v>
      </c>
      <c r="C204" s="2" t="s">
        <v>797</v>
      </c>
      <c r="D204" s="7" t="s">
        <v>798</v>
      </c>
      <c r="E204" s="8">
        <f>sample_20250925!E204</f>
        <v>2</v>
      </c>
      <c r="F204" s="8">
        <v>1.0</v>
      </c>
      <c r="G204" s="8">
        <v>0.0</v>
      </c>
      <c r="H204" s="14" t="s">
        <v>686</v>
      </c>
      <c r="I204" s="12"/>
      <c r="J204" s="12"/>
      <c r="K204" s="12"/>
      <c r="L204" s="12"/>
      <c r="M204" s="10">
        <f t="shared" si="1"/>
        <v>0.5</v>
      </c>
      <c r="N204" s="10">
        <f t="shared" si="2"/>
        <v>0</v>
      </c>
      <c r="O204" s="10">
        <f>IFERROR(__xludf.DUMMYFUNCTION("INT(FILTER(GT(F204,0),ISNUMBER(F204)))"),1.0)</f>
        <v>1</v>
      </c>
      <c r="P204" s="10">
        <f t="shared" si="3"/>
        <v>1</v>
      </c>
      <c r="Q204" s="10">
        <f>IFERROR(__xludf.DUMMYFUNCTION("INT(FILTER(EQ(E204,F204),ISNUMBER(E204),ISNUMBER(F204)))"),0.0)</f>
        <v>0</v>
      </c>
    </row>
    <row r="205">
      <c r="A205" s="1" t="s">
        <v>799</v>
      </c>
      <c r="B205" s="7" t="s">
        <v>800</v>
      </c>
      <c r="C205" s="2" t="s">
        <v>801</v>
      </c>
      <c r="D205" s="1" t="s">
        <v>802</v>
      </c>
      <c r="E205" s="8">
        <f>sample_20250925!E205</f>
        <v>3</v>
      </c>
      <c r="F205" s="8">
        <f>IF(sample_20250925!$C205=C205,sample_20250925!F205, NA())</f>
        <v>3</v>
      </c>
      <c r="G205" s="8">
        <f>IF(sample_20250925!$C205=$C205,sample_20250925!G205, NA())</f>
        <v>0</v>
      </c>
      <c r="H205" s="14" t="s">
        <v>686</v>
      </c>
      <c r="I205" s="12"/>
      <c r="J205" s="12"/>
      <c r="K205" s="12"/>
      <c r="L205" s="12"/>
      <c r="M205" s="10">
        <f t="shared" si="1"/>
        <v>1</v>
      </c>
      <c r="N205" s="10">
        <f t="shared" si="2"/>
        <v>0</v>
      </c>
      <c r="O205" s="10">
        <f>IFERROR(__xludf.DUMMYFUNCTION("INT(FILTER(GT(F205,0),ISNUMBER(F205)))"),1.0)</f>
        <v>1</v>
      </c>
      <c r="P205" s="10">
        <f t="shared" si="3"/>
        <v>1</v>
      </c>
      <c r="Q205" s="10">
        <f>IFERROR(__xludf.DUMMYFUNCTION("INT(FILTER(EQ(E205,F205),ISNUMBER(E205),ISNUMBER(F205)))"),1.0)</f>
        <v>1</v>
      </c>
    </row>
    <row r="206">
      <c r="A206" s="1" t="s">
        <v>803</v>
      </c>
      <c r="B206" s="7" t="s">
        <v>804</v>
      </c>
      <c r="C206" s="2" t="s">
        <v>268</v>
      </c>
      <c r="D206" s="7" t="s">
        <v>137</v>
      </c>
      <c r="E206" s="8">
        <f>sample_20250925!E206</f>
        <v>1</v>
      </c>
      <c r="F206" s="8">
        <f>IF(sample_20250925!$C206=C206,sample_20250925!F206, NA())</f>
        <v>1</v>
      </c>
      <c r="G206" s="8">
        <f>IF(sample_20250925!$C206=$C206,sample_20250925!G206, NA())</f>
        <v>0</v>
      </c>
      <c r="H206" s="14" t="s">
        <v>686</v>
      </c>
      <c r="I206" s="12"/>
      <c r="J206" s="12"/>
      <c r="K206" s="12"/>
      <c r="L206" s="12"/>
      <c r="M206" s="10">
        <f t="shared" si="1"/>
        <v>1</v>
      </c>
      <c r="N206" s="10">
        <f t="shared" si="2"/>
        <v>0</v>
      </c>
      <c r="O206" s="10">
        <f>IFERROR(__xludf.DUMMYFUNCTION("INT(FILTER(GT(F206,0),ISNUMBER(F206)))"),1.0)</f>
        <v>1</v>
      </c>
      <c r="P206" s="10">
        <f t="shared" si="3"/>
        <v>1</v>
      </c>
      <c r="Q206" s="10">
        <f>IFERROR(__xludf.DUMMYFUNCTION("INT(FILTER(EQ(E206,F206),ISNUMBER(E206),ISNUMBER(F206)))"),1.0)</f>
        <v>1</v>
      </c>
    </row>
    <row r="207">
      <c r="A207" s="1" t="s">
        <v>805</v>
      </c>
      <c r="B207" s="7" t="s">
        <v>806</v>
      </c>
      <c r="C207" s="2" t="s">
        <v>807</v>
      </c>
      <c r="D207" s="1" t="s">
        <v>808</v>
      </c>
      <c r="E207" s="8">
        <v>4.0</v>
      </c>
      <c r="F207" s="8">
        <v>3.0</v>
      </c>
      <c r="G207" s="8">
        <v>0.0</v>
      </c>
      <c r="H207" s="14" t="s">
        <v>686</v>
      </c>
      <c r="I207" s="12"/>
      <c r="J207" s="12"/>
      <c r="K207" s="12"/>
      <c r="L207" s="12"/>
      <c r="M207" s="10">
        <f t="shared" si="1"/>
        <v>0.75</v>
      </c>
      <c r="N207" s="10">
        <f t="shared" si="2"/>
        <v>0</v>
      </c>
      <c r="O207" s="10">
        <f>IFERROR(__xludf.DUMMYFUNCTION("INT(FILTER(GT(F207,0),ISNUMBER(F207)))"),1.0)</f>
        <v>1</v>
      </c>
      <c r="P207" s="10">
        <f t="shared" si="3"/>
        <v>1</v>
      </c>
      <c r="Q207" s="10">
        <f>IFERROR(__xludf.DUMMYFUNCTION("INT(FILTER(EQ(E207,F207),ISNUMBER(E207),ISNUMBER(F207)))"),0.0)</f>
        <v>0</v>
      </c>
    </row>
    <row r="208">
      <c r="A208" s="1" t="s">
        <v>809</v>
      </c>
      <c r="B208" s="7" t="s">
        <v>810</v>
      </c>
      <c r="C208" s="2" t="s">
        <v>811</v>
      </c>
      <c r="D208" s="7" t="s">
        <v>812</v>
      </c>
      <c r="E208" s="8">
        <v>2.0</v>
      </c>
      <c r="F208" s="8">
        <v>2.0</v>
      </c>
      <c r="G208" s="8">
        <v>0.0</v>
      </c>
      <c r="H208" s="14" t="s">
        <v>686</v>
      </c>
      <c r="I208" s="12"/>
      <c r="J208" s="12"/>
      <c r="K208" s="12"/>
      <c r="L208" s="12"/>
      <c r="M208" s="10">
        <f t="shared" si="1"/>
        <v>1</v>
      </c>
      <c r="N208" s="10">
        <f t="shared" si="2"/>
        <v>0</v>
      </c>
      <c r="O208" s="10">
        <f>IFERROR(__xludf.DUMMYFUNCTION("INT(FILTER(GT(F208,0),ISNUMBER(F208)))"),1.0)</f>
        <v>1</v>
      </c>
      <c r="P208" s="10">
        <f t="shared" si="3"/>
        <v>1</v>
      </c>
      <c r="Q208" s="10">
        <f>IFERROR(__xludf.DUMMYFUNCTION("INT(FILTER(EQ(E208,F208),ISNUMBER(E208),ISNUMBER(F208)))"),1.0)</f>
        <v>1</v>
      </c>
    </row>
    <row r="209">
      <c r="A209" s="1" t="s">
        <v>813</v>
      </c>
      <c r="B209" s="7" t="s">
        <v>814</v>
      </c>
      <c r="C209" s="2" t="s">
        <v>815</v>
      </c>
      <c r="D209" s="1" t="s">
        <v>816</v>
      </c>
      <c r="E209" s="8">
        <f>sample_20250925!E209</f>
        <v>3</v>
      </c>
      <c r="F209" s="8">
        <v>2.0</v>
      </c>
      <c r="G209" s="8">
        <v>0.0</v>
      </c>
      <c r="H209" s="14" t="s">
        <v>686</v>
      </c>
      <c r="I209" s="12"/>
      <c r="J209" s="12"/>
      <c r="K209" s="12"/>
      <c r="L209" s="12"/>
      <c r="M209" s="10">
        <f t="shared" si="1"/>
        <v>0.6666666667</v>
      </c>
      <c r="N209" s="10">
        <f t="shared" si="2"/>
        <v>0</v>
      </c>
      <c r="O209" s="10">
        <f>IFERROR(__xludf.DUMMYFUNCTION("INT(FILTER(GT(F209,0),ISNUMBER(F209)))"),1.0)</f>
        <v>1</v>
      </c>
      <c r="P209" s="10">
        <f t="shared" si="3"/>
        <v>1</v>
      </c>
      <c r="Q209" s="12"/>
    </row>
    <row r="210">
      <c r="A210" s="1" t="s">
        <v>817</v>
      </c>
      <c r="B210" s="7" t="s">
        <v>818</v>
      </c>
      <c r="C210" s="2" t="s">
        <v>819</v>
      </c>
      <c r="D210" s="1" t="s">
        <v>820</v>
      </c>
      <c r="E210" s="8">
        <f>sample_20250925!E210</f>
        <v>3</v>
      </c>
      <c r="F210" s="8">
        <f>IF(sample_20250925!$C210=C210,sample_20250925!F210, NA())</f>
        <v>3</v>
      </c>
      <c r="G210" s="8">
        <f>IF(sample_20250925!$C210=$C210,sample_20250925!G210, NA())</f>
        <v>0</v>
      </c>
      <c r="H210" s="14" t="s">
        <v>686</v>
      </c>
      <c r="I210" s="12"/>
      <c r="J210" s="12"/>
      <c r="K210" s="12"/>
      <c r="L210" s="12"/>
      <c r="M210" s="10">
        <f t="shared" si="1"/>
        <v>1</v>
      </c>
      <c r="N210" s="10">
        <f t="shared" si="2"/>
        <v>0</v>
      </c>
      <c r="O210" s="10">
        <f>IFERROR(__xludf.DUMMYFUNCTION("INT(FILTER(GT(F210,0),ISNUMBER(F210)))"),1.0)</f>
        <v>1</v>
      </c>
      <c r="P210" s="10">
        <f t="shared" si="3"/>
        <v>1</v>
      </c>
      <c r="Q210" s="10">
        <f>IFERROR(__xludf.DUMMYFUNCTION("INT(FILTER(EQ(E210,F210),ISNUMBER(E210),ISNUMBER(F210)))"),1.0)</f>
        <v>1</v>
      </c>
    </row>
    <row r="211">
      <c r="A211" s="1" t="s">
        <v>821</v>
      </c>
      <c r="B211" s="7" t="s">
        <v>822</v>
      </c>
      <c r="C211" s="2" t="s">
        <v>823</v>
      </c>
      <c r="D211" s="7" t="s">
        <v>824</v>
      </c>
      <c r="E211" s="8">
        <f>sample_20250925!E211</f>
        <v>1</v>
      </c>
      <c r="F211" s="8">
        <v>1.0</v>
      </c>
      <c r="G211" s="8">
        <v>0.0</v>
      </c>
      <c r="H211" s="14" t="s">
        <v>686</v>
      </c>
      <c r="I211" s="12"/>
      <c r="J211" s="12"/>
      <c r="K211" s="12"/>
      <c r="L211" s="12"/>
      <c r="M211" s="10">
        <f t="shared" si="1"/>
        <v>1</v>
      </c>
      <c r="N211" s="10">
        <f t="shared" si="2"/>
        <v>0</v>
      </c>
      <c r="O211" s="10">
        <f>IFERROR(__xludf.DUMMYFUNCTION("INT(FILTER(GT(F211,0),ISNUMBER(F211)))"),1.0)</f>
        <v>1</v>
      </c>
      <c r="P211" s="10">
        <f t="shared" si="3"/>
        <v>1</v>
      </c>
      <c r="Q211" s="10">
        <f>IFERROR(__xludf.DUMMYFUNCTION("INT(FILTER(EQ(E211,F211),ISNUMBER(E211),ISNUMBER(F211)))"),1.0)</f>
        <v>1</v>
      </c>
    </row>
    <row r="212">
      <c r="A212" s="1" t="s">
        <v>825</v>
      </c>
      <c r="B212" s="7" t="s">
        <v>826</v>
      </c>
      <c r="C212" s="2" t="s">
        <v>827</v>
      </c>
      <c r="D212" s="7" t="s">
        <v>828</v>
      </c>
      <c r="E212" s="8">
        <f>sample_20250925!E212</f>
        <v>1</v>
      </c>
      <c r="F212" s="8">
        <f>IF(sample_20250925!$C212=C212,sample_20250925!F212, NA())</f>
        <v>1</v>
      </c>
      <c r="G212" s="8">
        <f>IF(sample_20250925!$C212=$C212,sample_20250925!G212, NA())</f>
        <v>0</v>
      </c>
      <c r="H212" s="14" t="s">
        <v>686</v>
      </c>
      <c r="I212" s="12"/>
      <c r="J212" s="12"/>
      <c r="K212" s="12"/>
      <c r="L212" s="12"/>
      <c r="M212" s="10">
        <f t="shared" si="1"/>
        <v>1</v>
      </c>
      <c r="N212" s="10">
        <f t="shared" si="2"/>
        <v>0</v>
      </c>
      <c r="O212" s="10">
        <f>IFERROR(__xludf.DUMMYFUNCTION("INT(FILTER(GT(F212,0),ISNUMBER(F212)))"),1.0)</f>
        <v>1</v>
      </c>
      <c r="P212" s="10">
        <f t="shared" si="3"/>
        <v>1</v>
      </c>
      <c r="Q212" s="10">
        <f>IFERROR(__xludf.DUMMYFUNCTION("INT(FILTER(EQ(E212,F212),ISNUMBER(E212),ISNUMBER(F212)))"),1.0)</f>
        <v>1</v>
      </c>
    </row>
    <row r="213">
      <c r="A213" s="1" t="s">
        <v>829</v>
      </c>
      <c r="B213" s="7" t="s">
        <v>830</v>
      </c>
      <c r="C213" s="2" t="s">
        <v>831</v>
      </c>
      <c r="D213" s="1" t="s">
        <v>832</v>
      </c>
      <c r="E213" s="8">
        <f>sample_20250925!E213</f>
        <v>3</v>
      </c>
      <c r="F213" s="8">
        <f>IF(sample_20250925!$C213=C213,sample_20250925!F213, NA())</f>
        <v>3</v>
      </c>
      <c r="G213" s="8">
        <f>IF(sample_20250925!$C213=$C213,sample_20250925!G213, NA())</f>
        <v>0</v>
      </c>
      <c r="H213" s="14" t="s">
        <v>686</v>
      </c>
      <c r="I213" s="12"/>
      <c r="J213" s="12"/>
      <c r="K213" s="12"/>
      <c r="L213" s="12"/>
      <c r="M213" s="10">
        <f t="shared" si="1"/>
        <v>1</v>
      </c>
      <c r="N213" s="10">
        <f t="shared" si="2"/>
        <v>0</v>
      </c>
      <c r="O213" s="10">
        <f>IFERROR(__xludf.DUMMYFUNCTION("INT(FILTER(GT(F213,0),ISNUMBER(F213)))"),1.0)</f>
        <v>1</v>
      </c>
      <c r="P213" s="10">
        <f t="shared" si="3"/>
        <v>1</v>
      </c>
      <c r="Q213" s="10">
        <f>IFERROR(__xludf.DUMMYFUNCTION("INT(FILTER(EQ(E213,F213),ISNUMBER(E213),ISNUMBER(F213)))"),1.0)</f>
        <v>1</v>
      </c>
    </row>
    <row r="214">
      <c r="A214" s="1" t="s">
        <v>833</v>
      </c>
      <c r="B214" s="7" t="s">
        <v>834</v>
      </c>
      <c r="C214" s="2" t="s">
        <v>835</v>
      </c>
      <c r="D214" s="1" t="s">
        <v>836</v>
      </c>
      <c r="E214" s="8">
        <f>sample_20250925!E214</f>
        <v>3</v>
      </c>
      <c r="F214" s="8">
        <v>3.0</v>
      </c>
      <c r="G214" s="8">
        <v>0.0</v>
      </c>
      <c r="H214" s="14" t="s">
        <v>686</v>
      </c>
      <c r="I214" s="12"/>
      <c r="J214" s="12"/>
      <c r="K214" s="12"/>
      <c r="L214" s="12"/>
      <c r="M214" s="10">
        <f t="shared" si="1"/>
        <v>1</v>
      </c>
      <c r="N214" s="10">
        <f t="shared" si="2"/>
        <v>0</v>
      </c>
      <c r="O214" s="10">
        <f>IFERROR(__xludf.DUMMYFUNCTION("INT(FILTER(GT(F214,0),ISNUMBER(F214)))"),1.0)</f>
        <v>1</v>
      </c>
      <c r="P214" s="10">
        <f t="shared" si="3"/>
        <v>1</v>
      </c>
      <c r="Q214" s="10">
        <f>IFERROR(__xludf.DUMMYFUNCTION("INT(FILTER(EQ(E214,F214),ISNUMBER(E214),ISNUMBER(F214)))"),1.0)</f>
        <v>1</v>
      </c>
    </row>
    <row r="215">
      <c r="A215" s="1" t="s">
        <v>837</v>
      </c>
      <c r="B215" s="7" t="s">
        <v>838</v>
      </c>
      <c r="C215" s="2" t="s">
        <v>839</v>
      </c>
      <c r="D215" s="1" t="s">
        <v>840</v>
      </c>
      <c r="E215" s="8">
        <v>3.0</v>
      </c>
      <c r="F215" s="8">
        <v>2.0</v>
      </c>
      <c r="G215" s="8">
        <v>0.0</v>
      </c>
      <c r="H215" s="14" t="s">
        <v>686</v>
      </c>
      <c r="I215" s="12"/>
      <c r="J215" s="12"/>
      <c r="K215" s="12"/>
      <c r="L215" s="12"/>
      <c r="M215" s="10">
        <f t="shared" si="1"/>
        <v>0.6666666667</v>
      </c>
      <c r="N215" s="10">
        <f t="shared" si="2"/>
        <v>0</v>
      </c>
      <c r="O215" s="10">
        <f>IFERROR(__xludf.DUMMYFUNCTION("INT(FILTER(GT(F215,0),ISNUMBER(F215)))"),1.0)</f>
        <v>1</v>
      </c>
      <c r="P215" s="10">
        <f t="shared" si="3"/>
        <v>1</v>
      </c>
      <c r="Q215" s="10">
        <f>IFERROR(__xludf.DUMMYFUNCTION("INT(FILTER(EQ(E215,F215),ISNUMBER(E215),ISNUMBER(F215)))"),0.0)</f>
        <v>0</v>
      </c>
    </row>
    <row r="216">
      <c r="A216" s="1" t="s">
        <v>841</v>
      </c>
      <c r="B216" s="7" t="s">
        <v>842</v>
      </c>
      <c r="C216" s="2" t="s">
        <v>843</v>
      </c>
      <c r="D216" s="7" t="s">
        <v>844</v>
      </c>
      <c r="E216" s="8">
        <v>2.0</v>
      </c>
      <c r="F216" s="8">
        <v>1.0</v>
      </c>
      <c r="G216" s="8">
        <v>0.0</v>
      </c>
      <c r="H216" s="14" t="s">
        <v>686</v>
      </c>
      <c r="I216" s="12"/>
      <c r="J216" s="12"/>
      <c r="K216" s="12"/>
      <c r="L216" s="12"/>
      <c r="M216" s="10">
        <f t="shared" si="1"/>
        <v>0.5</v>
      </c>
      <c r="N216" s="10">
        <f t="shared" si="2"/>
        <v>0</v>
      </c>
      <c r="O216" s="10">
        <f>IFERROR(__xludf.DUMMYFUNCTION("INT(FILTER(GT(F216,0),ISNUMBER(F216)))"),1.0)</f>
        <v>1</v>
      </c>
      <c r="P216" s="10">
        <f t="shared" si="3"/>
        <v>1</v>
      </c>
      <c r="Q216" s="10">
        <f>IFERROR(__xludf.DUMMYFUNCTION("INT(FILTER(EQ(E216,F216),ISNUMBER(E216),ISNUMBER(F216)))"),0.0)</f>
        <v>0</v>
      </c>
    </row>
    <row r="217">
      <c r="A217" s="1" t="s">
        <v>845</v>
      </c>
      <c r="B217" s="7" t="s">
        <v>846</v>
      </c>
      <c r="C217" s="2" t="s">
        <v>847</v>
      </c>
      <c r="D217" s="1" t="s">
        <v>848</v>
      </c>
      <c r="E217" s="8">
        <f>sample_20250925!E217</f>
        <v>4</v>
      </c>
      <c r="F217" s="8">
        <f>IF(sample_20250925!$C217=C217,sample_20250925!F217, NA())</f>
        <v>4</v>
      </c>
      <c r="G217" s="8">
        <f>IF(sample_20250925!$C217=$C217,sample_20250925!G217, NA())</f>
        <v>0</v>
      </c>
      <c r="H217" s="14" t="s">
        <v>686</v>
      </c>
      <c r="I217" s="12"/>
      <c r="J217" s="12"/>
      <c r="K217" s="12"/>
      <c r="L217" s="12"/>
      <c r="M217" s="10">
        <f t="shared" si="1"/>
        <v>1</v>
      </c>
      <c r="N217" s="10">
        <f t="shared" si="2"/>
        <v>0</v>
      </c>
      <c r="O217" s="10">
        <f>IFERROR(__xludf.DUMMYFUNCTION("INT(FILTER(GT(F217,0),ISNUMBER(F217)))"),1.0)</f>
        <v>1</v>
      </c>
      <c r="P217" s="10">
        <f t="shared" si="3"/>
        <v>1</v>
      </c>
      <c r="Q217" s="10">
        <f>IFERROR(__xludf.DUMMYFUNCTION("INT(FILTER(EQ(E217,F217),ISNUMBER(E217),ISNUMBER(F217)))"),1.0)</f>
        <v>1</v>
      </c>
    </row>
    <row r="218">
      <c r="A218" s="1" t="s">
        <v>849</v>
      </c>
      <c r="B218" s="7" t="s">
        <v>850</v>
      </c>
      <c r="C218" s="2" t="s">
        <v>851</v>
      </c>
      <c r="D218" s="1" t="s">
        <v>852</v>
      </c>
      <c r="E218" s="8">
        <f>sample_20250925!E218</f>
        <v>5</v>
      </c>
      <c r="F218" s="8">
        <f>IF(sample_20250925!$C218=C218,sample_20250925!F218, NA())</f>
        <v>5</v>
      </c>
      <c r="G218" s="8">
        <f>IF(sample_20250925!$C218=$C218,sample_20250925!G218, NA())</f>
        <v>0</v>
      </c>
      <c r="H218" s="14" t="s">
        <v>686</v>
      </c>
      <c r="I218" s="12"/>
      <c r="J218" s="12"/>
      <c r="K218" s="12"/>
      <c r="L218" s="12"/>
      <c r="M218" s="10">
        <f t="shared" si="1"/>
        <v>1</v>
      </c>
      <c r="N218" s="10">
        <f t="shared" si="2"/>
        <v>0</v>
      </c>
      <c r="O218" s="10">
        <f>IFERROR(__xludf.DUMMYFUNCTION("INT(FILTER(GT(F218,0),ISNUMBER(F218)))"),1.0)</f>
        <v>1</v>
      </c>
      <c r="P218" s="10">
        <f t="shared" si="3"/>
        <v>1</v>
      </c>
      <c r="Q218" s="10">
        <f>IFERROR(__xludf.DUMMYFUNCTION("INT(FILTER(EQ(E218,F218),ISNUMBER(E218),ISNUMBER(F218)))"),1.0)</f>
        <v>1</v>
      </c>
    </row>
    <row r="219">
      <c r="A219" s="1" t="s">
        <v>853</v>
      </c>
      <c r="B219" s="7" t="s">
        <v>854</v>
      </c>
      <c r="C219" s="2" t="s">
        <v>855</v>
      </c>
      <c r="D219" s="7" t="s">
        <v>856</v>
      </c>
      <c r="E219" s="8">
        <f>sample_20250925!E219</f>
        <v>1</v>
      </c>
      <c r="F219" s="8">
        <v>1.0</v>
      </c>
      <c r="G219" s="8">
        <v>0.0</v>
      </c>
      <c r="H219" s="14" t="s">
        <v>686</v>
      </c>
      <c r="I219" s="12"/>
      <c r="J219" s="12"/>
      <c r="K219" s="12"/>
      <c r="L219" s="12"/>
      <c r="M219" s="10">
        <f t="shared" si="1"/>
        <v>1</v>
      </c>
      <c r="N219" s="10">
        <f t="shared" si="2"/>
        <v>0</v>
      </c>
      <c r="O219" s="10">
        <f>IFERROR(__xludf.DUMMYFUNCTION("INT(FILTER(GT(F219,0),ISNUMBER(F219)))"),1.0)</f>
        <v>1</v>
      </c>
      <c r="P219" s="10">
        <f t="shared" si="3"/>
        <v>1</v>
      </c>
      <c r="Q219" s="10">
        <f>IFERROR(__xludf.DUMMYFUNCTION("INT(FILTER(EQ(E219,F219),ISNUMBER(E219),ISNUMBER(F219)))"),1.0)</f>
        <v>1</v>
      </c>
    </row>
    <row r="220">
      <c r="A220" s="1" t="s">
        <v>857</v>
      </c>
      <c r="B220" s="7" t="s">
        <v>858</v>
      </c>
      <c r="C220" s="2" t="s">
        <v>859</v>
      </c>
      <c r="D220" s="1" t="s">
        <v>860</v>
      </c>
      <c r="E220" s="8">
        <v>2.0</v>
      </c>
      <c r="F220" s="8">
        <v>1.0</v>
      </c>
      <c r="G220" s="8">
        <v>1.0</v>
      </c>
      <c r="H220" s="14" t="s">
        <v>686</v>
      </c>
      <c r="I220" s="12"/>
      <c r="J220" s="12"/>
      <c r="K220" s="12"/>
      <c r="L220" s="12"/>
      <c r="M220" s="10">
        <f t="shared" si="1"/>
        <v>0.5</v>
      </c>
      <c r="N220" s="10">
        <f t="shared" si="2"/>
        <v>0.5</v>
      </c>
      <c r="O220" s="10">
        <f>IFERROR(__xludf.DUMMYFUNCTION("INT(FILTER(GT(F220,0),ISNUMBER(F220)))"),1.0)</f>
        <v>1</v>
      </c>
      <c r="P220" s="10">
        <f t="shared" si="3"/>
        <v>0.5</v>
      </c>
      <c r="Q220" s="12"/>
    </row>
    <row r="221">
      <c r="A221" s="1" t="s">
        <v>861</v>
      </c>
      <c r="B221" s="7" t="s">
        <v>862</v>
      </c>
      <c r="C221" s="2" t="s">
        <v>863</v>
      </c>
      <c r="D221" s="1" t="s">
        <v>864</v>
      </c>
      <c r="E221" s="8">
        <f>sample_20250925!E221</f>
        <v>3</v>
      </c>
      <c r="F221" s="8">
        <v>2.0</v>
      </c>
      <c r="G221" s="8">
        <v>0.0</v>
      </c>
      <c r="H221" s="14" t="s">
        <v>686</v>
      </c>
      <c r="I221" s="12"/>
      <c r="J221" s="12"/>
      <c r="K221" s="12"/>
      <c r="L221" s="12"/>
      <c r="M221" s="10">
        <f t="shared" si="1"/>
        <v>0.6666666667</v>
      </c>
      <c r="N221" s="10">
        <f t="shared" si="2"/>
        <v>0</v>
      </c>
      <c r="O221" s="10">
        <f>IFERROR(__xludf.DUMMYFUNCTION("INT(FILTER(GT(F221,0),ISNUMBER(F221)))"),1.0)</f>
        <v>1</v>
      </c>
      <c r="P221" s="10">
        <f t="shared" si="3"/>
        <v>1</v>
      </c>
      <c r="Q221" s="10">
        <f>IFERROR(__xludf.DUMMYFUNCTION("INT(FILTER(EQ(E221,F221),ISNUMBER(E221),ISNUMBER(F221)))"),0.0)</f>
        <v>0</v>
      </c>
    </row>
    <row r="222">
      <c r="A222" s="1" t="s">
        <v>865</v>
      </c>
      <c r="B222" s="7" t="s">
        <v>866</v>
      </c>
      <c r="C222" s="2" t="s">
        <v>867</v>
      </c>
      <c r="D222" s="1" t="s">
        <v>868</v>
      </c>
      <c r="E222" s="8">
        <f>sample_20250925!E222</f>
        <v>3</v>
      </c>
      <c r="F222" s="8">
        <v>3.0</v>
      </c>
      <c r="G222" s="8">
        <v>0.0</v>
      </c>
      <c r="H222" s="14" t="s">
        <v>686</v>
      </c>
      <c r="I222" s="12"/>
      <c r="J222" s="12"/>
      <c r="K222" s="12"/>
      <c r="L222" s="12"/>
      <c r="M222" s="10">
        <f t="shared" si="1"/>
        <v>1</v>
      </c>
      <c r="N222" s="10">
        <f t="shared" si="2"/>
        <v>0</v>
      </c>
      <c r="O222" s="10">
        <f>IFERROR(__xludf.DUMMYFUNCTION("INT(FILTER(GT(F222,0),ISNUMBER(F222)))"),1.0)</f>
        <v>1</v>
      </c>
      <c r="P222" s="10">
        <f t="shared" si="3"/>
        <v>1</v>
      </c>
      <c r="Q222" s="10">
        <f>IFERROR(__xludf.DUMMYFUNCTION("INT(FILTER(EQ(E222,F222),ISNUMBER(E222),ISNUMBER(F222)))"),1.0)</f>
        <v>1</v>
      </c>
    </row>
    <row r="223">
      <c r="A223" s="1" t="s">
        <v>869</v>
      </c>
      <c r="B223" s="7" t="s">
        <v>870</v>
      </c>
      <c r="C223" s="2" t="s">
        <v>871</v>
      </c>
      <c r="D223" s="1" t="s">
        <v>872</v>
      </c>
      <c r="E223" s="8">
        <f>sample_20250925!E223</f>
        <v>4</v>
      </c>
      <c r="F223" s="8">
        <v>3.0</v>
      </c>
      <c r="G223" s="8">
        <v>0.0</v>
      </c>
      <c r="H223" s="14" t="s">
        <v>686</v>
      </c>
      <c r="I223" s="12"/>
      <c r="J223" s="12"/>
      <c r="K223" s="12"/>
      <c r="L223" s="12"/>
      <c r="M223" s="10">
        <f t="shared" si="1"/>
        <v>0.75</v>
      </c>
      <c r="N223" s="10">
        <f t="shared" si="2"/>
        <v>0</v>
      </c>
      <c r="O223" s="10">
        <f>IFERROR(__xludf.DUMMYFUNCTION("INT(FILTER(GT(F223,0),ISNUMBER(F223)))"),1.0)</f>
        <v>1</v>
      </c>
      <c r="P223" s="10">
        <f t="shared" si="3"/>
        <v>1</v>
      </c>
      <c r="Q223" s="10">
        <f>IFERROR(__xludf.DUMMYFUNCTION("INT(FILTER(EQ(E223,F223),ISNUMBER(E223),ISNUMBER(F223)))"),0.0)</f>
        <v>0</v>
      </c>
    </row>
    <row r="224">
      <c r="A224" s="1" t="s">
        <v>873</v>
      </c>
      <c r="B224" s="7" t="s">
        <v>874</v>
      </c>
      <c r="C224" s="2" t="s">
        <v>875</v>
      </c>
      <c r="D224" s="1" t="s">
        <v>876</v>
      </c>
      <c r="E224" s="8">
        <v>2.0</v>
      </c>
      <c r="F224" s="8">
        <v>2.0</v>
      </c>
      <c r="G224" s="8">
        <v>0.0</v>
      </c>
      <c r="H224" s="14" t="s">
        <v>686</v>
      </c>
      <c r="I224" s="12"/>
      <c r="J224" s="12"/>
      <c r="K224" s="12"/>
      <c r="L224" s="12"/>
      <c r="M224" s="10">
        <f t="shared" si="1"/>
        <v>1</v>
      </c>
      <c r="N224" s="10">
        <f t="shared" si="2"/>
        <v>0</v>
      </c>
      <c r="O224" s="10">
        <f>IFERROR(__xludf.DUMMYFUNCTION("INT(FILTER(GT(F224,0),ISNUMBER(F224)))"),1.0)</f>
        <v>1</v>
      </c>
      <c r="P224" s="10">
        <f t="shared" si="3"/>
        <v>1</v>
      </c>
      <c r="Q224" s="10">
        <f>IFERROR(__xludf.DUMMYFUNCTION("INT(FILTER(EQ(E224,F224),ISNUMBER(E224),ISNUMBER(F224)))"),1.0)</f>
        <v>1</v>
      </c>
    </row>
    <row r="225">
      <c r="A225" s="1" t="s">
        <v>877</v>
      </c>
      <c r="B225" s="7" t="s">
        <v>878</v>
      </c>
      <c r="C225" s="2" t="s">
        <v>879</v>
      </c>
      <c r="D225" s="1" t="s">
        <v>880</v>
      </c>
      <c r="E225" s="8">
        <v>6.0</v>
      </c>
      <c r="F225" s="8">
        <v>3.0</v>
      </c>
      <c r="G225" s="8">
        <v>0.0</v>
      </c>
      <c r="H225" s="14" t="s">
        <v>686</v>
      </c>
      <c r="I225" s="12"/>
      <c r="J225" s="12"/>
      <c r="K225" s="12"/>
      <c r="L225" s="12"/>
      <c r="M225" s="10">
        <f t="shared" si="1"/>
        <v>0.5</v>
      </c>
      <c r="N225" s="10">
        <f t="shared" si="2"/>
        <v>0</v>
      </c>
      <c r="O225" s="10">
        <f>IFERROR(__xludf.DUMMYFUNCTION("INT(FILTER(GT(F225,0),ISNUMBER(F225)))"),1.0)</f>
        <v>1</v>
      </c>
      <c r="P225" s="10">
        <f t="shared" si="3"/>
        <v>1</v>
      </c>
      <c r="Q225" s="10">
        <f>IFERROR(__xludf.DUMMYFUNCTION("INT(FILTER(EQ(E225,F225),ISNUMBER(E225),ISNUMBER(F225)))"),0.0)</f>
        <v>0</v>
      </c>
    </row>
    <row r="226">
      <c r="A226" s="1" t="s">
        <v>881</v>
      </c>
      <c r="B226" s="7" t="s">
        <v>882</v>
      </c>
      <c r="C226" s="2" t="s">
        <v>883</v>
      </c>
      <c r="D226" s="7" t="s">
        <v>884</v>
      </c>
      <c r="E226" s="8">
        <f>sample_20250925!E226</f>
        <v>1</v>
      </c>
      <c r="F226" s="8">
        <v>1.0</v>
      </c>
      <c r="G226" s="8">
        <v>0.0</v>
      </c>
      <c r="H226" s="14" t="s">
        <v>686</v>
      </c>
      <c r="I226" s="12"/>
      <c r="J226" s="12"/>
      <c r="K226" s="12"/>
      <c r="L226" s="12"/>
      <c r="M226" s="10">
        <f t="shared" si="1"/>
        <v>1</v>
      </c>
      <c r="N226" s="10">
        <f t="shared" si="2"/>
        <v>0</v>
      </c>
      <c r="O226" s="10">
        <f>IFERROR(__xludf.DUMMYFUNCTION("INT(FILTER(GT(F226,0),ISNUMBER(F226)))"),1.0)</f>
        <v>1</v>
      </c>
      <c r="P226" s="10">
        <f t="shared" si="3"/>
        <v>1</v>
      </c>
      <c r="Q226" s="10">
        <f>IFERROR(__xludf.DUMMYFUNCTION("INT(FILTER(EQ(E226,F226),ISNUMBER(E226),ISNUMBER(F226)))"),1.0)</f>
        <v>1</v>
      </c>
    </row>
    <row r="227">
      <c r="A227" s="1" t="s">
        <v>885</v>
      </c>
      <c r="B227" s="7" t="s">
        <v>886</v>
      </c>
      <c r="C227" s="2" t="s">
        <v>887</v>
      </c>
      <c r="D227" s="7" t="s">
        <v>888</v>
      </c>
      <c r="E227" s="8">
        <f>sample_20250925!E227</f>
        <v>1</v>
      </c>
      <c r="F227" s="8">
        <f>IF(sample_20250925!$C227=C227,sample_20250925!F227, NA())</f>
        <v>1</v>
      </c>
      <c r="G227" s="8">
        <f>IF(sample_20250925!$C227=$C227,sample_20250925!G227, NA())</f>
        <v>0</v>
      </c>
      <c r="H227" s="14" t="s">
        <v>686</v>
      </c>
      <c r="I227" s="12"/>
      <c r="J227" s="12"/>
      <c r="K227" s="12"/>
      <c r="L227" s="12"/>
      <c r="M227" s="10">
        <f t="shared" si="1"/>
        <v>1</v>
      </c>
      <c r="N227" s="10">
        <f t="shared" si="2"/>
        <v>0</v>
      </c>
      <c r="O227" s="10">
        <f>IFERROR(__xludf.DUMMYFUNCTION("INT(FILTER(GT(F227,0),ISNUMBER(F227)))"),1.0)</f>
        <v>1</v>
      </c>
      <c r="P227" s="10">
        <f t="shared" si="3"/>
        <v>1</v>
      </c>
      <c r="Q227" s="10">
        <f>IFERROR(__xludf.DUMMYFUNCTION("INT(FILTER(EQ(E227,F227),ISNUMBER(E227),ISNUMBER(F227)))"),1.0)</f>
        <v>1</v>
      </c>
    </row>
    <row r="228">
      <c r="A228" s="1" t="s">
        <v>889</v>
      </c>
      <c r="B228" s="7" t="s">
        <v>890</v>
      </c>
      <c r="C228" s="2" t="s">
        <v>891</v>
      </c>
      <c r="D228" s="1" t="s">
        <v>892</v>
      </c>
      <c r="E228" s="8">
        <f>sample_20250925!E228</f>
        <v>3</v>
      </c>
      <c r="F228" s="8">
        <v>3.0</v>
      </c>
      <c r="G228" s="8">
        <v>0.0</v>
      </c>
      <c r="H228" s="14" t="s">
        <v>686</v>
      </c>
      <c r="I228" s="12"/>
      <c r="J228" s="12"/>
      <c r="K228" s="12"/>
      <c r="L228" s="12"/>
      <c r="M228" s="10">
        <f t="shared" si="1"/>
        <v>1</v>
      </c>
      <c r="N228" s="10">
        <f t="shared" si="2"/>
        <v>0</v>
      </c>
      <c r="O228" s="10">
        <f>IFERROR(__xludf.DUMMYFUNCTION("INT(FILTER(GT(F228,0),ISNUMBER(F228)))"),1.0)</f>
        <v>1</v>
      </c>
      <c r="P228" s="10">
        <f t="shared" si="3"/>
        <v>1</v>
      </c>
      <c r="Q228" s="10">
        <f>IFERROR(__xludf.DUMMYFUNCTION("INT(FILTER(EQ(E228,F228),ISNUMBER(E228),ISNUMBER(F228)))"),1.0)</f>
        <v>1</v>
      </c>
    </row>
    <row r="229">
      <c r="A229" s="1" t="s">
        <v>893</v>
      </c>
      <c r="B229" s="7" t="s">
        <v>894</v>
      </c>
      <c r="C229" s="2" t="s">
        <v>895</v>
      </c>
      <c r="D229" s="7" t="s">
        <v>896</v>
      </c>
      <c r="E229" s="8">
        <f>sample_20250925!E229</f>
        <v>2</v>
      </c>
      <c r="F229" s="8">
        <f>IF(sample_20250925!$C229=C229,sample_20250925!F229, NA())</f>
        <v>1</v>
      </c>
      <c r="G229" s="8">
        <f>IF(sample_20250925!$C229=$C229,sample_20250925!G229, NA())</f>
        <v>0</v>
      </c>
      <c r="H229" s="14" t="s">
        <v>686</v>
      </c>
      <c r="I229" s="12"/>
      <c r="J229" s="12"/>
      <c r="K229" s="12"/>
      <c r="L229" s="12"/>
      <c r="M229" s="10">
        <f t="shared" si="1"/>
        <v>0.5</v>
      </c>
      <c r="N229" s="10">
        <f t="shared" si="2"/>
        <v>0</v>
      </c>
      <c r="O229" s="10">
        <f>IFERROR(__xludf.DUMMYFUNCTION("INT(FILTER(GT(F229,0),ISNUMBER(F229)))"),1.0)</f>
        <v>1</v>
      </c>
      <c r="P229" s="10">
        <f t="shared" si="3"/>
        <v>1</v>
      </c>
      <c r="Q229" s="10">
        <f>IFERROR(__xludf.DUMMYFUNCTION("INT(FILTER(EQ(E229,F229),ISNUMBER(E229),ISNUMBER(F229)))"),0.0)</f>
        <v>0</v>
      </c>
    </row>
    <row r="230">
      <c r="A230" s="1" t="s">
        <v>897</v>
      </c>
      <c r="B230" s="7" t="s">
        <v>898</v>
      </c>
      <c r="C230" s="2" t="s">
        <v>899</v>
      </c>
      <c r="D230" s="7" t="s">
        <v>900</v>
      </c>
      <c r="E230" s="8">
        <f>sample_20250925!E230</f>
        <v>1</v>
      </c>
      <c r="F230" s="8">
        <f>IF(sample_20250925!$C230=C230,sample_20250925!F230, NA())</f>
        <v>1</v>
      </c>
      <c r="G230" s="8">
        <f>IF(sample_20250925!$C230=$C230,sample_20250925!G230, NA())</f>
        <v>0</v>
      </c>
      <c r="H230" s="14" t="s">
        <v>686</v>
      </c>
      <c r="I230" s="12"/>
      <c r="J230" s="12"/>
      <c r="K230" s="12"/>
      <c r="L230" s="12"/>
      <c r="M230" s="10">
        <f t="shared" si="1"/>
        <v>1</v>
      </c>
      <c r="N230" s="10">
        <f t="shared" si="2"/>
        <v>0</v>
      </c>
      <c r="O230" s="10">
        <f>IFERROR(__xludf.DUMMYFUNCTION("INT(FILTER(GT(F230,0),ISNUMBER(F230)))"),1.0)</f>
        <v>1</v>
      </c>
      <c r="P230" s="10">
        <f t="shared" si="3"/>
        <v>1</v>
      </c>
      <c r="Q230" s="10">
        <f>IFERROR(__xludf.DUMMYFUNCTION("INT(FILTER(EQ(E230,F230),ISNUMBER(E230),ISNUMBER(F230)))"),1.0)</f>
        <v>1</v>
      </c>
    </row>
    <row r="231">
      <c r="A231" s="1" t="s">
        <v>901</v>
      </c>
      <c r="B231" s="7" t="s">
        <v>902</v>
      </c>
      <c r="C231" s="2" t="s">
        <v>903</v>
      </c>
      <c r="D231" s="7" t="s">
        <v>904</v>
      </c>
      <c r="E231" s="8">
        <f>sample_20250925!E231</f>
        <v>1</v>
      </c>
      <c r="F231" s="8">
        <v>1.0</v>
      </c>
      <c r="G231" s="8">
        <v>0.0</v>
      </c>
      <c r="H231" s="14" t="s">
        <v>686</v>
      </c>
      <c r="I231" s="12"/>
      <c r="J231" s="12"/>
      <c r="K231" s="12"/>
      <c r="L231" s="12"/>
      <c r="M231" s="10">
        <f t="shared" si="1"/>
        <v>1</v>
      </c>
      <c r="N231" s="10">
        <f t="shared" si="2"/>
        <v>0</v>
      </c>
      <c r="O231" s="10">
        <f>IFERROR(__xludf.DUMMYFUNCTION("INT(FILTER(GT(F231,0),ISNUMBER(F231)))"),1.0)</f>
        <v>1</v>
      </c>
      <c r="P231" s="10">
        <f t="shared" si="3"/>
        <v>1</v>
      </c>
      <c r="Q231" s="12"/>
    </row>
    <row r="232">
      <c r="A232" s="1" t="s">
        <v>905</v>
      </c>
      <c r="B232" s="7" t="s">
        <v>906</v>
      </c>
      <c r="C232" s="2" t="s">
        <v>907</v>
      </c>
      <c r="D232" s="1" t="s">
        <v>908</v>
      </c>
      <c r="E232" s="8">
        <f>sample_20250925!E232</f>
        <v>2</v>
      </c>
      <c r="F232" s="8">
        <f>IF(sample_20250925!$C232=C232,sample_20250925!F232, NA())</f>
        <v>2</v>
      </c>
      <c r="G232" s="8">
        <f>IF(sample_20250925!$C232=$C232,sample_20250925!G232, NA())</f>
        <v>0</v>
      </c>
      <c r="H232" s="14" t="s">
        <v>686</v>
      </c>
      <c r="I232" s="12"/>
      <c r="J232" s="12"/>
      <c r="K232" s="12"/>
      <c r="L232" s="12"/>
      <c r="M232" s="10">
        <f t="shared" si="1"/>
        <v>1</v>
      </c>
      <c r="N232" s="10">
        <f t="shared" si="2"/>
        <v>0</v>
      </c>
      <c r="O232" s="10">
        <f>IFERROR(__xludf.DUMMYFUNCTION("INT(FILTER(GT(F232,0),ISNUMBER(F232)))"),1.0)</f>
        <v>1</v>
      </c>
      <c r="P232" s="10">
        <f t="shared" si="3"/>
        <v>1</v>
      </c>
      <c r="Q232" s="10">
        <f>IFERROR(__xludf.DUMMYFUNCTION("INT(FILTER(EQ(E232,F232),ISNUMBER(E232),ISNUMBER(F232)))"),1.0)</f>
        <v>1</v>
      </c>
    </row>
    <row r="233">
      <c r="A233" s="1" t="s">
        <v>909</v>
      </c>
      <c r="B233" s="7" t="s">
        <v>910</v>
      </c>
      <c r="C233" s="2" t="s">
        <v>911</v>
      </c>
      <c r="D233" s="1" t="s">
        <v>912</v>
      </c>
      <c r="E233" s="8">
        <f>sample_20250925!E233</f>
        <v>2</v>
      </c>
      <c r="F233" s="8">
        <f>IF(sample_20250925!$C233=C233,sample_20250925!F233, NA())</f>
        <v>2</v>
      </c>
      <c r="G233" s="8">
        <f>IF(sample_20250925!$C233=$C233,sample_20250925!G233, NA())</f>
        <v>0</v>
      </c>
      <c r="H233" s="14" t="s">
        <v>686</v>
      </c>
      <c r="I233" s="12"/>
      <c r="J233" s="12"/>
      <c r="K233" s="12"/>
      <c r="L233" s="12"/>
      <c r="M233" s="10">
        <f t="shared" si="1"/>
        <v>1</v>
      </c>
      <c r="N233" s="10">
        <f t="shared" si="2"/>
        <v>0</v>
      </c>
      <c r="O233" s="10">
        <f>IFERROR(__xludf.DUMMYFUNCTION("INT(FILTER(GT(F233,0),ISNUMBER(F233)))"),1.0)</f>
        <v>1</v>
      </c>
      <c r="P233" s="10">
        <f t="shared" si="3"/>
        <v>1</v>
      </c>
      <c r="Q233" s="10">
        <f>IFERROR(__xludf.DUMMYFUNCTION("INT(FILTER(EQ(E233,F233),ISNUMBER(E233),ISNUMBER(F233)))"),1.0)</f>
        <v>1</v>
      </c>
    </row>
    <row r="234">
      <c r="A234" s="1" t="s">
        <v>913</v>
      </c>
      <c r="B234" s="7" t="s">
        <v>914</v>
      </c>
      <c r="C234" s="2" t="s">
        <v>915</v>
      </c>
      <c r="D234" s="7" t="s">
        <v>509</v>
      </c>
      <c r="E234" s="8">
        <f>sample_20250925!E234</f>
        <v>2</v>
      </c>
      <c r="F234" s="8">
        <v>1.0</v>
      </c>
      <c r="G234" s="8">
        <v>0.0</v>
      </c>
      <c r="H234" s="14" t="s">
        <v>686</v>
      </c>
      <c r="I234" s="12"/>
      <c r="J234" s="12"/>
      <c r="K234" s="12"/>
      <c r="L234" s="12"/>
      <c r="M234" s="10">
        <f t="shared" si="1"/>
        <v>0.5</v>
      </c>
      <c r="N234" s="10">
        <f t="shared" si="2"/>
        <v>0</v>
      </c>
      <c r="O234" s="10">
        <f>IFERROR(__xludf.DUMMYFUNCTION("INT(FILTER(GT(F234,0),ISNUMBER(F234)))"),1.0)</f>
        <v>1</v>
      </c>
      <c r="P234" s="10">
        <f t="shared" si="3"/>
        <v>1</v>
      </c>
      <c r="Q234" s="10">
        <f>IFERROR(__xludf.DUMMYFUNCTION("INT(FILTER(EQ(E234,F234),ISNUMBER(E234),ISNUMBER(F234)))"),0.0)</f>
        <v>0</v>
      </c>
    </row>
    <row r="235">
      <c r="A235" s="1" t="s">
        <v>916</v>
      </c>
      <c r="B235" s="7" t="s">
        <v>917</v>
      </c>
      <c r="C235" s="2" t="s">
        <v>918</v>
      </c>
      <c r="D235" s="1" t="s">
        <v>919</v>
      </c>
      <c r="E235" s="8">
        <f>sample_20250925!E235</f>
        <v>2</v>
      </c>
      <c r="F235" s="8">
        <f>IF(sample_20250925!$C235=C235,sample_20250925!F235, NA())</f>
        <v>2</v>
      </c>
      <c r="G235" s="8">
        <f>IF(sample_20250925!$C235=$C235,sample_20250925!G235, NA())</f>
        <v>0</v>
      </c>
      <c r="H235" s="14" t="s">
        <v>686</v>
      </c>
      <c r="I235" s="12"/>
      <c r="J235" s="12"/>
      <c r="K235" s="12"/>
      <c r="L235" s="12"/>
      <c r="M235" s="10">
        <f t="shared" si="1"/>
        <v>1</v>
      </c>
      <c r="N235" s="10">
        <f t="shared" si="2"/>
        <v>0</v>
      </c>
      <c r="O235" s="10">
        <f>IFERROR(__xludf.DUMMYFUNCTION("INT(FILTER(GT(F235,0),ISNUMBER(F235)))"),1.0)</f>
        <v>1</v>
      </c>
      <c r="P235" s="10">
        <f t="shared" si="3"/>
        <v>1</v>
      </c>
      <c r="Q235" s="10">
        <f>IFERROR(__xludf.DUMMYFUNCTION("INT(FILTER(EQ(E235,F235),ISNUMBER(E235),ISNUMBER(F235)))"),1.0)</f>
        <v>1</v>
      </c>
    </row>
    <row r="236">
      <c r="A236" s="1" t="s">
        <v>920</v>
      </c>
      <c r="B236" s="7" t="s">
        <v>921</v>
      </c>
      <c r="C236" s="2" t="s">
        <v>922</v>
      </c>
      <c r="D236" s="1" t="s">
        <v>923</v>
      </c>
      <c r="E236" s="8">
        <f>sample_20250925!E236</f>
        <v>3</v>
      </c>
      <c r="F236" s="8">
        <f>IF(sample_20250925!$C236=C236,sample_20250925!F236, NA())</f>
        <v>2</v>
      </c>
      <c r="G236" s="8">
        <f>IF(sample_20250925!$C236=$C236,sample_20250925!G236, NA())</f>
        <v>1</v>
      </c>
      <c r="H236" s="14" t="s">
        <v>686</v>
      </c>
      <c r="I236" s="12"/>
      <c r="J236" s="12"/>
      <c r="K236" s="12"/>
      <c r="L236" s="12"/>
      <c r="M236" s="10">
        <f t="shared" si="1"/>
        <v>0.6666666667</v>
      </c>
      <c r="N236" s="10">
        <f t="shared" si="2"/>
        <v>0.3333333333</v>
      </c>
      <c r="O236" s="10">
        <f>IFERROR(__xludf.DUMMYFUNCTION("INT(FILTER(GT(F236,0),ISNUMBER(F236)))"),1.0)</f>
        <v>1</v>
      </c>
      <c r="P236" s="10">
        <f t="shared" si="3"/>
        <v>0.6666666667</v>
      </c>
      <c r="Q236" s="10">
        <f>IFERROR(__xludf.DUMMYFUNCTION("INT(FILTER(EQ(E236,F236),ISNUMBER(E236),ISNUMBER(F236)))"),0.0)</f>
        <v>0</v>
      </c>
    </row>
    <row r="237">
      <c r="A237" s="1" t="s">
        <v>924</v>
      </c>
      <c r="B237" s="7" t="s">
        <v>925</v>
      </c>
      <c r="C237" s="2" t="s">
        <v>268</v>
      </c>
      <c r="D237" s="7" t="s">
        <v>137</v>
      </c>
      <c r="E237" s="8">
        <f>sample_20250925!E237</f>
        <v>3</v>
      </c>
      <c r="F237" s="8">
        <f>IF(sample_20250925!$C237=C237,sample_20250925!F237, NA())</f>
        <v>1</v>
      </c>
      <c r="G237" s="8">
        <f>IF(sample_20250925!$C237=$C237,sample_20250925!G237, NA())</f>
        <v>0</v>
      </c>
      <c r="H237" s="14" t="s">
        <v>686</v>
      </c>
      <c r="I237" s="12"/>
      <c r="J237" s="12"/>
      <c r="K237" s="12"/>
      <c r="L237" s="12"/>
      <c r="M237" s="10">
        <f t="shared" si="1"/>
        <v>0.3333333333</v>
      </c>
      <c r="N237" s="10">
        <f t="shared" si="2"/>
        <v>0</v>
      </c>
      <c r="O237" s="10">
        <f>IFERROR(__xludf.DUMMYFUNCTION("INT(FILTER(GT(F237,0),ISNUMBER(F237)))"),1.0)</f>
        <v>1</v>
      </c>
      <c r="P237" s="10">
        <f t="shared" si="3"/>
        <v>1</v>
      </c>
      <c r="Q237" s="10">
        <f>IFERROR(__xludf.DUMMYFUNCTION("INT(FILTER(EQ(E237,F237),ISNUMBER(E237),ISNUMBER(F237)))"),0.0)</f>
        <v>0</v>
      </c>
    </row>
    <row r="238">
      <c r="A238" s="1" t="s">
        <v>926</v>
      </c>
      <c r="B238" s="7" t="s">
        <v>927</v>
      </c>
      <c r="C238" s="2" t="s">
        <v>928</v>
      </c>
      <c r="D238" s="1" t="s">
        <v>929</v>
      </c>
      <c r="E238" s="8">
        <f>sample_20250925!E238</f>
        <v>2</v>
      </c>
      <c r="F238" s="8">
        <f>IF(sample_20250925!$C238=C238,sample_20250925!F238, NA())</f>
        <v>2</v>
      </c>
      <c r="G238" s="8">
        <f>IF(sample_20250925!$C238=$C238,sample_20250925!G238, NA())</f>
        <v>0</v>
      </c>
      <c r="H238" s="14" t="s">
        <v>686</v>
      </c>
      <c r="I238" s="12"/>
      <c r="J238" s="12"/>
      <c r="K238" s="12"/>
      <c r="L238" s="12"/>
      <c r="M238" s="10">
        <f t="shared" si="1"/>
        <v>1</v>
      </c>
      <c r="N238" s="10">
        <f t="shared" si="2"/>
        <v>0</v>
      </c>
      <c r="O238" s="10">
        <f>IFERROR(__xludf.DUMMYFUNCTION("INT(FILTER(GT(F238,0),ISNUMBER(F238)))"),1.0)</f>
        <v>1</v>
      </c>
      <c r="P238" s="10">
        <f t="shared" si="3"/>
        <v>1</v>
      </c>
      <c r="Q238" s="10">
        <f>IFERROR(__xludf.DUMMYFUNCTION("INT(FILTER(EQ(E238,F238),ISNUMBER(E238),ISNUMBER(F238)))"),1.0)</f>
        <v>1</v>
      </c>
    </row>
    <row r="239">
      <c r="A239" s="1" t="s">
        <v>930</v>
      </c>
      <c r="B239" s="7" t="s">
        <v>931</v>
      </c>
      <c r="C239" s="2" t="s">
        <v>932</v>
      </c>
      <c r="D239" s="1" t="s">
        <v>933</v>
      </c>
      <c r="E239" s="8">
        <f>sample_20250925!E239</f>
        <v>5</v>
      </c>
      <c r="F239" s="8">
        <v>3.0</v>
      </c>
      <c r="G239" s="8">
        <v>0.0</v>
      </c>
      <c r="H239" s="14" t="s">
        <v>686</v>
      </c>
      <c r="I239" s="12"/>
      <c r="J239" s="12"/>
      <c r="K239" s="12"/>
      <c r="L239" s="12"/>
      <c r="M239" s="10">
        <f t="shared" si="1"/>
        <v>0.6</v>
      </c>
      <c r="N239" s="10">
        <f t="shared" si="2"/>
        <v>0</v>
      </c>
      <c r="O239" s="10">
        <f>IFERROR(__xludf.DUMMYFUNCTION("INT(FILTER(GT(F239,0),ISNUMBER(F239)))"),1.0)</f>
        <v>1</v>
      </c>
      <c r="P239" s="10">
        <f t="shared" si="3"/>
        <v>1</v>
      </c>
      <c r="Q239" s="10">
        <f>IFERROR(__xludf.DUMMYFUNCTION("INT(FILTER(EQ(E239,F239),ISNUMBER(E239),ISNUMBER(F239)))"),0.0)</f>
        <v>0</v>
      </c>
    </row>
    <row r="240">
      <c r="A240" s="1" t="s">
        <v>934</v>
      </c>
      <c r="B240" s="7" t="s">
        <v>935</v>
      </c>
      <c r="C240" s="2" t="s">
        <v>936</v>
      </c>
      <c r="D240" s="7" t="s">
        <v>937</v>
      </c>
      <c r="E240" s="8">
        <f>sample_20250925!E240</f>
        <v>1</v>
      </c>
      <c r="F240" s="8">
        <f>IF(sample_20250925!$C240=C240,sample_20250925!F240, NA())</f>
        <v>1</v>
      </c>
      <c r="G240" s="8">
        <f>IF(sample_20250925!$C240=$C240,sample_20250925!G240, NA())</f>
        <v>0</v>
      </c>
      <c r="H240" s="14" t="s">
        <v>686</v>
      </c>
      <c r="I240" s="12"/>
      <c r="J240" s="12"/>
      <c r="K240" s="12"/>
      <c r="L240" s="12"/>
      <c r="M240" s="10">
        <f t="shared" si="1"/>
        <v>1</v>
      </c>
      <c r="N240" s="10">
        <f t="shared" si="2"/>
        <v>0</v>
      </c>
      <c r="O240" s="10">
        <f>IFERROR(__xludf.DUMMYFUNCTION("INT(FILTER(GT(F240,0),ISNUMBER(F240)))"),1.0)</f>
        <v>1</v>
      </c>
      <c r="P240" s="10">
        <f t="shared" si="3"/>
        <v>1</v>
      </c>
      <c r="Q240" s="10">
        <f>IFERROR(__xludf.DUMMYFUNCTION("INT(FILTER(EQ(E240,F240),ISNUMBER(E240),ISNUMBER(F240)))"),1.0)</f>
        <v>1</v>
      </c>
    </row>
    <row r="241">
      <c r="A241" s="1" t="s">
        <v>938</v>
      </c>
      <c r="B241" s="7" t="s">
        <v>939</v>
      </c>
      <c r="C241" s="2" t="s">
        <v>577</v>
      </c>
      <c r="D241" s="7" t="s">
        <v>296</v>
      </c>
      <c r="E241" s="8">
        <f>sample_20250925!E241</f>
        <v>1</v>
      </c>
      <c r="F241" s="8">
        <f>IF(sample_20250925!$C241=C241,sample_20250925!F241, NA())</f>
        <v>1</v>
      </c>
      <c r="G241" s="8">
        <f>IF(sample_20250925!$C241=$C241,sample_20250925!G241, NA())</f>
        <v>0</v>
      </c>
      <c r="H241" s="14" t="s">
        <v>686</v>
      </c>
      <c r="I241" s="12"/>
      <c r="J241" s="12"/>
      <c r="K241" s="12"/>
      <c r="L241" s="12"/>
      <c r="M241" s="10">
        <f t="shared" si="1"/>
        <v>1</v>
      </c>
      <c r="N241" s="10">
        <f t="shared" si="2"/>
        <v>0</v>
      </c>
      <c r="O241" s="10">
        <f>IFERROR(__xludf.DUMMYFUNCTION("INT(FILTER(GT(F241,0),ISNUMBER(F241)))"),1.0)</f>
        <v>1</v>
      </c>
      <c r="P241" s="10">
        <f t="shared" si="3"/>
        <v>1</v>
      </c>
      <c r="Q241" s="10">
        <f>IFERROR(__xludf.DUMMYFUNCTION("INT(FILTER(EQ(E241,F241),ISNUMBER(E241),ISNUMBER(F241)))"),1.0)</f>
        <v>1</v>
      </c>
    </row>
    <row r="242">
      <c r="A242" s="1" t="s">
        <v>940</v>
      </c>
      <c r="B242" s="7" t="s">
        <v>941</v>
      </c>
      <c r="C242" s="2" t="s">
        <v>942</v>
      </c>
      <c r="D242" s="1" t="s">
        <v>943</v>
      </c>
      <c r="E242" s="8">
        <v>3.0</v>
      </c>
      <c r="F242" s="8">
        <v>3.0</v>
      </c>
      <c r="G242" s="8">
        <v>0.0</v>
      </c>
      <c r="H242" s="14" t="s">
        <v>686</v>
      </c>
      <c r="I242" s="12"/>
      <c r="J242" s="12"/>
      <c r="K242" s="12"/>
      <c r="L242" s="12"/>
      <c r="M242" s="10">
        <f t="shared" si="1"/>
        <v>1</v>
      </c>
      <c r="N242" s="10">
        <f t="shared" si="2"/>
        <v>0</v>
      </c>
      <c r="O242" s="10">
        <f>IFERROR(__xludf.DUMMYFUNCTION("INT(FILTER(GT(F242,0),ISNUMBER(F242)))"),1.0)</f>
        <v>1</v>
      </c>
      <c r="P242" s="10">
        <f t="shared" si="3"/>
        <v>1</v>
      </c>
      <c r="Q242" s="12"/>
    </row>
    <row r="243">
      <c r="A243" s="1" t="s">
        <v>944</v>
      </c>
      <c r="B243" s="7" t="s">
        <v>945</v>
      </c>
      <c r="C243" s="2" t="s">
        <v>946</v>
      </c>
      <c r="D243" s="1" t="s">
        <v>947</v>
      </c>
      <c r="E243" s="8">
        <f>sample_20250925!E243</f>
        <v>7</v>
      </c>
      <c r="F243" s="8">
        <f>IF(sample_20250925!$C243=C243,sample_20250925!F243, NA())</f>
        <v>6</v>
      </c>
      <c r="G243" s="8">
        <f>IF(sample_20250925!$C243=$C243,sample_20250925!G243, NA())</f>
        <v>0</v>
      </c>
      <c r="H243" s="14" t="s">
        <v>686</v>
      </c>
      <c r="I243" s="12"/>
      <c r="J243" s="12"/>
      <c r="K243" s="12"/>
      <c r="L243" s="12"/>
      <c r="M243" s="10">
        <f t="shared" si="1"/>
        <v>0.8571428571</v>
      </c>
      <c r="N243" s="10">
        <f t="shared" si="2"/>
        <v>0</v>
      </c>
      <c r="O243" s="10">
        <f>IFERROR(__xludf.DUMMYFUNCTION("INT(FILTER(GT(F243,0),ISNUMBER(F243)))"),1.0)</f>
        <v>1</v>
      </c>
      <c r="P243" s="10">
        <f t="shared" si="3"/>
        <v>1</v>
      </c>
      <c r="Q243" s="10">
        <f>IFERROR(__xludf.DUMMYFUNCTION("INT(FILTER(EQ(E243,F243),ISNUMBER(E243),ISNUMBER(F243)))"),0.0)</f>
        <v>0</v>
      </c>
    </row>
    <row r="244">
      <c r="A244" s="1" t="s">
        <v>948</v>
      </c>
      <c r="B244" s="7" t="s">
        <v>949</v>
      </c>
      <c r="C244" s="2" t="s">
        <v>950</v>
      </c>
      <c r="D244" s="1" t="s">
        <v>951</v>
      </c>
      <c r="E244" s="8">
        <f>sample_20250925!E244</f>
        <v>2</v>
      </c>
      <c r="F244" s="8">
        <f>IF(sample_20250925!$C244=C244,sample_20250925!F244, NA())</f>
        <v>2</v>
      </c>
      <c r="G244" s="8">
        <f>IF(sample_20250925!$C244=$C244,sample_20250925!G244, NA())</f>
        <v>0</v>
      </c>
      <c r="H244" s="14" t="s">
        <v>686</v>
      </c>
      <c r="I244" s="12"/>
      <c r="J244" s="12"/>
      <c r="K244" s="12"/>
      <c r="L244" s="12"/>
      <c r="M244" s="10">
        <f t="shared" si="1"/>
        <v>1</v>
      </c>
      <c r="N244" s="10">
        <f t="shared" si="2"/>
        <v>0</v>
      </c>
      <c r="O244" s="10">
        <f>IFERROR(__xludf.DUMMYFUNCTION("INT(FILTER(GT(F244,0),ISNUMBER(F244)))"),1.0)</f>
        <v>1</v>
      </c>
      <c r="P244" s="10">
        <f t="shared" si="3"/>
        <v>1</v>
      </c>
      <c r="Q244" s="10">
        <f>IFERROR(__xludf.DUMMYFUNCTION("INT(FILTER(EQ(E244,F244),ISNUMBER(E244),ISNUMBER(F244)))"),1.0)</f>
        <v>1</v>
      </c>
    </row>
    <row r="245">
      <c r="A245" s="1" t="s">
        <v>952</v>
      </c>
      <c r="B245" s="7" t="s">
        <v>953</v>
      </c>
      <c r="C245" s="2" t="s">
        <v>954</v>
      </c>
      <c r="D245" s="7" t="s">
        <v>955</v>
      </c>
      <c r="E245" s="8">
        <f>sample_20250925!E245</f>
        <v>2</v>
      </c>
      <c r="F245" s="8">
        <v>1.0</v>
      </c>
      <c r="G245" s="8">
        <v>0.0</v>
      </c>
      <c r="H245" s="14" t="s">
        <v>686</v>
      </c>
      <c r="I245" s="12"/>
      <c r="J245" s="12"/>
      <c r="K245" s="12"/>
      <c r="L245" s="12"/>
      <c r="M245" s="10">
        <f t="shared" si="1"/>
        <v>0.5</v>
      </c>
      <c r="N245" s="10">
        <f t="shared" si="2"/>
        <v>0</v>
      </c>
      <c r="O245" s="10">
        <f>IFERROR(__xludf.DUMMYFUNCTION("INT(FILTER(GT(F245,0),ISNUMBER(F245)))"),1.0)</f>
        <v>1</v>
      </c>
      <c r="P245" s="10">
        <f t="shared" si="3"/>
        <v>1</v>
      </c>
      <c r="Q245" s="10">
        <f>IFERROR(__xludf.DUMMYFUNCTION("INT(FILTER(EQ(E245,F245),ISNUMBER(E245),ISNUMBER(F245)))"),0.0)</f>
        <v>0</v>
      </c>
    </row>
    <row r="246">
      <c r="A246" s="1" t="s">
        <v>956</v>
      </c>
      <c r="B246" s="7" t="s">
        <v>957</v>
      </c>
      <c r="C246" s="2" t="s">
        <v>958</v>
      </c>
      <c r="D246" s="1" t="s">
        <v>959</v>
      </c>
      <c r="E246" s="8">
        <v>2.0</v>
      </c>
      <c r="F246" s="8">
        <v>2.0</v>
      </c>
      <c r="G246" s="8">
        <v>0.0</v>
      </c>
      <c r="H246" s="14" t="s">
        <v>686</v>
      </c>
      <c r="I246" s="12"/>
      <c r="J246" s="12"/>
      <c r="K246" s="12"/>
      <c r="L246" s="12"/>
      <c r="M246" s="10">
        <f t="shared" si="1"/>
        <v>1</v>
      </c>
      <c r="N246" s="10">
        <f t="shared" si="2"/>
        <v>0</v>
      </c>
      <c r="O246" s="10">
        <f>IFERROR(__xludf.DUMMYFUNCTION("INT(FILTER(GT(F246,0),ISNUMBER(F246)))"),1.0)</f>
        <v>1</v>
      </c>
      <c r="P246" s="10">
        <f t="shared" si="3"/>
        <v>1</v>
      </c>
      <c r="Q246" s="10">
        <f>IFERROR(__xludf.DUMMYFUNCTION("INT(FILTER(EQ(E246,F246),ISNUMBER(E246),ISNUMBER(F246)))"),1.0)</f>
        <v>1</v>
      </c>
    </row>
    <row r="247">
      <c r="A247" s="1" t="s">
        <v>960</v>
      </c>
      <c r="B247" s="7" t="s">
        <v>961</v>
      </c>
      <c r="C247" s="2" t="s">
        <v>962</v>
      </c>
      <c r="D247" s="1" t="s">
        <v>963</v>
      </c>
      <c r="E247" s="8">
        <v>4.0</v>
      </c>
      <c r="F247" s="8">
        <v>4.0</v>
      </c>
      <c r="G247" s="8">
        <v>0.0</v>
      </c>
      <c r="H247" s="14" t="s">
        <v>686</v>
      </c>
      <c r="I247" s="12"/>
      <c r="J247" s="12"/>
      <c r="K247" s="12"/>
      <c r="L247" s="12"/>
      <c r="M247" s="10">
        <f t="shared" si="1"/>
        <v>1</v>
      </c>
      <c r="N247" s="10">
        <f t="shared" si="2"/>
        <v>0</v>
      </c>
      <c r="O247" s="10">
        <f>IFERROR(__xludf.DUMMYFUNCTION("INT(FILTER(GT(F247,0),ISNUMBER(F247)))"),1.0)</f>
        <v>1</v>
      </c>
      <c r="P247" s="10">
        <f t="shared" si="3"/>
        <v>1</v>
      </c>
      <c r="Q247" s="10">
        <f>IFERROR(__xludf.DUMMYFUNCTION("INT(FILTER(EQ(E247,F247),ISNUMBER(E247),ISNUMBER(F247)))"),1.0)</f>
        <v>1</v>
      </c>
    </row>
    <row r="248">
      <c r="A248" s="1" t="s">
        <v>964</v>
      </c>
      <c r="B248" s="7" t="s">
        <v>965</v>
      </c>
      <c r="C248" s="2" t="s">
        <v>966</v>
      </c>
      <c r="D248" s="1" t="s">
        <v>967</v>
      </c>
      <c r="E248" s="8">
        <v>3.0</v>
      </c>
      <c r="F248" s="8">
        <v>3.0</v>
      </c>
      <c r="G248" s="8">
        <v>0.0</v>
      </c>
      <c r="H248" s="14" t="s">
        <v>686</v>
      </c>
      <c r="I248" s="12"/>
      <c r="J248" s="12"/>
      <c r="K248" s="12"/>
      <c r="L248" s="12"/>
      <c r="M248" s="10">
        <f t="shared" si="1"/>
        <v>1</v>
      </c>
      <c r="N248" s="10">
        <f t="shared" si="2"/>
        <v>0</v>
      </c>
      <c r="O248" s="10">
        <f>IFERROR(__xludf.DUMMYFUNCTION("INT(FILTER(GT(F248,0),ISNUMBER(F248)))"),1.0)</f>
        <v>1</v>
      </c>
      <c r="P248" s="10">
        <f t="shared" si="3"/>
        <v>1</v>
      </c>
      <c r="Q248" s="10">
        <f>IFERROR(__xludf.DUMMYFUNCTION("INT(FILTER(EQ(E248,F248),ISNUMBER(E248),ISNUMBER(F248)))"),1.0)</f>
        <v>1</v>
      </c>
    </row>
    <row r="249">
      <c r="A249" s="1" t="s">
        <v>968</v>
      </c>
      <c r="B249" s="7" t="s">
        <v>969</v>
      </c>
      <c r="C249" s="2" t="s">
        <v>970</v>
      </c>
      <c r="D249" s="1" t="s">
        <v>864</v>
      </c>
      <c r="E249" s="8">
        <v>4.0</v>
      </c>
      <c r="F249" s="8">
        <v>2.0</v>
      </c>
      <c r="G249" s="8">
        <v>0.0</v>
      </c>
      <c r="H249" s="14" t="s">
        <v>686</v>
      </c>
      <c r="I249" s="12"/>
      <c r="J249" s="12"/>
      <c r="K249" s="12"/>
      <c r="L249" s="12"/>
      <c r="M249" s="10">
        <f t="shared" si="1"/>
        <v>0.5</v>
      </c>
      <c r="N249" s="10">
        <f t="shared" si="2"/>
        <v>0</v>
      </c>
      <c r="O249" s="10">
        <f>IFERROR(__xludf.DUMMYFUNCTION("INT(FILTER(GT(F249,0),ISNUMBER(F249)))"),1.0)</f>
        <v>1</v>
      </c>
      <c r="P249" s="10">
        <f t="shared" si="3"/>
        <v>1</v>
      </c>
      <c r="Q249" s="10">
        <f>IFERROR(__xludf.DUMMYFUNCTION("INT(FILTER(EQ(E249,F249),ISNUMBER(E249),ISNUMBER(F249)))"),0.0)</f>
        <v>0</v>
      </c>
    </row>
    <row r="250">
      <c r="A250" s="1" t="s">
        <v>971</v>
      </c>
      <c r="B250" s="7" t="s">
        <v>972</v>
      </c>
      <c r="C250" s="2" t="s">
        <v>973</v>
      </c>
      <c r="D250" s="1" t="s">
        <v>974</v>
      </c>
      <c r="E250" s="8">
        <f>sample_20250925!E250</f>
        <v>2</v>
      </c>
      <c r="F250" s="8">
        <f>IF(sample_20250925!$C250=C250,sample_20250925!F250, NA())</f>
        <v>2</v>
      </c>
      <c r="G250" s="8">
        <f>IF(sample_20250925!$C250=$C250,sample_20250925!G250, NA())</f>
        <v>0</v>
      </c>
      <c r="H250" s="14" t="s">
        <v>686</v>
      </c>
      <c r="I250" s="12"/>
      <c r="J250" s="12"/>
      <c r="K250" s="12"/>
      <c r="L250" s="12"/>
      <c r="M250" s="10">
        <f t="shared" si="1"/>
        <v>1</v>
      </c>
      <c r="N250" s="10">
        <f t="shared" si="2"/>
        <v>0</v>
      </c>
      <c r="O250" s="10">
        <f>IFERROR(__xludf.DUMMYFUNCTION("INT(FILTER(GT(F250,0),ISNUMBER(F250)))"),1.0)</f>
        <v>1</v>
      </c>
      <c r="P250" s="10">
        <f t="shared" si="3"/>
        <v>1</v>
      </c>
      <c r="Q250" s="10">
        <f>IFERROR(__xludf.DUMMYFUNCTION("INT(FILTER(EQ(E250,F250),ISNUMBER(E250),ISNUMBER(F250)))"),1.0)</f>
        <v>1</v>
      </c>
    </row>
    <row r="251">
      <c r="A251" s="1" t="s">
        <v>975</v>
      </c>
      <c r="B251" s="7" t="s">
        <v>976</v>
      </c>
      <c r="C251" s="2" t="s">
        <v>421</v>
      </c>
      <c r="D251" s="1" t="s">
        <v>422</v>
      </c>
      <c r="E251" s="16"/>
      <c r="F251" s="16"/>
      <c r="G251" s="16"/>
      <c r="H251" s="17"/>
      <c r="I251" s="12"/>
      <c r="J251" s="12"/>
      <c r="K251" s="12"/>
      <c r="L251" s="12"/>
      <c r="M251" s="18" t="str">
        <f t="shared" si="1"/>
        <v>#DIV/0!</v>
      </c>
      <c r="N251" s="10" t="str">
        <f t="shared" si="2"/>
        <v>#DIV/0!</v>
      </c>
      <c r="O251" s="18" t="str">
        <f>IFERROR(__xludf.DUMMYFUNCTION("INT(FILTER(GT(F251,0),ISNUMBER(F251)))"),"#N/A")</f>
        <v>#N/A</v>
      </c>
      <c r="P251" s="18" t="str">
        <f t="shared" si="3"/>
        <v>#DIV/0!</v>
      </c>
      <c r="Q251" s="18" t="str">
        <f>IFERROR(__xludf.DUMMYFUNCTION("INT(FILTER(EQ(E251,F251),ISNUMBER(E251),ISNUMBER(F251)))"),"#N/A")</f>
        <v>#N/A</v>
      </c>
    </row>
    <row r="252">
      <c r="A252" s="1" t="s">
        <v>977</v>
      </c>
      <c r="B252" s="7" t="s">
        <v>978</v>
      </c>
      <c r="C252" s="2" t="s">
        <v>979</v>
      </c>
      <c r="D252" s="7" t="s">
        <v>980</v>
      </c>
      <c r="E252" s="16"/>
      <c r="F252" s="16"/>
      <c r="G252" s="16"/>
      <c r="H252" s="17"/>
      <c r="I252" s="12"/>
      <c r="J252" s="12"/>
      <c r="K252" s="12"/>
      <c r="L252" s="12"/>
      <c r="M252" s="18" t="str">
        <f t="shared" si="1"/>
        <v>#DIV/0!</v>
      </c>
      <c r="N252" s="10" t="str">
        <f t="shared" si="2"/>
        <v>#DIV/0!</v>
      </c>
      <c r="O252" s="18" t="str">
        <f>IFERROR(__xludf.DUMMYFUNCTION("INT(FILTER(GT(F252,0),ISNUMBER(F252)))"),"#N/A")</f>
        <v>#N/A</v>
      </c>
      <c r="P252" s="18" t="str">
        <f t="shared" si="3"/>
        <v>#DIV/0!</v>
      </c>
      <c r="Q252" s="18" t="str">
        <f>IFERROR(__xludf.DUMMYFUNCTION("INT(FILTER(EQ(E252,F252),ISNUMBER(E252),ISNUMBER(F252)))"),"#N/A")</f>
        <v>#N/A</v>
      </c>
    </row>
    <row r="253">
      <c r="A253" s="1" t="s">
        <v>981</v>
      </c>
      <c r="B253" s="7" t="s">
        <v>982</v>
      </c>
      <c r="C253" s="2" t="s">
        <v>983</v>
      </c>
      <c r="D253" s="1" t="s">
        <v>984</v>
      </c>
      <c r="E253" s="16"/>
      <c r="F253" s="16"/>
      <c r="G253" s="16"/>
      <c r="H253" s="17"/>
      <c r="I253" s="12"/>
      <c r="J253" s="12"/>
      <c r="K253" s="12"/>
      <c r="L253" s="12"/>
      <c r="M253" s="18" t="str">
        <f t="shared" si="1"/>
        <v>#DIV/0!</v>
      </c>
      <c r="N253" s="10" t="str">
        <f t="shared" si="2"/>
        <v>#DIV/0!</v>
      </c>
      <c r="O253" s="18" t="str">
        <f>IFERROR(__xludf.DUMMYFUNCTION("INT(FILTER(GT(F253,0),ISNUMBER(F253)))"),"#N/A")</f>
        <v>#N/A</v>
      </c>
      <c r="P253" s="18" t="str">
        <f t="shared" si="3"/>
        <v>#DIV/0!</v>
      </c>
      <c r="Q253" s="18" t="str">
        <f>IFERROR(__xludf.DUMMYFUNCTION("INT(FILTER(EQ(E253,F253),ISNUMBER(E253),ISNUMBER(F253)))"),"#N/A")</f>
        <v>#N/A</v>
      </c>
    </row>
    <row r="254">
      <c r="A254" s="1" t="s">
        <v>985</v>
      </c>
      <c r="B254" s="7" t="s">
        <v>986</v>
      </c>
      <c r="C254" s="2" t="s">
        <v>987</v>
      </c>
      <c r="D254" s="1" t="s">
        <v>988</v>
      </c>
      <c r="E254" s="16"/>
      <c r="F254" s="16"/>
      <c r="G254" s="16"/>
      <c r="H254" s="17"/>
      <c r="I254" s="12"/>
      <c r="J254" s="12"/>
      <c r="K254" s="12"/>
      <c r="L254" s="12"/>
      <c r="M254" s="18" t="str">
        <f t="shared" si="1"/>
        <v>#DIV/0!</v>
      </c>
      <c r="N254" s="10" t="str">
        <f t="shared" si="2"/>
        <v>#DIV/0!</v>
      </c>
      <c r="O254" s="18" t="str">
        <f>IFERROR(__xludf.DUMMYFUNCTION("INT(FILTER(GT(F254,0),ISNUMBER(F254)))"),"#N/A")</f>
        <v>#N/A</v>
      </c>
      <c r="P254" s="18" t="str">
        <f t="shared" si="3"/>
        <v>#DIV/0!</v>
      </c>
      <c r="Q254" s="18" t="str">
        <f>IFERROR(__xludf.DUMMYFUNCTION("INT(FILTER(EQ(E254,F254),ISNUMBER(E254),ISNUMBER(F254)))"),"#N/A")</f>
        <v>#N/A</v>
      </c>
    </row>
    <row r="255">
      <c r="A255" s="1" t="s">
        <v>989</v>
      </c>
      <c r="B255" s="7" t="s">
        <v>990</v>
      </c>
      <c r="C255" s="2" t="s">
        <v>991</v>
      </c>
      <c r="D255" s="7" t="s">
        <v>113</v>
      </c>
      <c r="E255" s="16"/>
      <c r="F255" s="16"/>
      <c r="G255" s="16"/>
      <c r="H255" s="17"/>
      <c r="I255" s="12"/>
      <c r="J255" s="12"/>
      <c r="K255" s="12"/>
      <c r="L255" s="12"/>
      <c r="M255" s="18" t="str">
        <f t="shared" si="1"/>
        <v>#DIV/0!</v>
      </c>
      <c r="N255" s="10" t="str">
        <f t="shared" si="2"/>
        <v>#DIV/0!</v>
      </c>
      <c r="O255" s="18" t="str">
        <f>IFERROR(__xludf.DUMMYFUNCTION("INT(FILTER(GT(F255,0),ISNUMBER(F255)))"),"#N/A")</f>
        <v>#N/A</v>
      </c>
      <c r="P255" s="18" t="str">
        <f t="shared" si="3"/>
        <v>#DIV/0!</v>
      </c>
      <c r="Q255" s="18" t="str">
        <f>IFERROR(__xludf.DUMMYFUNCTION("INT(FILTER(EQ(E255,F255),ISNUMBER(E255),ISNUMBER(F255)))"),"#N/A")</f>
        <v>#N/A</v>
      </c>
    </row>
    <row r="256">
      <c r="A256" s="1" t="s">
        <v>992</v>
      </c>
      <c r="B256" s="7" t="s">
        <v>993</v>
      </c>
      <c r="C256" s="2" t="s">
        <v>994</v>
      </c>
      <c r="D256" s="7" t="s">
        <v>995</v>
      </c>
      <c r="E256" s="16"/>
      <c r="F256" s="16"/>
      <c r="G256" s="16"/>
      <c r="H256" s="17"/>
      <c r="I256" s="12"/>
      <c r="J256" s="12"/>
      <c r="K256" s="12"/>
      <c r="L256" s="12"/>
      <c r="M256" s="18" t="str">
        <f t="shared" si="1"/>
        <v>#DIV/0!</v>
      </c>
      <c r="N256" s="10" t="str">
        <f t="shared" si="2"/>
        <v>#DIV/0!</v>
      </c>
      <c r="O256" s="18" t="str">
        <f>IFERROR(__xludf.DUMMYFUNCTION("INT(FILTER(GT(F256,0),ISNUMBER(F256)))"),"#N/A")</f>
        <v>#N/A</v>
      </c>
      <c r="P256" s="18" t="str">
        <f t="shared" si="3"/>
        <v>#DIV/0!</v>
      </c>
      <c r="Q256" s="18" t="str">
        <f>IFERROR(__xludf.DUMMYFUNCTION("INT(FILTER(EQ(E256,F256),ISNUMBER(E256),ISNUMBER(F256)))"),"#N/A")</f>
        <v>#N/A</v>
      </c>
    </row>
    <row r="257">
      <c r="A257" s="1" t="s">
        <v>996</v>
      </c>
      <c r="B257" s="7" t="s">
        <v>997</v>
      </c>
      <c r="C257" s="2" t="s">
        <v>998</v>
      </c>
      <c r="D257" s="7" t="s">
        <v>999</v>
      </c>
      <c r="E257" s="16"/>
      <c r="F257" s="16"/>
      <c r="G257" s="16"/>
      <c r="H257" s="17"/>
      <c r="I257" s="12"/>
      <c r="J257" s="12"/>
      <c r="K257" s="12"/>
      <c r="L257" s="12"/>
      <c r="M257" s="18" t="str">
        <f t="shared" si="1"/>
        <v>#DIV/0!</v>
      </c>
      <c r="N257" s="10" t="str">
        <f t="shared" si="2"/>
        <v>#DIV/0!</v>
      </c>
      <c r="O257" s="18" t="str">
        <f>IFERROR(__xludf.DUMMYFUNCTION("INT(FILTER(GT(F257,0),ISNUMBER(F257)))"),"#N/A")</f>
        <v>#N/A</v>
      </c>
      <c r="P257" s="18" t="str">
        <f t="shared" si="3"/>
        <v>#DIV/0!</v>
      </c>
      <c r="Q257" s="18" t="str">
        <f>IFERROR(__xludf.DUMMYFUNCTION("INT(FILTER(EQ(E257,F257),ISNUMBER(E257),ISNUMBER(F257)))"),"#N/A")</f>
        <v>#N/A</v>
      </c>
    </row>
    <row r="258">
      <c r="A258" s="1" t="s">
        <v>1000</v>
      </c>
      <c r="B258" s="7" t="s">
        <v>1001</v>
      </c>
      <c r="C258" s="2" t="s">
        <v>268</v>
      </c>
      <c r="D258" s="7" t="s">
        <v>137</v>
      </c>
      <c r="E258" s="16"/>
      <c r="F258" s="16"/>
      <c r="G258" s="16"/>
      <c r="H258" s="17"/>
      <c r="I258" s="12"/>
      <c r="J258" s="12"/>
      <c r="K258" s="12"/>
      <c r="L258" s="12"/>
      <c r="M258" s="18" t="str">
        <f t="shared" si="1"/>
        <v>#DIV/0!</v>
      </c>
      <c r="N258" s="10" t="str">
        <f t="shared" si="2"/>
        <v>#DIV/0!</v>
      </c>
      <c r="O258" s="18" t="str">
        <f>IFERROR(__xludf.DUMMYFUNCTION("INT(FILTER(GT(F258,0),ISNUMBER(F258)))"),"#N/A")</f>
        <v>#N/A</v>
      </c>
      <c r="P258" s="18" t="str">
        <f t="shared" si="3"/>
        <v>#DIV/0!</v>
      </c>
      <c r="Q258" s="18" t="str">
        <f>IFERROR(__xludf.DUMMYFUNCTION("INT(FILTER(EQ(E258,F258),ISNUMBER(E258),ISNUMBER(F258)))"),"#N/A")</f>
        <v>#N/A</v>
      </c>
    </row>
    <row r="259">
      <c r="A259" s="1" t="s">
        <v>1002</v>
      </c>
      <c r="B259" s="7" t="s">
        <v>1003</v>
      </c>
      <c r="C259" s="2" t="s">
        <v>1004</v>
      </c>
      <c r="D259" s="7" t="s">
        <v>137</v>
      </c>
      <c r="E259" s="16"/>
      <c r="F259" s="16"/>
      <c r="G259" s="16"/>
      <c r="H259" s="17"/>
      <c r="I259" s="12"/>
      <c r="J259" s="12"/>
      <c r="K259" s="12"/>
      <c r="L259" s="12"/>
      <c r="M259" s="18" t="str">
        <f t="shared" si="1"/>
        <v>#DIV/0!</v>
      </c>
      <c r="N259" s="18" t="str">
        <f t="shared" si="2"/>
        <v>#DIV/0!</v>
      </c>
      <c r="O259" s="18" t="str">
        <f>IFERROR(__xludf.DUMMYFUNCTION("INT(FILTER(GT(F259,0),ISNUMBER(F259)))"),"#N/A")</f>
        <v>#N/A</v>
      </c>
      <c r="P259" s="18" t="str">
        <f t="shared" si="3"/>
        <v>#DIV/0!</v>
      </c>
      <c r="Q259" s="18" t="str">
        <f>IFERROR(__xludf.DUMMYFUNCTION("INT(FILTER(EQ(E259,F259),ISNUMBER(E259),ISNUMBER(F259)))"),"#N/A")</f>
        <v>#N/A</v>
      </c>
    </row>
    <row r="260">
      <c r="A260" s="1" t="s">
        <v>1005</v>
      </c>
      <c r="B260" s="7" t="s">
        <v>1006</v>
      </c>
      <c r="C260" s="2" t="s">
        <v>1007</v>
      </c>
      <c r="D260" s="1" t="s">
        <v>1008</v>
      </c>
      <c r="E260" s="16"/>
      <c r="F260" s="16"/>
      <c r="G260" s="16"/>
      <c r="H260" s="17"/>
      <c r="I260" s="12"/>
      <c r="J260" s="12"/>
      <c r="K260" s="12"/>
      <c r="L260" s="12"/>
      <c r="M260" s="18" t="str">
        <f t="shared" si="1"/>
        <v>#DIV/0!</v>
      </c>
      <c r="N260" s="18" t="str">
        <f t="shared" si="2"/>
        <v>#DIV/0!</v>
      </c>
      <c r="O260" s="18" t="str">
        <f>IFERROR(__xludf.DUMMYFUNCTION("INT(FILTER(GT(F260,0),ISNUMBER(F260)))"),"#N/A")</f>
        <v>#N/A</v>
      </c>
      <c r="P260" s="18" t="str">
        <f t="shared" si="3"/>
        <v>#DIV/0!</v>
      </c>
      <c r="Q260" s="18" t="str">
        <f>IFERROR(__xludf.DUMMYFUNCTION("INT(FILTER(EQ(E260,F260),ISNUMBER(E260),ISNUMBER(F260)))"),"#N/A")</f>
        <v>#N/A</v>
      </c>
    </row>
    <row r="261">
      <c r="A261" s="1" t="s">
        <v>1009</v>
      </c>
      <c r="B261" s="7" t="s">
        <v>1010</v>
      </c>
      <c r="C261" s="2" t="s">
        <v>667</v>
      </c>
      <c r="D261" s="7" t="s">
        <v>668</v>
      </c>
      <c r="E261" s="16"/>
      <c r="F261" s="16"/>
      <c r="G261" s="16"/>
      <c r="H261" s="17"/>
      <c r="I261" s="12"/>
      <c r="J261" s="12"/>
      <c r="K261" s="12"/>
      <c r="L261" s="12"/>
      <c r="M261" s="18" t="str">
        <f t="shared" si="1"/>
        <v>#DIV/0!</v>
      </c>
      <c r="N261" s="18" t="str">
        <f t="shared" si="2"/>
        <v>#DIV/0!</v>
      </c>
      <c r="O261" s="18" t="str">
        <f>IFERROR(__xludf.DUMMYFUNCTION("INT(FILTER(GT(F261,0),ISNUMBER(F261)))"),"#N/A")</f>
        <v>#N/A</v>
      </c>
      <c r="P261" s="18" t="str">
        <f t="shared" si="3"/>
        <v>#DIV/0!</v>
      </c>
      <c r="Q261" s="18" t="str">
        <f>IFERROR(__xludf.DUMMYFUNCTION("INT(FILTER(EQ(E261,F261),ISNUMBER(E261),ISNUMBER(F261)))"),"#N/A")</f>
        <v>#N/A</v>
      </c>
    </row>
    <row r="262">
      <c r="A262" s="1" t="s">
        <v>1011</v>
      </c>
      <c r="B262" s="7" t="s">
        <v>1012</v>
      </c>
      <c r="C262" s="2" t="s">
        <v>1013</v>
      </c>
      <c r="D262" s="7" t="s">
        <v>1014</v>
      </c>
      <c r="E262" s="16"/>
      <c r="F262" s="16"/>
      <c r="G262" s="16"/>
      <c r="H262" s="17"/>
      <c r="I262" s="12"/>
      <c r="J262" s="12"/>
      <c r="K262" s="12"/>
      <c r="L262" s="12"/>
      <c r="M262" s="18" t="str">
        <f t="shared" si="1"/>
        <v>#DIV/0!</v>
      </c>
      <c r="N262" s="18" t="str">
        <f t="shared" si="2"/>
        <v>#DIV/0!</v>
      </c>
      <c r="O262" s="18" t="str">
        <f>IFERROR(__xludf.DUMMYFUNCTION("INT(FILTER(GT(F262,0),ISNUMBER(F262)))"),"#N/A")</f>
        <v>#N/A</v>
      </c>
      <c r="P262" s="18" t="str">
        <f t="shared" si="3"/>
        <v>#DIV/0!</v>
      </c>
      <c r="Q262" s="18" t="str">
        <f>IFERROR(__xludf.DUMMYFUNCTION("INT(FILTER(EQ(E262,F262),ISNUMBER(E262),ISNUMBER(F262)))"),"#N/A")</f>
        <v>#N/A</v>
      </c>
    </row>
    <row r="263">
      <c r="A263" s="1" t="s">
        <v>1015</v>
      </c>
      <c r="B263" s="7" t="s">
        <v>1016</v>
      </c>
      <c r="C263" s="2" t="s">
        <v>1017</v>
      </c>
      <c r="D263" s="1" t="s">
        <v>1018</v>
      </c>
      <c r="E263" s="16"/>
      <c r="F263" s="16"/>
      <c r="G263" s="16"/>
      <c r="H263" s="17"/>
      <c r="I263" s="12"/>
      <c r="J263" s="12"/>
      <c r="K263" s="12"/>
      <c r="L263" s="12"/>
      <c r="M263" s="18" t="str">
        <f t="shared" si="1"/>
        <v>#DIV/0!</v>
      </c>
      <c r="N263" s="18" t="str">
        <f t="shared" si="2"/>
        <v>#DIV/0!</v>
      </c>
      <c r="O263" s="18" t="str">
        <f>IFERROR(__xludf.DUMMYFUNCTION("INT(FILTER(GT(F263,0),ISNUMBER(F263)))"),"#N/A")</f>
        <v>#N/A</v>
      </c>
      <c r="P263" s="18" t="str">
        <f t="shared" si="3"/>
        <v>#DIV/0!</v>
      </c>
      <c r="Q263" s="18" t="str">
        <f>IFERROR(__xludf.DUMMYFUNCTION("INT(FILTER(EQ(E263,F263),ISNUMBER(E263),ISNUMBER(F263)))"),"#N/A")</f>
        <v>#N/A</v>
      </c>
    </row>
    <row r="264">
      <c r="A264" s="1" t="s">
        <v>1019</v>
      </c>
      <c r="B264" s="7" t="s">
        <v>1020</v>
      </c>
      <c r="C264" s="2" t="s">
        <v>1021</v>
      </c>
      <c r="D264" s="7" t="s">
        <v>1022</v>
      </c>
      <c r="E264" s="16"/>
      <c r="F264" s="16"/>
      <c r="G264" s="16"/>
      <c r="H264" s="17"/>
      <c r="I264" s="12"/>
      <c r="J264" s="12"/>
      <c r="K264" s="12"/>
      <c r="L264" s="12"/>
      <c r="M264" s="18" t="str">
        <f t="shared" si="1"/>
        <v>#DIV/0!</v>
      </c>
      <c r="N264" s="18" t="str">
        <f t="shared" si="2"/>
        <v>#DIV/0!</v>
      </c>
      <c r="O264" s="18" t="str">
        <f>IFERROR(__xludf.DUMMYFUNCTION("INT(FILTER(GT(F264,0),ISNUMBER(F264)))"),"#N/A")</f>
        <v>#N/A</v>
      </c>
      <c r="P264" s="18" t="str">
        <f t="shared" si="3"/>
        <v>#DIV/0!</v>
      </c>
      <c r="Q264" s="18" t="str">
        <f>IFERROR(__xludf.DUMMYFUNCTION("INT(FILTER(EQ(E264,F264),ISNUMBER(E264),ISNUMBER(F264)))"),"#N/A")</f>
        <v>#N/A</v>
      </c>
    </row>
    <row r="265">
      <c r="A265" s="1" t="s">
        <v>1023</v>
      </c>
      <c r="B265" s="7" t="s">
        <v>1024</v>
      </c>
      <c r="C265" s="2" t="s">
        <v>1025</v>
      </c>
      <c r="D265" s="7" t="s">
        <v>1026</v>
      </c>
      <c r="E265" s="16"/>
      <c r="F265" s="16"/>
      <c r="G265" s="16"/>
      <c r="H265" s="17"/>
      <c r="I265" s="12"/>
      <c r="J265" s="12"/>
      <c r="K265" s="12"/>
      <c r="L265" s="12"/>
      <c r="M265" s="18" t="str">
        <f t="shared" si="1"/>
        <v>#DIV/0!</v>
      </c>
      <c r="N265" s="18" t="str">
        <f t="shared" si="2"/>
        <v>#DIV/0!</v>
      </c>
      <c r="O265" s="18" t="str">
        <f>IFERROR(__xludf.DUMMYFUNCTION("INT(FILTER(GT(F265,0),ISNUMBER(F265)))"),"#N/A")</f>
        <v>#N/A</v>
      </c>
      <c r="P265" s="18" t="str">
        <f t="shared" si="3"/>
        <v>#DIV/0!</v>
      </c>
      <c r="Q265" s="18" t="str">
        <f>IFERROR(__xludf.DUMMYFUNCTION("INT(FILTER(EQ(E265,F265),ISNUMBER(E265),ISNUMBER(F265)))"),"#N/A")</f>
        <v>#N/A</v>
      </c>
    </row>
    <row r="266">
      <c r="A266" s="1" t="s">
        <v>1027</v>
      </c>
      <c r="B266" s="7" t="s">
        <v>1028</v>
      </c>
      <c r="C266" s="2" t="s">
        <v>1029</v>
      </c>
      <c r="D266" s="1" t="s">
        <v>1030</v>
      </c>
      <c r="E266" s="16"/>
      <c r="F266" s="16"/>
      <c r="G266" s="16"/>
      <c r="H266" s="17"/>
      <c r="I266" s="12"/>
      <c r="J266" s="12"/>
      <c r="K266" s="12"/>
      <c r="L266" s="12"/>
      <c r="M266" s="18" t="str">
        <f t="shared" si="1"/>
        <v>#DIV/0!</v>
      </c>
      <c r="N266" s="18" t="str">
        <f t="shared" si="2"/>
        <v>#DIV/0!</v>
      </c>
      <c r="O266" s="18" t="str">
        <f>IFERROR(__xludf.DUMMYFUNCTION("INT(FILTER(GT(F266,0),ISNUMBER(F266)))"),"#N/A")</f>
        <v>#N/A</v>
      </c>
      <c r="P266" s="18" t="str">
        <f t="shared" si="3"/>
        <v>#DIV/0!</v>
      </c>
      <c r="Q266" s="18" t="str">
        <f>IFERROR(__xludf.DUMMYFUNCTION("INT(FILTER(EQ(E266,F266),ISNUMBER(E266),ISNUMBER(F266)))"),"#N/A")</f>
        <v>#N/A</v>
      </c>
    </row>
    <row r="267">
      <c r="A267" s="1" t="s">
        <v>1031</v>
      </c>
      <c r="B267" s="7" t="s">
        <v>1032</v>
      </c>
      <c r="C267" s="2" t="s">
        <v>1033</v>
      </c>
      <c r="D267" s="7" t="s">
        <v>1034</v>
      </c>
      <c r="E267" s="16"/>
      <c r="F267" s="16"/>
      <c r="G267" s="16"/>
      <c r="H267" s="17"/>
      <c r="I267" s="12"/>
      <c r="J267" s="12"/>
      <c r="K267" s="12"/>
      <c r="L267" s="12"/>
      <c r="M267" s="18" t="str">
        <f t="shared" si="1"/>
        <v>#DIV/0!</v>
      </c>
      <c r="N267" s="18" t="str">
        <f t="shared" si="2"/>
        <v>#DIV/0!</v>
      </c>
      <c r="O267" s="18" t="str">
        <f>IFERROR(__xludf.DUMMYFUNCTION("INT(FILTER(GT(F267,0),ISNUMBER(F267)))"),"#N/A")</f>
        <v>#N/A</v>
      </c>
      <c r="P267" s="18" t="str">
        <f t="shared" si="3"/>
        <v>#DIV/0!</v>
      </c>
      <c r="Q267" s="18" t="str">
        <f>IFERROR(__xludf.DUMMYFUNCTION("INT(FILTER(EQ(E267,F267),ISNUMBER(E267),ISNUMBER(F267)))"),"#N/A")</f>
        <v>#N/A</v>
      </c>
    </row>
    <row r="268">
      <c r="A268" s="1" t="s">
        <v>1035</v>
      </c>
      <c r="B268" s="7" t="s">
        <v>1036</v>
      </c>
      <c r="C268" s="2" t="s">
        <v>1037</v>
      </c>
      <c r="D268" s="1" t="s">
        <v>1038</v>
      </c>
      <c r="E268" s="16"/>
      <c r="F268" s="16"/>
      <c r="G268" s="16"/>
      <c r="H268" s="17"/>
      <c r="I268" s="12"/>
      <c r="J268" s="12"/>
      <c r="K268" s="12"/>
      <c r="L268" s="12"/>
      <c r="M268" s="18" t="str">
        <f t="shared" si="1"/>
        <v>#DIV/0!</v>
      </c>
      <c r="N268" s="18" t="str">
        <f t="shared" si="2"/>
        <v>#DIV/0!</v>
      </c>
      <c r="O268" s="18" t="str">
        <f>IFERROR(__xludf.DUMMYFUNCTION("INT(FILTER(GT(F268,0),ISNUMBER(F268)))"),"#N/A")</f>
        <v>#N/A</v>
      </c>
      <c r="P268" s="18" t="str">
        <f t="shared" si="3"/>
        <v>#DIV/0!</v>
      </c>
      <c r="Q268" s="18" t="str">
        <f>IFERROR(__xludf.DUMMYFUNCTION("INT(FILTER(EQ(E268,F268),ISNUMBER(E268),ISNUMBER(F268)))"),"#N/A")</f>
        <v>#N/A</v>
      </c>
    </row>
    <row r="269">
      <c r="A269" s="1" t="s">
        <v>1039</v>
      </c>
      <c r="B269" s="7" t="s">
        <v>1040</v>
      </c>
      <c r="C269" s="2" t="s">
        <v>1041</v>
      </c>
      <c r="D269" s="7" t="s">
        <v>445</v>
      </c>
      <c r="E269" s="16"/>
      <c r="F269" s="16"/>
      <c r="G269" s="16"/>
      <c r="H269" s="17"/>
      <c r="I269" s="12"/>
      <c r="J269" s="12"/>
      <c r="K269" s="12"/>
      <c r="L269" s="12"/>
      <c r="M269" s="18" t="str">
        <f t="shared" si="1"/>
        <v>#DIV/0!</v>
      </c>
      <c r="N269" s="18" t="str">
        <f t="shared" si="2"/>
        <v>#DIV/0!</v>
      </c>
      <c r="O269" s="18" t="str">
        <f>IFERROR(__xludf.DUMMYFUNCTION("INT(FILTER(GT(F269,0),ISNUMBER(F269)))"),"#N/A")</f>
        <v>#N/A</v>
      </c>
      <c r="P269" s="18" t="str">
        <f t="shared" si="3"/>
        <v>#DIV/0!</v>
      </c>
      <c r="Q269" s="18" t="str">
        <f>IFERROR(__xludf.DUMMYFUNCTION("INT(FILTER(EQ(E269,F269),ISNUMBER(E269),ISNUMBER(F269)))"),"#N/A")</f>
        <v>#N/A</v>
      </c>
    </row>
    <row r="270">
      <c r="A270" s="1" t="s">
        <v>1042</v>
      </c>
      <c r="B270" s="7" t="s">
        <v>1043</v>
      </c>
      <c r="C270" s="2" t="s">
        <v>1044</v>
      </c>
      <c r="D270" s="7" t="s">
        <v>1045</v>
      </c>
      <c r="E270" s="16"/>
      <c r="F270" s="16"/>
      <c r="G270" s="16"/>
      <c r="H270" s="17"/>
      <c r="I270" s="12"/>
      <c r="J270" s="12"/>
      <c r="K270" s="12"/>
      <c r="L270" s="12"/>
      <c r="M270" s="18" t="str">
        <f t="shared" si="1"/>
        <v>#DIV/0!</v>
      </c>
      <c r="N270" s="18" t="str">
        <f t="shared" si="2"/>
        <v>#DIV/0!</v>
      </c>
      <c r="O270" s="18" t="str">
        <f>IFERROR(__xludf.DUMMYFUNCTION("INT(FILTER(GT(F270,0),ISNUMBER(F270)))"),"#N/A")</f>
        <v>#N/A</v>
      </c>
      <c r="P270" s="18" t="str">
        <f t="shared" si="3"/>
        <v>#DIV/0!</v>
      </c>
      <c r="Q270" s="18" t="str">
        <f>IFERROR(__xludf.DUMMYFUNCTION("INT(FILTER(EQ(E270,F270),ISNUMBER(E270),ISNUMBER(F270)))"),"#N/A")</f>
        <v>#N/A</v>
      </c>
    </row>
    <row r="271">
      <c r="A271" s="1" t="s">
        <v>1046</v>
      </c>
      <c r="B271" s="7" t="s">
        <v>1047</v>
      </c>
      <c r="C271" s="2" t="s">
        <v>1048</v>
      </c>
      <c r="D271" s="7" t="s">
        <v>117</v>
      </c>
      <c r="E271" s="16"/>
      <c r="F271" s="16"/>
      <c r="G271" s="16"/>
      <c r="H271" s="17"/>
      <c r="I271" s="12"/>
      <c r="J271" s="12"/>
      <c r="K271" s="12"/>
      <c r="L271" s="12"/>
      <c r="M271" s="18" t="str">
        <f t="shared" si="1"/>
        <v>#DIV/0!</v>
      </c>
      <c r="N271" s="18" t="str">
        <f t="shared" si="2"/>
        <v>#DIV/0!</v>
      </c>
      <c r="O271" s="18" t="str">
        <f>IFERROR(__xludf.DUMMYFUNCTION("INT(FILTER(GT(F271,0),ISNUMBER(F271)))"),"#N/A")</f>
        <v>#N/A</v>
      </c>
      <c r="P271" s="18" t="str">
        <f t="shared" si="3"/>
        <v>#DIV/0!</v>
      </c>
      <c r="Q271" s="18" t="str">
        <f>IFERROR(__xludf.DUMMYFUNCTION("INT(FILTER(EQ(E271,F271),ISNUMBER(E271),ISNUMBER(F271)))"),"#N/A")</f>
        <v>#N/A</v>
      </c>
    </row>
    <row r="272">
      <c r="A272" s="1" t="s">
        <v>1049</v>
      </c>
      <c r="B272" s="7" t="s">
        <v>1050</v>
      </c>
      <c r="C272" s="2" t="s">
        <v>1051</v>
      </c>
      <c r="D272" s="7" t="s">
        <v>1052</v>
      </c>
      <c r="E272" s="16"/>
      <c r="F272" s="16"/>
      <c r="G272" s="16"/>
      <c r="H272" s="17"/>
      <c r="I272" s="12"/>
      <c r="J272" s="12"/>
      <c r="K272" s="12"/>
      <c r="L272" s="12"/>
      <c r="M272" s="18" t="str">
        <f t="shared" si="1"/>
        <v>#DIV/0!</v>
      </c>
      <c r="N272" s="18" t="str">
        <f t="shared" si="2"/>
        <v>#DIV/0!</v>
      </c>
      <c r="O272" s="18" t="str">
        <f>IFERROR(__xludf.DUMMYFUNCTION("INT(FILTER(GT(F272,0),ISNUMBER(F272)))"),"#N/A")</f>
        <v>#N/A</v>
      </c>
      <c r="P272" s="18" t="str">
        <f t="shared" si="3"/>
        <v>#DIV/0!</v>
      </c>
      <c r="Q272" s="18" t="str">
        <f>IFERROR(__xludf.DUMMYFUNCTION("INT(FILTER(EQ(E272,F272),ISNUMBER(E272),ISNUMBER(F272)))"),"#N/A")</f>
        <v>#N/A</v>
      </c>
    </row>
    <row r="273">
      <c r="A273" s="1" t="s">
        <v>1053</v>
      </c>
      <c r="B273" s="7" t="s">
        <v>1054</v>
      </c>
      <c r="C273" s="2" t="s">
        <v>1055</v>
      </c>
      <c r="D273" s="7" t="s">
        <v>1056</v>
      </c>
      <c r="E273" s="16"/>
      <c r="F273" s="16"/>
      <c r="G273" s="16"/>
      <c r="H273" s="17"/>
      <c r="I273" s="12"/>
      <c r="J273" s="12"/>
      <c r="K273" s="12"/>
      <c r="L273" s="12"/>
      <c r="M273" s="18" t="str">
        <f t="shared" si="1"/>
        <v>#DIV/0!</v>
      </c>
      <c r="N273" s="18" t="str">
        <f t="shared" si="2"/>
        <v>#DIV/0!</v>
      </c>
      <c r="O273" s="18" t="str">
        <f>IFERROR(__xludf.DUMMYFUNCTION("INT(FILTER(GT(F273,0),ISNUMBER(F273)))"),"#N/A")</f>
        <v>#N/A</v>
      </c>
      <c r="P273" s="18" t="str">
        <f t="shared" si="3"/>
        <v>#DIV/0!</v>
      </c>
      <c r="Q273" s="18" t="str">
        <f>IFERROR(__xludf.DUMMYFUNCTION("INT(FILTER(EQ(E273,F273),ISNUMBER(E273),ISNUMBER(F273)))"),"#N/A")</f>
        <v>#N/A</v>
      </c>
    </row>
    <row r="274">
      <c r="A274" s="1" t="s">
        <v>1057</v>
      </c>
      <c r="B274" s="7" t="s">
        <v>1058</v>
      </c>
      <c r="C274" s="2" t="s">
        <v>1059</v>
      </c>
      <c r="D274" s="1" t="s">
        <v>864</v>
      </c>
      <c r="E274" s="16"/>
      <c r="F274" s="16"/>
      <c r="G274" s="16"/>
      <c r="H274" s="17"/>
      <c r="I274" s="12"/>
      <c r="J274" s="12"/>
      <c r="K274" s="12"/>
      <c r="L274" s="12"/>
      <c r="M274" s="18" t="str">
        <f t="shared" si="1"/>
        <v>#DIV/0!</v>
      </c>
      <c r="N274" s="18" t="str">
        <f t="shared" si="2"/>
        <v>#DIV/0!</v>
      </c>
      <c r="O274" s="18" t="str">
        <f>IFERROR(__xludf.DUMMYFUNCTION("INT(FILTER(GT(F274,0),ISNUMBER(F274)))"),"#N/A")</f>
        <v>#N/A</v>
      </c>
      <c r="P274" s="18" t="str">
        <f t="shared" si="3"/>
        <v>#DIV/0!</v>
      </c>
      <c r="Q274" s="18" t="str">
        <f>IFERROR(__xludf.DUMMYFUNCTION("INT(FILTER(EQ(E274,F274),ISNUMBER(E274),ISNUMBER(F274)))"),"#N/A")</f>
        <v>#N/A</v>
      </c>
    </row>
    <row r="275">
      <c r="A275" s="1" t="s">
        <v>1060</v>
      </c>
      <c r="B275" s="7" t="s">
        <v>1061</v>
      </c>
      <c r="C275" s="2" t="s">
        <v>1062</v>
      </c>
      <c r="D275" s="1" t="s">
        <v>1063</v>
      </c>
      <c r="E275" s="16"/>
      <c r="F275" s="16"/>
      <c r="G275" s="16"/>
      <c r="H275" s="17"/>
      <c r="I275" s="12"/>
      <c r="J275" s="12"/>
      <c r="K275" s="12"/>
      <c r="L275" s="12"/>
      <c r="M275" s="18" t="str">
        <f t="shared" si="1"/>
        <v>#DIV/0!</v>
      </c>
      <c r="N275" s="18" t="str">
        <f t="shared" si="2"/>
        <v>#DIV/0!</v>
      </c>
      <c r="O275" s="18" t="str">
        <f>IFERROR(__xludf.DUMMYFUNCTION("INT(FILTER(GT(F275,0),ISNUMBER(F275)))"),"#N/A")</f>
        <v>#N/A</v>
      </c>
      <c r="P275" s="18" t="str">
        <f t="shared" si="3"/>
        <v>#DIV/0!</v>
      </c>
      <c r="Q275" s="18" t="str">
        <f>IFERROR(__xludf.DUMMYFUNCTION("INT(FILTER(EQ(E275,F275),ISNUMBER(E275),ISNUMBER(F275)))"),"#N/A")</f>
        <v>#N/A</v>
      </c>
    </row>
    <row r="276">
      <c r="A276" s="1" t="s">
        <v>1064</v>
      </c>
      <c r="B276" s="7" t="s">
        <v>1065</v>
      </c>
      <c r="C276" s="2" t="s">
        <v>1066</v>
      </c>
      <c r="D276" s="1" t="s">
        <v>1067</v>
      </c>
      <c r="E276" s="16"/>
      <c r="F276" s="16"/>
      <c r="G276" s="16"/>
      <c r="H276" s="17"/>
      <c r="I276" s="12"/>
      <c r="J276" s="12"/>
      <c r="K276" s="12"/>
      <c r="L276" s="12"/>
      <c r="M276" s="18" t="str">
        <f t="shared" si="1"/>
        <v>#DIV/0!</v>
      </c>
      <c r="N276" s="18" t="str">
        <f t="shared" si="2"/>
        <v>#DIV/0!</v>
      </c>
      <c r="O276" s="18" t="str">
        <f>IFERROR(__xludf.DUMMYFUNCTION("INT(FILTER(GT(F276,0),ISNUMBER(F276)))"),"#N/A")</f>
        <v>#N/A</v>
      </c>
      <c r="P276" s="18" t="str">
        <f t="shared" si="3"/>
        <v>#DIV/0!</v>
      </c>
      <c r="Q276" s="18" t="str">
        <f>IFERROR(__xludf.DUMMYFUNCTION("INT(FILTER(EQ(E276,F276),ISNUMBER(E276),ISNUMBER(F276)))"),"#N/A")</f>
        <v>#N/A</v>
      </c>
    </row>
    <row r="277">
      <c r="A277" s="1" t="s">
        <v>1068</v>
      </c>
      <c r="B277" s="7" t="s">
        <v>1069</v>
      </c>
      <c r="C277" s="2" t="s">
        <v>1070</v>
      </c>
      <c r="D277" s="1" t="s">
        <v>1071</v>
      </c>
      <c r="E277" s="16"/>
      <c r="F277" s="16"/>
      <c r="G277" s="16"/>
      <c r="H277" s="17"/>
      <c r="I277" s="12"/>
      <c r="J277" s="12"/>
      <c r="K277" s="12"/>
      <c r="L277" s="12"/>
      <c r="M277" s="18" t="str">
        <f t="shared" si="1"/>
        <v>#DIV/0!</v>
      </c>
      <c r="N277" s="18" t="str">
        <f t="shared" si="2"/>
        <v>#DIV/0!</v>
      </c>
      <c r="O277" s="18" t="str">
        <f>IFERROR(__xludf.DUMMYFUNCTION("INT(FILTER(GT(F277,0),ISNUMBER(F277)))"),"#N/A")</f>
        <v>#N/A</v>
      </c>
      <c r="P277" s="18" t="str">
        <f t="shared" si="3"/>
        <v>#DIV/0!</v>
      </c>
      <c r="Q277" s="18" t="str">
        <f>IFERROR(__xludf.DUMMYFUNCTION("INT(FILTER(EQ(E277,F277),ISNUMBER(E277),ISNUMBER(F277)))"),"#N/A")</f>
        <v>#N/A</v>
      </c>
    </row>
    <row r="278">
      <c r="A278" s="1" t="s">
        <v>1072</v>
      </c>
      <c r="B278" s="7" t="s">
        <v>1073</v>
      </c>
      <c r="C278" s="2" t="s">
        <v>1074</v>
      </c>
      <c r="D278" s="7" t="s">
        <v>1075</v>
      </c>
      <c r="E278" s="16"/>
      <c r="F278" s="16"/>
      <c r="G278" s="16"/>
      <c r="H278" s="17"/>
      <c r="I278" s="12"/>
      <c r="J278" s="12"/>
      <c r="K278" s="12"/>
      <c r="L278" s="12"/>
      <c r="M278" s="18" t="str">
        <f t="shared" si="1"/>
        <v>#DIV/0!</v>
      </c>
      <c r="N278" s="18" t="str">
        <f t="shared" si="2"/>
        <v>#DIV/0!</v>
      </c>
      <c r="O278" s="18" t="str">
        <f>IFERROR(__xludf.DUMMYFUNCTION("INT(FILTER(GT(F278,0),ISNUMBER(F278)))"),"#N/A")</f>
        <v>#N/A</v>
      </c>
      <c r="P278" s="18" t="str">
        <f t="shared" si="3"/>
        <v>#DIV/0!</v>
      </c>
      <c r="Q278" s="18" t="str">
        <f>IFERROR(__xludf.DUMMYFUNCTION("INT(FILTER(EQ(E278,F278),ISNUMBER(E278),ISNUMBER(F278)))"),"#N/A")</f>
        <v>#N/A</v>
      </c>
    </row>
    <row r="279">
      <c r="A279" s="1" t="s">
        <v>1076</v>
      </c>
      <c r="B279" s="7" t="s">
        <v>1077</v>
      </c>
      <c r="C279" s="2" t="s">
        <v>1078</v>
      </c>
      <c r="D279" s="1" t="s">
        <v>1079</v>
      </c>
      <c r="E279" s="16"/>
      <c r="F279" s="16"/>
      <c r="G279" s="16"/>
      <c r="H279" s="17"/>
      <c r="I279" s="12"/>
      <c r="J279" s="12"/>
      <c r="K279" s="12"/>
      <c r="L279" s="12"/>
      <c r="M279" s="18" t="str">
        <f t="shared" si="1"/>
        <v>#DIV/0!</v>
      </c>
      <c r="N279" s="18" t="str">
        <f t="shared" si="2"/>
        <v>#DIV/0!</v>
      </c>
      <c r="O279" s="18" t="str">
        <f>IFERROR(__xludf.DUMMYFUNCTION("INT(FILTER(GT(F279,0),ISNUMBER(F279)))"),"#N/A")</f>
        <v>#N/A</v>
      </c>
      <c r="P279" s="18" t="str">
        <f t="shared" si="3"/>
        <v>#DIV/0!</v>
      </c>
      <c r="Q279" s="18" t="str">
        <f>IFERROR(__xludf.DUMMYFUNCTION("INT(FILTER(EQ(E279,F279),ISNUMBER(E279),ISNUMBER(F279)))"),"#N/A")</f>
        <v>#N/A</v>
      </c>
    </row>
    <row r="280">
      <c r="A280" s="1" t="s">
        <v>1080</v>
      </c>
      <c r="B280" s="7" t="s">
        <v>1081</v>
      </c>
      <c r="C280" s="2" t="s">
        <v>1082</v>
      </c>
      <c r="D280" s="7" t="s">
        <v>1083</v>
      </c>
      <c r="E280" s="16"/>
      <c r="F280" s="16"/>
      <c r="G280" s="16"/>
      <c r="H280" s="17"/>
      <c r="I280" s="12"/>
      <c r="J280" s="12"/>
      <c r="K280" s="12"/>
      <c r="L280" s="12"/>
      <c r="M280" s="18" t="str">
        <f t="shared" si="1"/>
        <v>#DIV/0!</v>
      </c>
      <c r="N280" s="18" t="str">
        <f t="shared" si="2"/>
        <v>#DIV/0!</v>
      </c>
      <c r="O280" s="18" t="str">
        <f>IFERROR(__xludf.DUMMYFUNCTION("INT(FILTER(GT(F280,0),ISNUMBER(F280)))"),"#N/A")</f>
        <v>#N/A</v>
      </c>
      <c r="P280" s="18" t="str">
        <f t="shared" si="3"/>
        <v>#DIV/0!</v>
      </c>
      <c r="Q280" s="18" t="str">
        <f>IFERROR(__xludf.DUMMYFUNCTION("INT(FILTER(EQ(E280,F280),ISNUMBER(E280),ISNUMBER(F280)))"),"#N/A")</f>
        <v>#N/A</v>
      </c>
    </row>
    <row r="281">
      <c r="A281" s="1" t="s">
        <v>1084</v>
      </c>
      <c r="B281" s="7" t="s">
        <v>1085</v>
      </c>
      <c r="C281" s="2" t="s">
        <v>1086</v>
      </c>
      <c r="D281" s="1" t="s">
        <v>1087</v>
      </c>
      <c r="E281" s="16"/>
      <c r="F281" s="16"/>
      <c r="G281" s="16"/>
      <c r="H281" s="17"/>
      <c r="I281" s="12"/>
      <c r="J281" s="12"/>
      <c r="K281" s="12"/>
      <c r="L281" s="12"/>
      <c r="M281" s="18" t="str">
        <f t="shared" si="1"/>
        <v>#DIV/0!</v>
      </c>
      <c r="N281" s="18" t="str">
        <f t="shared" si="2"/>
        <v>#DIV/0!</v>
      </c>
      <c r="O281" s="18" t="str">
        <f>IFERROR(__xludf.DUMMYFUNCTION("INT(FILTER(GT(F281,0),ISNUMBER(F281)))"),"#N/A")</f>
        <v>#N/A</v>
      </c>
      <c r="P281" s="18" t="str">
        <f t="shared" si="3"/>
        <v>#DIV/0!</v>
      </c>
      <c r="Q281" s="18" t="str">
        <f>IFERROR(__xludf.DUMMYFUNCTION("INT(FILTER(EQ(E281,F281),ISNUMBER(E281),ISNUMBER(F281)))"),"#N/A")</f>
        <v>#N/A</v>
      </c>
    </row>
    <row r="282">
      <c r="A282" s="1" t="s">
        <v>1088</v>
      </c>
      <c r="B282" s="7" t="s">
        <v>1089</v>
      </c>
      <c r="C282" s="2" t="s">
        <v>1090</v>
      </c>
      <c r="D282" s="1" t="s">
        <v>1091</v>
      </c>
      <c r="E282" s="16"/>
      <c r="F282" s="16"/>
      <c r="G282" s="16"/>
      <c r="H282" s="17"/>
      <c r="I282" s="12"/>
      <c r="J282" s="12"/>
      <c r="K282" s="12"/>
      <c r="L282" s="12"/>
      <c r="M282" s="18" t="str">
        <f t="shared" si="1"/>
        <v>#DIV/0!</v>
      </c>
      <c r="N282" s="18" t="str">
        <f t="shared" si="2"/>
        <v>#DIV/0!</v>
      </c>
      <c r="O282" s="18" t="str">
        <f>IFERROR(__xludf.DUMMYFUNCTION("INT(FILTER(GT(F282,0),ISNUMBER(F282)))"),"#N/A")</f>
        <v>#N/A</v>
      </c>
      <c r="P282" s="18" t="str">
        <f t="shared" si="3"/>
        <v>#DIV/0!</v>
      </c>
      <c r="Q282" s="18" t="str">
        <f>IFERROR(__xludf.DUMMYFUNCTION("INT(FILTER(EQ(E282,F282),ISNUMBER(E282),ISNUMBER(F282)))"),"#N/A")</f>
        <v>#N/A</v>
      </c>
    </row>
    <row r="283">
      <c r="A283" s="1" t="s">
        <v>1092</v>
      </c>
      <c r="B283" s="7" t="s">
        <v>1093</v>
      </c>
      <c r="C283" s="2" t="s">
        <v>565</v>
      </c>
      <c r="D283" s="7" t="s">
        <v>566</v>
      </c>
      <c r="E283" s="16"/>
      <c r="F283" s="16"/>
      <c r="G283" s="16"/>
      <c r="H283" s="17"/>
      <c r="I283" s="12"/>
      <c r="J283" s="12"/>
      <c r="K283" s="12"/>
      <c r="L283" s="12"/>
      <c r="M283" s="18" t="str">
        <f t="shared" si="1"/>
        <v>#DIV/0!</v>
      </c>
      <c r="N283" s="18" t="str">
        <f t="shared" si="2"/>
        <v>#DIV/0!</v>
      </c>
      <c r="O283" s="18" t="str">
        <f>IFERROR(__xludf.DUMMYFUNCTION("INT(FILTER(GT(F283,0),ISNUMBER(F283)))"),"#N/A")</f>
        <v>#N/A</v>
      </c>
      <c r="P283" s="18" t="str">
        <f t="shared" si="3"/>
        <v>#DIV/0!</v>
      </c>
      <c r="Q283" s="18" t="str">
        <f>IFERROR(__xludf.DUMMYFUNCTION("INT(FILTER(EQ(E283,F283),ISNUMBER(E283),ISNUMBER(F283)))"),"#N/A")</f>
        <v>#N/A</v>
      </c>
    </row>
    <row r="284">
      <c r="A284" s="1" t="s">
        <v>1094</v>
      </c>
      <c r="B284" s="7" t="s">
        <v>1095</v>
      </c>
      <c r="C284" s="2" t="s">
        <v>1096</v>
      </c>
      <c r="D284" s="1" t="s">
        <v>1097</v>
      </c>
      <c r="E284" s="16"/>
      <c r="F284" s="16"/>
      <c r="G284" s="16"/>
      <c r="H284" s="17"/>
      <c r="I284" s="12"/>
      <c r="J284" s="12"/>
      <c r="K284" s="12"/>
      <c r="L284" s="12"/>
      <c r="M284" s="18" t="str">
        <f t="shared" si="1"/>
        <v>#DIV/0!</v>
      </c>
      <c r="N284" s="18" t="str">
        <f t="shared" si="2"/>
        <v>#DIV/0!</v>
      </c>
      <c r="O284" s="18" t="str">
        <f>IFERROR(__xludf.DUMMYFUNCTION("INT(FILTER(GT(F284,0),ISNUMBER(F284)))"),"#N/A")</f>
        <v>#N/A</v>
      </c>
      <c r="P284" s="18" t="str">
        <f t="shared" si="3"/>
        <v>#DIV/0!</v>
      </c>
      <c r="Q284" s="18" t="str">
        <f>IFERROR(__xludf.DUMMYFUNCTION("INT(FILTER(EQ(E284,F284),ISNUMBER(E284),ISNUMBER(F284)))"),"#N/A")</f>
        <v>#N/A</v>
      </c>
    </row>
    <row r="285">
      <c r="A285" s="1" t="s">
        <v>1098</v>
      </c>
      <c r="B285" s="7" t="s">
        <v>1099</v>
      </c>
      <c r="C285" s="2" t="s">
        <v>1100</v>
      </c>
      <c r="D285" s="7" t="s">
        <v>1101</v>
      </c>
      <c r="E285" s="16"/>
      <c r="F285" s="16"/>
      <c r="G285" s="16"/>
      <c r="H285" s="17"/>
      <c r="I285" s="12"/>
      <c r="J285" s="12"/>
      <c r="K285" s="12"/>
      <c r="L285" s="12"/>
      <c r="M285" s="18" t="str">
        <f t="shared" si="1"/>
        <v>#DIV/0!</v>
      </c>
      <c r="N285" s="18" t="str">
        <f t="shared" si="2"/>
        <v>#DIV/0!</v>
      </c>
      <c r="O285" s="18" t="str">
        <f>IFERROR(__xludf.DUMMYFUNCTION("INT(FILTER(GT(F285,0),ISNUMBER(F285)))"),"#N/A")</f>
        <v>#N/A</v>
      </c>
      <c r="P285" s="18" t="str">
        <f t="shared" si="3"/>
        <v>#DIV/0!</v>
      </c>
      <c r="Q285" s="18" t="str">
        <f>IFERROR(__xludf.DUMMYFUNCTION("INT(FILTER(EQ(E285,F285),ISNUMBER(E285),ISNUMBER(F285)))"),"#N/A")</f>
        <v>#N/A</v>
      </c>
    </row>
    <row r="286">
      <c r="A286" s="1" t="s">
        <v>1102</v>
      </c>
      <c r="B286" s="7" t="s">
        <v>1103</v>
      </c>
      <c r="C286" s="2" t="s">
        <v>1104</v>
      </c>
      <c r="D286" s="7" t="s">
        <v>1105</v>
      </c>
      <c r="E286" s="16"/>
      <c r="F286" s="16"/>
      <c r="G286" s="16"/>
      <c r="H286" s="17"/>
      <c r="I286" s="12"/>
      <c r="J286" s="12"/>
      <c r="K286" s="12"/>
      <c r="L286" s="12"/>
      <c r="M286" s="18" t="str">
        <f t="shared" si="1"/>
        <v>#DIV/0!</v>
      </c>
      <c r="N286" s="18" t="str">
        <f t="shared" si="2"/>
        <v>#DIV/0!</v>
      </c>
      <c r="O286" s="18" t="str">
        <f>IFERROR(__xludf.DUMMYFUNCTION("INT(FILTER(GT(F286,0),ISNUMBER(F286)))"),"#N/A")</f>
        <v>#N/A</v>
      </c>
      <c r="P286" s="18" t="str">
        <f t="shared" si="3"/>
        <v>#DIV/0!</v>
      </c>
      <c r="Q286" s="18" t="str">
        <f>IFERROR(__xludf.DUMMYFUNCTION("INT(FILTER(EQ(E286,F286),ISNUMBER(E286),ISNUMBER(F286)))"),"#N/A")</f>
        <v>#N/A</v>
      </c>
    </row>
    <row r="287">
      <c r="A287" s="1" t="s">
        <v>1106</v>
      </c>
      <c r="B287" s="7" t="s">
        <v>1107</v>
      </c>
      <c r="C287" s="2" t="s">
        <v>1108</v>
      </c>
      <c r="D287" s="7" t="s">
        <v>1109</v>
      </c>
      <c r="E287" s="16"/>
      <c r="F287" s="16"/>
      <c r="G287" s="16"/>
      <c r="H287" s="17"/>
      <c r="I287" s="12"/>
      <c r="J287" s="12"/>
      <c r="K287" s="12"/>
      <c r="L287" s="12"/>
      <c r="M287" s="18" t="str">
        <f t="shared" si="1"/>
        <v>#DIV/0!</v>
      </c>
      <c r="N287" s="18" t="str">
        <f t="shared" si="2"/>
        <v>#DIV/0!</v>
      </c>
      <c r="O287" s="18" t="str">
        <f>IFERROR(__xludf.DUMMYFUNCTION("INT(FILTER(GT(F287,0),ISNUMBER(F287)))"),"#N/A")</f>
        <v>#N/A</v>
      </c>
      <c r="P287" s="18" t="str">
        <f t="shared" si="3"/>
        <v>#DIV/0!</v>
      </c>
      <c r="Q287" s="18" t="str">
        <f>IFERROR(__xludf.DUMMYFUNCTION("INT(FILTER(EQ(E287,F287),ISNUMBER(E287),ISNUMBER(F287)))"),"#N/A")</f>
        <v>#N/A</v>
      </c>
    </row>
    <row r="288">
      <c r="A288" s="1" t="s">
        <v>1110</v>
      </c>
      <c r="B288" s="7" t="s">
        <v>1111</v>
      </c>
      <c r="C288" s="2" t="s">
        <v>1112</v>
      </c>
      <c r="D288" s="7" t="s">
        <v>1113</v>
      </c>
      <c r="E288" s="16"/>
      <c r="F288" s="16"/>
      <c r="G288" s="16"/>
      <c r="H288" s="17"/>
      <c r="I288" s="12"/>
      <c r="J288" s="12"/>
      <c r="K288" s="12"/>
      <c r="L288" s="12"/>
      <c r="M288" s="18" t="str">
        <f t="shared" si="1"/>
        <v>#DIV/0!</v>
      </c>
      <c r="N288" s="18" t="str">
        <f t="shared" si="2"/>
        <v>#DIV/0!</v>
      </c>
      <c r="O288" s="18" t="str">
        <f>IFERROR(__xludf.DUMMYFUNCTION("INT(FILTER(GT(F288,0),ISNUMBER(F288)))"),"#N/A")</f>
        <v>#N/A</v>
      </c>
      <c r="P288" s="18" t="str">
        <f t="shared" si="3"/>
        <v>#DIV/0!</v>
      </c>
      <c r="Q288" s="18" t="str">
        <f>IFERROR(__xludf.DUMMYFUNCTION("INT(FILTER(EQ(E288,F288),ISNUMBER(E288),ISNUMBER(F288)))"),"#N/A")</f>
        <v>#N/A</v>
      </c>
    </row>
    <row r="289">
      <c r="A289" s="1" t="s">
        <v>1114</v>
      </c>
      <c r="B289" s="7" t="s">
        <v>1115</v>
      </c>
      <c r="C289" s="2" t="s">
        <v>1116</v>
      </c>
      <c r="D289" s="7" t="s">
        <v>1117</v>
      </c>
      <c r="E289" s="16"/>
      <c r="F289" s="16"/>
      <c r="G289" s="16"/>
      <c r="H289" s="17"/>
      <c r="I289" s="12"/>
      <c r="J289" s="12"/>
      <c r="K289" s="12"/>
      <c r="L289" s="12"/>
      <c r="M289" s="18" t="str">
        <f t="shared" si="1"/>
        <v>#DIV/0!</v>
      </c>
      <c r="N289" s="18" t="str">
        <f t="shared" si="2"/>
        <v>#DIV/0!</v>
      </c>
      <c r="O289" s="18" t="str">
        <f>IFERROR(__xludf.DUMMYFUNCTION("INT(FILTER(GT(F289,0),ISNUMBER(F289)))"),"#N/A")</f>
        <v>#N/A</v>
      </c>
      <c r="P289" s="18" t="str">
        <f t="shared" si="3"/>
        <v>#DIV/0!</v>
      </c>
      <c r="Q289" s="18" t="str">
        <f>IFERROR(__xludf.DUMMYFUNCTION("INT(FILTER(EQ(E289,F289),ISNUMBER(E289),ISNUMBER(F289)))"),"#N/A")</f>
        <v>#N/A</v>
      </c>
    </row>
    <row r="290">
      <c r="A290" s="1" t="s">
        <v>1118</v>
      </c>
      <c r="B290" s="7" t="s">
        <v>1119</v>
      </c>
      <c r="C290" s="2" t="s">
        <v>1120</v>
      </c>
      <c r="D290" s="1" t="s">
        <v>1121</v>
      </c>
      <c r="E290" s="16"/>
      <c r="F290" s="16"/>
      <c r="G290" s="16"/>
      <c r="H290" s="17"/>
      <c r="I290" s="12"/>
      <c r="J290" s="12"/>
      <c r="K290" s="12"/>
      <c r="L290" s="12"/>
      <c r="M290" s="18" t="str">
        <f t="shared" si="1"/>
        <v>#DIV/0!</v>
      </c>
      <c r="N290" s="18" t="str">
        <f t="shared" si="2"/>
        <v>#DIV/0!</v>
      </c>
      <c r="O290" s="18" t="str">
        <f>IFERROR(__xludf.DUMMYFUNCTION("INT(FILTER(GT(F290,0),ISNUMBER(F290)))"),"#N/A")</f>
        <v>#N/A</v>
      </c>
      <c r="P290" s="18" t="str">
        <f t="shared" si="3"/>
        <v>#DIV/0!</v>
      </c>
      <c r="Q290" s="18" t="str">
        <f>IFERROR(__xludf.DUMMYFUNCTION("INT(FILTER(EQ(E290,F290),ISNUMBER(E290),ISNUMBER(F290)))"),"#N/A")</f>
        <v>#N/A</v>
      </c>
    </row>
    <row r="291">
      <c r="A291" s="1" t="s">
        <v>1122</v>
      </c>
      <c r="B291" s="7" t="s">
        <v>1123</v>
      </c>
      <c r="C291" s="2" t="s">
        <v>1124</v>
      </c>
      <c r="D291" s="7" t="s">
        <v>1125</v>
      </c>
      <c r="E291" s="16"/>
      <c r="F291" s="16"/>
      <c r="G291" s="16"/>
      <c r="H291" s="17"/>
      <c r="I291" s="12"/>
      <c r="J291" s="12"/>
      <c r="K291" s="12"/>
      <c r="L291" s="12"/>
      <c r="M291" s="18" t="str">
        <f t="shared" si="1"/>
        <v>#DIV/0!</v>
      </c>
      <c r="N291" s="18" t="str">
        <f t="shared" si="2"/>
        <v>#DIV/0!</v>
      </c>
      <c r="O291" s="18" t="str">
        <f>IFERROR(__xludf.DUMMYFUNCTION("INT(FILTER(GT(F291,0),ISNUMBER(F291)))"),"#N/A")</f>
        <v>#N/A</v>
      </c>
      <c r="P291" s="18" t="str">
        <f t="shared" si="3"/>
        <v>#DIV/0!</v>
      </c>
      <c r="Q291" s="18" t="str">
        <f>IFERROR(__xludf.DUMMYFUNCTION("INT(FILTER(EQ(E291,F291),ISNUMBER(E291),ISNUMBER(F291)))"),"#N/A")</f>
        <v>#N/A</v>
      </c>
    </row>
    <row r="292">
      <c r="A292" s="1" t="s">
        <v>1126</v>
      </c>
      <c r="B292" s="7" t="s">
        <v>1127</v>
      </c>
      <c r="C292" s="2" t="s">
        <v>1128</v>
      </c>
      <c r="D292" s="1" t="s">
        <v>1129</v>
      </c>
      <c r="E292" s="16"/>
      <c r="F292" s="16"/>
      <c r="G292" s="16"/>
      <c r="H292" s="17"/>
      <c r="I292" s="12"/>
      <c r="J292" s="12"/>
      <c r="K292" s="12"/>
      <c r="L292" s="12"/>
      <c r="M292" s="18" t="str">
        <f t="shared" si="1"/>
        <v>#DIV/0!</v>
      </c>
      <c r="N292" s="18" t="str">
        <f t="shared" si="2"/>
        <v>#DIV/0!</v>
      </c>
      <c r="O292" s="18" t="str">
        <f>IFERROR(__xludf.DUMMYFUNCTION("INT(FILTER(GT(F292,0),ISNUMBER(F292)))"),"#N/A")</f>
        <v>#N/A</v>
      </c>
      <c r="P292" s="18" t="str">
        <f t="shared" si="3"/>
        <v>#DIV/0!</v>
      </c>
      <c r="Q292" s="18" t="str">
        <f>IFERROR(__xludf.DUMMYFUNCTION("INT(FILTER(EQ(E292,F292),ISNUMBER(E292),ISNUMBER(F292)))"),"#N/A")</f>
        <v>#N/A</v>
      </c>
    </row>
    <row r="293">
      <c r="A293" s="1" t="s">
        <v>1130</v>
      </c>
      <c r="B293" s="7" t="s">
        <v>1131</v>
      </c>
      <c r="C293" s="2" t="s">
        <v>1132</v>
      </c>
      <c r="D293" s="7" t="s">
        <v>1117</v>
      </c>
      <c r="E293" s="16"/>
      <c r="F293" s="16"/>
      <c r="G293" s="16"/>
      <c r="H293" s="17"/>
      <c r="I293" s="12"/>
      <c r="J293" s="12"/>
      <c r="K293" s="12"/>
      <c r="L293" s="12"/>
      <c r="M293" s="18" t="str">
        <f t="shared" si="1"/>
        <v>#DIV/0!</v>
      </c>
      <c r="N293" s="18" t="str">
        <f t="shared" si="2"/>
        <v>#DIV/0!</v>
      </c>
      <c r="O293" s="18" t="str">
        <f>IFERROR(__xludf.DUMMYFUNCTION("INT(FILTER(GT(F293,0),ISNUMBER(F293)))"),"#N/A")</f>
        <v>#N/A</v>
      </c>
      <c r="P293" s="18" t="str">
        <f t="shared" si="3"/>
        <v>#DIV/0!</v>
      </c>
      <c r="Q293" s="18" t="str">
        <f>IFERROR(__xludf.DUMMYFUNCTION("INT(FILTER(EQ(E293,F293),ISNUMBER(E293),ISNUMBER(F293)))"),"#N/A")</f>
        <v>#N/A</v>
      </c>
    </row>
    <row r="294">
      <c r="A294" s="1" t="s">
        <v>1133</v>
      </c>
      <c r="B294" s="7" t="s">
        <v>1134</v>
      </c>
      <c r="C294" s="2" t="s">
        <v>1135</v>
      </c>
      <c r="D294" s="1" t="s">
        <v>1136</v>
      </c>
      <c r="E294" s="16"/>
      <c r="F294" s="16"/>
      <c r="G294" s="16"/>
      <c r="H294" s="17"/>
      <c r="I294" s="12"/>
      <c r="J294" s="12"/>
      <c r="K294" s="12"/>
      <c r="L294" s="12"/>
      <c r="M294" s="18" t="str">
        <f t="shared" si="1"/>
        <v>#DIV/0!</v>
      </c>
      <c r="N294" s="18" t="str">
        <f t="shared" si="2"/>
        <v>#DIV/0!</v>
      </c>
      <c r="O294" s="18" t="str">
        <f>IFERROR(__xludf.DUMMYFUNCTION("INT(FILTER(GT(F294,0),ISNUMBER(F294)))"),"#N/A")</f>
        <v>#N/A</v>
      </c>
      <c r="P294" s="18" t="str">
        <f t="shared" si="3"/>
        <v>#DIV/0!</v>
      </c>
      <c r="Q294" s="18" t="str">
        <f>IFERROR(__xludf.DUMMYFUNCTION("INT(FILTER(EQ(E294,F294),ISNUMBER(E294),ISNUMBER(F294)))"),"#N/A")</f>
        <v>#N/A</v>
      </c>
    </row>
    <row r="295">
      <c r="A295" s="1" t="s">
        <v>1137</v>
      </c>
      <c r="B295" s="7" t="s">
        <v>1138</v>
      </c>
      <c r="C295" s="2" t="s">
        <v>1139</v>
      </c>
      <c r="D295" s="7" t="s">
        <v>1140</v>
      </c>
      <c r="E295" s="16"/>
      <c r="F295" s="16"/>
      <c r="G295" s="16"/>
      <c r="H295" s="17"/>
      <c r="I295" s="12"/>
      <c r="J295" s="12"/>
      <c r="K295" s="12"/>
      <c r="L295" s="12"/>
      <c r="M295" s="18" t="str">
        <f t="shared" si="1"/>
        <v>#DIV/0!</v>
      </c>
      <c r="N295" s="18" t="str">
        <f t="shared" si="2"/>
        <v>#DIV/0!</v>
      </c>
      <c r="O295" s="18" t="str">
        <f>IFERROR(__xludf.DUMMYFUNCTION("INT(FILTER(GT(F295,0),ISNUMBER(F295)))"),"#N/A")</f>
        <v>#N/A</v>
      </c>
      <c r="P295" s="18" t="str">
        <f t="shared" si="3"/>
        <v>#DIV/0!</v>
      </c>
      <c r="Q295" s="18" t="str">
        <f>IFERROR(__xludf.DUMMYFUNCTION("INT(FILTER(EQ(E295,F295),ISNUMBER(E295),ISNUMBER(F295)))"),"#N/A")</f>
        <v>#N/A</v>
      </c>
    </row>
    <row r="296">
      <c r="A296" s="1" t="s">
        <v>1141</v>
      </c>
      <c r="B296" s="7" t="s">
        <v>1142</v>
      </c>
      <c r="C296" s="2" t="s">
        <v>1143</v>
      </c>
      <c r="D296" s="7" t="s">
        <v>137</v>
      </c>
      <c r="E296" s="16"/>
      <c r="F296" s="16"/>
      <c r="G296" s="16"/>
      <c r="H296" s="17"/>
      <c r="I296" s="12"/>
      <c r="J296" s="12"/>
      <c r="K296" s="12"/>
      <c r="L296" s="12"/>
      <c r="M296" s="18" t="str">
        <f t="shared" si="1"/>
        <v>#DIV/0!</v>
      </c>
      <c r="N296" s="18" t="str">
        <f t="shared" si="2"/>
        <v>#DIV/0!</v>
      </c>
      <c r="O296" s="18" t="str">
        <f>IFERROR(__xludf.DUMMYFUNCTION("INT(FILTER(GT(F296,0),ISNUMBER(F296)))"),"#N/A")</f>
        <v>#N/A</v>
      </c>
      <c r="P296" s="18" t="str">
        <f t="shared" si="3"/>
        <v>#DIV/0!</v>
      </c>
      <c r="Q296" s="18" t="str">
        <f>IFERROR(__xludf.DUMMYFUNCTION("INT(FILTER(EQ(E296,F296),ISNUMBER(E296),ISNUMBER(F296)))"),"#N/A")</f>
        <v>#N/A</v>
      </c>
    </row>
    <row r="297">
      <c r="A297" s="1" t="s">
        <v>1144</v>
      </c>
      <c r="B297" s="7" t="s">
        <v>1145</v>
      </c>
      <c r="C297" s="2" t="s">
        <v>136</v>
      </c>
      <c r="D297" s="7" t="s">
        <v>137</v>
      </c>
      <c r="E297" s="16"/>
      <c r="F297" s="16"/>
      <c r="G297" s="16"/>
      <c r="H297" s="17"/>
      <c r="I297" s="12"/>
      <c r="J297" s="12"/>
      <c r="K297" s="12"/>
      <c r="L297" s="12"/>
      <c r="M297" s="18" t="str">
        <f t="shared" si="1"/>
        <v>#DIV/0!</v>
      </c>
      <c r="N297" s="18" t="str">
        <f t="shared" si="2"/>
        <v>#DIV/0!</v>
      </c>
      <c r="O297" s="18" t="str">
        <f>IFERROR(__xludf.DUMMYFUNCTION("INT(FILTER(GT(F297,0),ISNUMBER(F297)))"),"#N/A")</f>
        <v>#N/A</v>
      </c>
      <c r="P297" s="18" t="str">
        <f t="shared" si="3"/>
        <v>#DIV/0!</v>
      </c>
      <c r="Q297" s="18" t="str">
        <f>IFERROR(__xludf.DUMMYFUNCTION("INT(FILTER(EQ(E297,F297),ISNUMBER(E297),ISNUMBER(F297)))"),"#N/A")</f>
        <v>#N/A</v>
      </c>
    </row>
    <row r="298">
      <c r="A298" s="1" t="s">
        <v>1146</v>
      </c>
      <c r="B298" s="7" t="s">
        <v>1147</v>
      </c>
      <c r="C298" s="2" t="s">
        <v>1148</v>
      </c>
      <c r="D298" s="1" t="s">
        <v>1149</v>
      </c>
      <c r="E298" s="16"/>
      <c r="F298" s="16"/>
      <c r="G298" s="16"/>
      <c r="H298" s="17"/>
      <c r="I298" s="12"/>
      <c r="J298" s="12"/>
      <c r="K298" s="12"/>
      <c r="L298" s="12"/>
      <c r="M298" s="18" t="str">
        <f t="shared" si="1"/>
        <v>#DIV/0!</v>
      </c>
      <c r="N298" s="18" t="str">
        <f t="shared" si="2"/>
        <v>#DIV/0!</v>
      </c>
      <c r="O298" s="18" t="str">
        <f>IFERROR(__xludf.DUMMYFUNCTION("INT(FILTER(GT(F298,0),ISNUMBER(F298)))"),"#N/A")</f>
        <v>#N/A</v>
      </c>
      <c r="P298" s="18" t="str">
        <f t="shared" si="3"/>
        <v>#DIV/0!</v>
      </c>
      <c r="Q298" s="18" t="str">
        <f>IFERROR(__xludf.DUMMYFUNCTION("INT(FILTER(EQ(E298,F298),ISNUMBER(E298),ISNUMBER(F298)))"),"#N/A")</f>
        <v>#N/A</v>
      </c>
    </row>
    <row r="299">
      <c r="A299" s="1" t="s">
        <v>1150</v>
      </c>
      <c r="B299" s="7" t="s">
        <v>1151</v>
      </c>
      <c r="C299" s="2" t="s">
        <v>176</v>
      </c>
      <c r="D299" s="7" t="s">
        <v>177</v>
      </c>
      <c r="E299" s="16"/>
      <c r="F299" s="16"/>
      <c r="G299" s="16"/>
      <c r="H299" s="17"/>
      <c r="I299" s="12"/>
      <c r="J299" s="12"/>
      <c r="K299" s="12"/>
      <c r="L299" s="12"/>
      <c r="M299" s="18" t="str">
        <f t="shared" si="1"/>
        <v>#DIV/0!</v>
      </c>
      <c r="N299" s="18" t="str">
        <f t="shared" si="2"/>
        <v>#DIV/0!</v>
      </c>
      <c r="O299" s="18" t="str">
        <f>IFERROR(__xludf.DUMMYFUNCTION("INT(FILTER(GT(F299,0),ISNUMBER(F299)))"),"#N/A")</f>
        <v>#N/A</v>
      </c>
      <c r="P299" s="18" t="str">
        <f t="shared" si="3"/>
        <v>#DIV/0!</v>
      </c>
      <c r="Q299" s="18" t="str">
        <f>IFERROR(__xludf.DUMMYFUNCTION("INT(FILTER(EQ(E299,F299),ISNUMBER(E299),ISNUMBER(F299)))"),"#N/A")</f>
        <v>#N/A</v>
      </c>
    </row>
    <row r="300">
      <c r="A300" s="1" t="s">
        <v>1152</v>
      </c>
      <c r="B300" s="7" t="s">
        <v>1153</v>
      </c>
      <c r="C300" s="2" t="s">
        <v>1154</v>
      </c>
      <c r="D300" s="7" t="s">
        <v>1155</v>
      </c>
      <c r="E300" s="16"/>
      <c r="F300" s="16"/>
      <c r="G300" s="16"/>
      <c r="H300" s="17"/>
      <c r="I300" s="12"/>
      <c r="J300" s="12"/>
      <c r="K300" s="12"/>
      <c r="L300" s="12"/>
      <c r="M300" s="18" t="str">
        <f t="shared" si="1"/>
        <v>#DIV/0!</v>
      </c>
      <c r="N300" s="18" t="str">
        <f t="shared" si="2"/>
        <v>#DIV/0!</v>
      </c>
      <c r="O300" s="18" t="str">
        <f>IFERROR(__xludf.DUMMYFUNCTION("INT(FILTER(GT(F300,0),ISNUMBER(F300)))"),"#N/A")</f>
        <v>#N/A</v>
      </c>
      <c r="P300" s="18" t="str">
        <f t="shared" si="3"/>
        <v>#DIV/0!</v>
      </c>
      <c r="Q300" s="18" t="str">
        <f>IFERROR(__xludf.DUMMYFUNCTION("INT(FILTER(EQ(E300,F300),ISNUMBER(E300),ISNUMBER(F300)))"),"#N/A")</f>
        <v>#N/A</v>
      </c>
    </row>
    <row r="301">
      <c r="A301" s="1" t="s">
        <v>1156</v>
      </c>
      <c r="B301" s="7" t="s">
        <v>1157</v>
      </c>
      <c r="C301" s="2" t="s">
        <v>136</v>
      </c>
      <c r="D301" s="7" t="s">
        <v>137</v>
      </c>
      <c r="E301" s="16"/>
      <c r="F301" s="16"/>
      <c r="G301" s="16"/>
      <c r="H301" s="17"/>
      <c r="I301" s="12"/>
      <c r="J301" s="12"/>
      <c r="K301" s="12"/>
      <c r="L301" s="12"/>
      <c r="M301" s="18" t="str">
        <f t="shared" si="1"/>
        <v>#DIV/0!</v>
      </c>
      <c r="N301" s="18" t="str">
        <f t="shared" si="2"/>
        <v>#DIV/0!</v>
      </c>
      <c r="O301" s="12" t="str">
        <f t="shared" ref="O301:O1003" si="4">IF(ISNUMBER(F301), INT(F301&gt;0), "")</f>
        <v/>
      </c>
      <c r="P301" s="18" t="str">
        <f t="shared" si="3"/>
        <v>#DIV/0!</v>
      </c>
      <c r="Q301" s="12"/>
    </row>
    <row r="302">
      <c r="A302" s="1" t="s">
        <v>1158</v>
      </c>
      <c r="B302" s="7" t="s">
        <v>1159</v>
      </c>
      <c r="C302" s="2" t="s">
        <v>1160</v>
      </c>
      <c r="D302" s="1" t="s">
        <v>1161</v>
      </c>
      <c r="E302" s="16"/>
      <c r="F302" s="16"/>
      <c r="G302" s="16"/>
      <c r="H302" s="17"/>
      <c r="I302" s="12"/>
      <c r="J302" s="12"/>
      <c r="K302" s="12"/>
      <c r="L302" s="12"/>
      <c r="M302" s="18" t="str">
        <f t="shared" si="1"/>
        <v>#DIV/0!</v>
      </c>
      <c r="N302" s="18" t="str">
        <f t="shared" si="2"/>
        <v>#DIV/0!</v>
      </c>
      <c r="O302" s="12" t="str">
        <f t="shared" si="4"/>
        <v/>
      </c>
      <c r="P302" s="18" t="str">
        <f t="shared" si="3"/>
        <v>#DIV/0!</v>
      </c>
      <c r="Q302" s="12"/>
    </row>
    <row r="303">
      <c r="A303" s="1" t="s">
        <v>1162</v>
      </c>
      <c r="B303" s="7" t="s">
        <v>1163</v>
      </c>
      <c r="C303" s="2" t="s">
        <v>1004</v>
      </c>
      <c r="D303" s="7" t="s">
        <v>137</v>
      </c>
      <c r="E303" s="16"/>
      <c r="F303" s="16"/>
      <c r="G303" s="16"/>
      <c r="H303" s="17"/>
      <c r="I303" s="12"/>
      <c r="J303" s="12"/>
      <c r="K303" s="12"/>
      <c r="L303" s="12"/>
      <c r="M303" s="18" t="str">
        <f t="shared" si="1"/>
        <v>#DIV/0!</v>
      </c>
      <c r="N303" s="18" t="str">
        <f t="shared" si="2"/>
        <v>#DIV/0!</v>
      </c>
      <c r="O303" s="12" t="str">
        <f t="shared" si="4"/>
        <v/>
      </c>
      <c r="P303" s="18" t="str">
        <f t="shared" si="3"/>
        <v>#DIV/0!</v>
      </c>
      <c r="Q303" s="12"/>
    </row>
    <row r="304">
      <c r="A304" s="1" t="s">
        <v>1164</v>
      </c>
      <c r="B304" s="7" t="s">
        <v>1165</v>
      </c>
      <c r="C304" s="2" t="s">
        <v>1166</v>
      </c>
      <c r="D304" s="7" t="s">
        <v>1167</v>
      </c>
      <c r="E304" s="16"/>
      <c r="F304" s="16"/>
      <c r="G304" s="16"/>
      <c r="H304" s="17"/>
      <c r="I304" s="12"/>
      <c r="J304" s="12"/>
      <c r="K304" s="12"/>
      <c r="L304" s="12"/>
      <c r="M304" s="18" t="str">
        <f t="shared" si="1"/>
        <v>#DIV/0!</v>
      </c>
      <c r="N304" s="18" t="str">
        <f t="shared" si="2"/>
        <v>#DIV/0!</v>
      </c>
      <c r="O304" s="12" t="str">
        <f t="shared" si="4"/>
        <v/>
      </c>
      <c r="P304" s="18" t="str">
        <f t="shared" si="3"/>
        <v>#DIV/0!</v>
      </c>
      <c r="Q304" s="12"/>
    </row>
    <row r="305">
      <c r="A305" s="1" t="s">
        <v>1168</v>
      </c>
      <c r="B305" s="7" t="s">
        <v>1169</v>
      </c>
      <c r="C305" s="2" t="s">
        <v>1170</v>
      </c>
      <c r="D305" s="7" t="s">
        <v>1171</v>
      </c>
      <c r="E305" s="16"/>
      <c r="F305" s="16"/>
      <c r="G305" s="16"/>
      <c r="H305" s="17"/>
      <c r="I305" s="12"/>
      <c r="J305" s="12"/>
      <c r="K305" s="12"/>
      <c r="L305" s="12"/>
      <c r="M305" s="18" t="str">
        <f t="shared" si="1"/>
        <v>#DIV/0!</v>
      </c>
      <c r="N305" s="18" t="str">
        <f t="shared" si="2"/>
        <v>#DIV/0!</v>
      </c>
      <c r="O305" s="12" t="str">
        <f t="shared" si="4"/>
        <v/>
      </c>
      <c r="P305" s="18" t="str">
        <f t="shared" si="3"/>
        <v>#DIV/0!</v>
      </c>
      <c r="Q305" s="12"/>
    </row>
    <row r="306">
      <c r="A306" s="1" t="s">
        <v>1172</v>
      </c>
      <c r="B306" s="7" t="s">
        <v>1173</v>
      </c>
      <c r="C306" s="2" t="s">
        <v>1174</v>
      </c>
      <c r="D306" s="7" t="s">
        <v>844</v>
      </c>
      <c r="E306" s="16"/>
      <c r="F306" s="16"/>
      <c r="G306" s="16"/>
      <c r="H306" s="17"/>
      <c r="I306" s="12"/>
      <c r="J306" s="12"/>
      <c r="K306" s="12"/>
      <c r="L306" s="12"/>
      <c r="M306" s="18" t="str">
        <f t="shared" si="1"/>
        <v>#DIV/0!</v>
      </c>
      <c r="N306" s="18" t="str">
        <f t="shared" si="2"/>
        <v>#DIV/0!</v>
      </c>
      <c r="O306" s="12" t="str">
        <f t="shared" si="4"/>
        <v/>
      </c>
      <c r="P306" s="18" t="str">
        <f t="shared" si="3"/>
        <v>#DIV/0!</v>
      </c>
      <c r="Q306" s="12"/>
    </row>
    <row r="307">
      <c r="A307" s="1" t="s">
        <v>1175</v>
      </c>
      <c r="B307" s="7" t="s">
        <v>1176</v>
      </c>
      <c r="C307" s="2" t="s">
        <v>1177</v>
      </c>
      <c r="D307" s="1" t="s">
        <v>1178</v>
      </c>
      <c r="E307" s="16"/>
      <c r="F307" s="16"/>
      <c r="G307" s="16"/>
      <c r="H307" s="17"/>
      <c r="I307" s="12"/>
      <c r="J307" s="12"/>
      <c r="K307" s="12"/>
      <c r="L307" s="12"/>
      <c r="M307" s="18" t="str">
        <f t="shared" si="1"/>
        <v>#DIV/0!</v>
      </c>
      <c r="N307" s="18" t="str">
        <f t="shared" si="2"/>
        <v>#DIV/0!</v>
      </c>
      <c r="O307" s="12" t="str">
        <f t="shared" si="4"/>
        <v/>
      </c>
      <c r="P307" s="18" t="str">
        <f t="shared" si="3"/>
        <v>#DIV/0!</v>
      </c>
      <c r="Q307" s="12"/>
    </row>
    <row r="308">
      <c r="A308" s="1" t="s">
        <v>1179</v>
      </c>
      <c r="B308" s="7" t="s">
        <v>1180</v>
      </c>
      <c r="C308" s="2" t="s">
        <v>1181</v>
      </c>
      <c r="D308" s="1" t="s">
        <v>1182</v>
      </c>
      <c r="E308" s="16"/>
      <c r="F308" s="16"/>
      <c r="G308" s="16"/>
      <c r="H308" s="17"/>
      <c r="I308" s="12"/>
      <c r="J308" s="12"/>
      <c r="K308" s="12"/>
      <c r="L308" s="12"/>
      <c r="M308" s="18" t="str">
        <f t="shared" si="1"/>
        <v>#DIV/0!</v>
      </c>
      <c r="N308" s="18" t="str">
        <f t="shared" si="2"/>
        <v>#DIV/0!</v>
      </c>
      <c r="O308" s="12" t="str">
        <f t="shared" si="4"/>
        <v/>
      </c>
      <c r="P308" s="18" t="str">
        <f t="shared" si="3"/>
        <v>#DIV/0!</v>
      </c>
      <c r="Q308" s="12"/>
    </row>
    <row r="309">
      <c r="A309" s="1" t="s">
        <v>1183</v>
      </c>
      <c r="B309" s="7" t="s">
        <v>1184</v>
      </c>
      <c r="C309" s="2" t="s">
        <v>1185</v>
      </c>
      <c r="D309" s="1" t="s">
        <v>1186</v>
      </c>
      <c r="E309" s="16"/>
      <c r="F309" s="16"/>
      <c r="G309" s="16"/>
      <c r="H309" s="17"/>
      <c r="I309" s="12"/>
      <c r="J309" s="12"/>
      <c r="K309" s="12"/>
      <c r="L309" s="12"/>
      <c r="M309" s="18" t="str">
        <f t="shared" si="1"/>
        <v>#DIV/0!</v>
      </c>
      <c r="N309" s="18" t="str">
        <f t="shared" si="2"/>
        <v>#DIV/0!</v>
      </c>
      <c r="O309" s="12" t="str">
        <f t="shared" si="4"/>
        <v/>
      </c>
      <c r="P309" s="18" t="str">
        <f t="shared" si="3"/>
        <v>#DIV/0!</v>
      </c>
      <c r="Q309" s="12"/>
    </row>
    <row r="310">
      <c r="A310" s="1" t="s">
        <v>1187</v>
      </c>
      <c r="B310" s="7" t="s">
        <v>1188</v>
      </c>
      <c r="C310" s="2" t="s">
        <v>1189</v>
      </c>
      <c r="D310" s="7" t="s">
        <v>1190</v>
      </c>
      <c r="E310" s="16"/>
      <c r="F310" s="16"/>
      <c r="G310" s="16"/>
      <c r="H310" s="17"/>
      <c r="I310" s="12"/>
      <c r="J310" s="12"/>
      <c r="K310" s="12"/>
      <c r="L310" s="12"/>
      <c r="M310" s="18" t="str">
        <f t="shared" si="1"/>
        <v>#DIV/0!</v>
      </c>
      <c r="N310" s="18" t="str">
        <f t="shared" si="2"/>
        <v>#DIV/0!</v>
      </c>
      <c r="O310" s="12" t="str">
        <f t="shared" si="4"/>
        <v/>
      </c>
      <c r="P310" s="18" t="str">
        <f t="shared" si="3"/>
        <v>#DIV/0!</v>
      </c>
      <c r="Q310" s="12"/>
    </row>
    <row r="311">
      <c r="A311" s="1" t="s">
        <v>1191</v>
      </c>
      <c r="B311" s="7" t="s">
        <v>1192</v>
      </c>
      <c r="C311" s="2" t="s">
        <v>1193</v>
      </c>
      <c r="D311" s="1" t="s">
        <v>1194</v>
      </c>
      <c r="E311" s="16"/>
      <c r="F311" s="16"/>
      <c r="G311" s="16"/>
      <c r="H311" s="17"/>
      <c r="I311" s="12"/>
      <c r="J311" s="12"/>
      <c r="K311" s="12"/>
      <c r="L311" s="12"/>
      <c r="M311" s="18" t="str">
        <f t="shared" si="1"/>
        <v>#DIV/0!</v>
      </c>
      <c r="N311" s="18" t="str">
        <f t="shared" si="2"/>
        <v>#DIV/0!</v>
      </c>
      <c r="O311" s="12" t="str">
        <f t="shared" si="4"/>
        <v/>
      </c>
      <c r="P311" s="18" t="str">
        <f t="shared" si="3"/>
        <v>#DIV/0!</v>
      </c>
      <c r="Q311" s="12"/>
    </row>
    <row r="312">
      <c r="A312" s="1" t="s">
        <v>1195</v>
      </c>
      <c r="B312" s="7" t="s">
        <v>1196</v>
      </c>
      <c r="C312" s="2" t="s">
        <v>1197</v>
      </c>
      <c r="D312" s="7" t="s">
        <v>896</v>
      </c>
      <c r="E312" s="16"/>
      <c r="F312" s="16"/>
      <c r="G312" s="16"/>
      <c r="H312" s="17"/>
      <c r="I312" s="12"/>
      <c r="J312" s="12"/>
      <c r="K312" s="12"/>
      <c r="L312" s="12"/>
      <c r="M312" s="18" t="str">
        <f t="shared" si="1"/>
        <v>#DIV/0!</v>
      </c>
      <c r="N312" s="18" t="str">
        <f t="shared" si="2"/>
        <v>#DIV/0!</v>
      </c>
      <c r="O312" s="12" t="str">
        <f t="shared" si="4"/>
        <v/>
      </c>
      <c r="P312" s="18" t="str">
        <f t="shared" si="3"/>
        <v>#DIV/0!</v>
      </c>
      <c r="Q312" s="12"/>
    </row>
    <row r="313">
      <c r="A313" s="1" t="s">
        <v>1198</v>
      </c>
      <c r="B313" s="7" t="s">
        <v>1199</v>
      </c>
      <c r="C313" s="2" t="s">
        <v>1200</v>
      </c>
      <c r="D313" s="1" t="s">
        <v>1201</v>
      </c>
      <c r="E313" s="16"/>
      <c r="F313" s="16"/>
      <c r="G313" s="16"/>
      <c r="H313" s="17"/>
      <c r="I313" s="12"/>
      <c r="J313" s="12"/>
      <c r="K313" s="12"/>
      <c r="L313" s="12"/>
      <c r="M313" s="18" t="str">
        <f t="shared" si="1"/>
        <v>#DIV/0!</v>
      </c>
      <c r="N313" s="18" t="str">
        <f t="shared" si="2"/>
        <v>#DIV/0!</v>
      </c>
      <c r="O313" s="12" t="str">
        <f t="shared" si="4"/>
        <v/>
      </c>
      <c r="P313" s="18" t="str">
        <f t="shared" si="3"/>
        <v>#DIV/0!</v>
      </c>
      <c r="Q313" s="12"/>
    </row>
    <row r="314">
      <c r="A314" s="1" t="s">
        <v>1202</v>
      </c>
      <c r="B314" s="7" t="s">
        <v>1203</v>
      </c>
      <c r="C314" s="2" t="s">
        <v>1204</v>
      </c>
      <c r="D314" s="7" t="s">
        <v>1205</v>
      </c>
      <c r="E314" s="16"/>
      <c r="F314" s="16"/>
      <c r="G314" s="16"/>
      <c r="H314" s="17"/>
      <c r="I314" s="12"/>
      <c r="J314" s="12"/>
      <c r="K314" s="12"/>
      <c r="L314" s="12"/>
      <c r="M314" s="18" t="str">
        <f t="shared" si="1"/>
        <v>#DIV/0!</v>
      </c>
      <c r="N314" s="18" t="str">
        <f t="shared" si="2"/>
        <v>#DIV/0!</v>
      </c>
      <c r="O314" s="12" t="str">
        <f t="shared" si="4"/>
        <v/>
      </c>
      <c r="P314" s="18" t="str">
        <f t="shared" si="3"/>
        <v>#DIV/0!</v>
      </c>
      <c r="Q314" s="12"/>
    </row>
    <row r="315">
      <c r="A315" s="1" t="s">
        <v>1206</v>
      </c>
      <c r="B315" s="7" t="s">
        <v>1207</v>
      </c>
      <c r="C315" s="2" t="s">
        <v>895</v>
      </c>
      <c r="D315" s="7" t="s">
        <v>896</v>
      </c>
      <c r="E315" s="16"/>
      <c r="F315" s="16"/>
      <c r="G315" s="16"/>
      <c r="H315" s="17"/>
      <c r="I315" s="12"/>
      <c r="J315" s="12"/>
      <c r="K315" s="12"/>
      <c r="L315" s="12"/>
      <c r="M315" s="18" t="str">
        <f t="shared" si="1"/>
        <v>#DIV/0!</v>
      </c>
      <c r="N315" s="18" t="str">
        <f t="shared" si="2"/>
        <v>#DIV/0!</v>
      </c>
      <c r="O315" s="12" t="str">
        <f t="shared" si="4"/>
        <v/>
      </c>
      <c r="P315" s="18" t="str">
        <f t="shared" si="3"/>
        <v>#DIV/0!</v>
      </c>
      <c r="Q315" s="12"/>
    </row>
    <row r="316">
      <c r="A316" s="1" t="s">
        <v>1208</v>
      </c>
      <c r="B316" s="7" t="s">
        <v>1209</v>
      </c>
      <c r="C316" s="2" t="s">
        <v>1210</v>
      </c>
      <c r="D316" s="1" t="s">
        <v>1211</v>
      </c>
      <c r="E316" s="16"/>
      <c r="F316" s="16"/>
      <c r="G316" s="16"/>
      <c r="H316" s="17"/>
      <c r="I316" s="12"/>
      <c r="J316" s="12"/>
      <c r="K316" s="12"/>
      <c r="L316" s="12"/>
      <c r="M316" s="18" t="str">
        <f t="shared" si="1"/>
        <v>#DIV/0!</v>
      </c>
      <c r="N316" s="18" t="str">
        <f t="shared" si="2"/>
        <v>#DIV/0!</v>
      </c>
      <c r="O316" s="12" t="str">
        <f t="shared" si="4"/>
        <v/>
      </c>
      <c r="P316" s="18" t="str">
        <f t="shared" si="3"/>
        <v>#DIV/0!</v>
      </c>
      <c r="Q316" s="12"/>
    </row>
    <row r="317">
      <c r="A317" s="1" t="s">
        <v>1212</v>
      </c>
      <c r="B317" s="7" t="s">
        <v>1213</v>
      </c>
      <c r="C317" s="2" t="s">
        <v>1214</v>
      </c>
      <c r="D317" s="7" t="s">
        <v>1215</v>
      </c>
      <c r="E317" s="16"/>
      <c r="F317" s="16"/>
      <c r="G317" s="16"/>
      <c r="H317" s="17"/>
      <c r="I317" s="12"/>
      <c r="J317" s="12"/>
      <c r="K317" s="12"/>
      <c r="L317" s="12"/>
      <c r="M317" s="18" t="str">
        <f t="shared" si="1"/>
        <v>#DIV/0!</v>
      </c>
      <c r="N317" s="18" t="str">
        <f t="shared" si="2"/>
        <v>#DIV/0!</v>
      </c>
      <c r="O317" s="12" t="str">
        <f t="shared" si="4"/>
        <v/>
      </c>
      <c r="P317" s="18" t="str">
        <f t="shared" si="3"/>
        <v>#DIV/0!</v>
      </c>
      <c r="Q317" s="12"/>
    </row>
    <row r="318">
      <c r="A318" s="1" t="s">
        <v>1216</v>
      </c>
      <c r="B318" s="7" t="s">
        <v>1217</v>
      </c>
      <c r="C318" s="2" t="s">
        <v>1174</v>
      </c>
      <c r="D318" s="7" t="s">
        <v>844</v>
      </c>
      <c r="E318" s="16"/>
      <c r="F318" s="16"/>
      <c r="G318" s="16"/>
      <c r="H318" s="17"/>
      <c r="I318" s="12"/>
      <c r="J318" s="12"/>
      <c r="K318" s="12"/>
      <c r="L318" s="12"/>
      <c r="M318" s="18" t="str">
        <f t="shared" si="1"/>
        <v>#DIV/0!</v>
      </c>
      <c r="N318" s="18" t="str">
        <f t="shared" si="2"/>
        <v>#DIV/0!</v>
      </c>
      <c r="O318" s="12" t="str">
        <f t="shared" si="4"/>
        <v/>
      </c>
      <c r="P318" s="18" t="str">
        <f t="shared" si="3"/>
        <v>#DIV/0!</v>
      </c>
      <c r="Q318" s="12"/>
    </row>
    <row r="319">
      <c r="A319" s="1" t="s">
        <v>1218</v>
      </c>
      <c r="B319" s="7" t="s">
        <v>1219</v>
      </c>
      <c r="C319" s="2" t="s">
        <v>1220</v>
      </c>
      <c r="D319" s="1" t="s">
        <v>1221</v>
      </c>
      <c r="E319" s="16"/>
      <c r="F319" s="16"/>
      <c r="G319" s="16"/>
      <c r="H319" s="17"/>
      <c r="I319" s="12"/>
      <c r="J319" s="12"/>
      <c r="K319" s="12"/>
      <c r="L319" s="12"/>
      <c r="M319" s="18" t="str">
        <f t="shared" si="1"/>
        <v>#DIV/0!</v>
      </c>
      <c r="N319" s="18" t="str">
        <f t="shared" si="2"/>
        <v>#DIV/0!</v>
      </c>
      <c r="O319" s="12" t="str">
        <f t="shared" si="4"/>
        <v/>
      </c>
      <c r="P319" s="18" t="str">
        <f t="shared" si="3"/>
        <v>#DIV/0!</v>
      </c>
      <c r="Q319" s="12"/>
    </row>
    <row r="320">
      <c r="A320" s="1" t="s">
        <v>1222</v>
      </c>
      <c r="B320" s="7" t="s">
        <v>1223</v>
      </c>
      <c r="C320" s="2" t="s">
        <v>268</v>
      </c>
      <c r="D320" s="7" t="s">
        <v>137</v>
      </c>
      <c r="E320" s="16"/>
      <c r="F320" s="16"/>
      <c r="G320" s="16"/>
      <c r="H320" s="17"/>
      <c r="I320" s="12"/>
      <c r="J320" s="12"/>
      <c r="K320" s="12"/>
      <c r="L320" s="12"/>
      <c r="M320" s="18" t="str">
        <f t="shared" si="1"/>
        <v>#DIV/0!</v>
      </c>
      <c r="N320" s="18" t="str">
        <f t="shared" si="2"/>
        <v>#DIV/0!</v>
      </c>
      <c r="O320" s="12" t="str">
        <f t="shared" si="4"/>
        <v/>
      </c>
      <c r="P320" s="18" t="str">
        <f t="shared" si="3"/>
        <v>#DIV/0!</v>
      </c>
      <c r="Q320" s="12"/>
    </row>
    <row r="321">
      <c r="A321" s="1" t="s">
        <v>1224</v>
      </c>
      <c r="B321" s="7" t="s">
        <v>1225</v>
      </c>
      <c r="C321" s="2" t="s">
        <v>1226</v>
      </c>
      <c r="D321" s="7" t="s">
        <v>1227</v>
      </c>
      <c r="E321" s="16"/>
      <c r="F321" s="16"/>
      <c r="G321" s="16"/>
      <c r="H321" s="17"/>
      <c r="I321" s="12"/>
      <c r="J321" s="12"/>
      <c r="K321" s="12"/>
      <c r="L321" s="12"/>
      <c r="M321" s="18" t="str">
        <f t="shared" si="1"/>
        <v>#DIV/0!</v>
      </c>
      <c r="N321" s="18" t="str">
        <f t="shared" si="2"/>
        <v>#DIV/0!</v>
      </c>
      <c r="O321" s="12" t="str">
        <f t="shared" si="4"/>
        <v/>
      </c>
      <c r="P321" s="18" t="str">
        <f t="shared" si="3"/>
        <v>#DIV/0!</v>
      </c>
      <c r="Q321" s="12"/>
    </row>
    <row r="322">
      <c r="A322" s="1" t="s">
        <v>1228</v>
      </c>
      <c r="B322" s="7" t="s">
        <v>1229</v>
      </c>
      <c r="C322" s="2" t="s">
        <v>1230</v>
      </c>
      <c r="D322" s="7" t="s">
        <v>1231</v>
      </c>
      <c r="E322" s="16"/>
      <c r="F322" s="16"/>
      <c r="G322" s="16"/>
      <c r="H322" s="17"/>
      <c r="I322" s="12"/>
      <c r="J322" s="12"/>
      <c r="K322" s="12"/>
      <c r="L322" s="12"/>
      <c r="M322" s="18" t="str">
        <f t="shared" si="1"/>
        <v>#DIV/0!</v>
      </c>
      <c r="N322" s="18" t="str">
        <f t="shared" si="2"/>
        <v>#DIV/0!</v>
      </c>
      <c r="O322" s="12" t="str">
        <f t="shared" si="4"/>
        <v/>
      </c>
      <c r="P322" s="18" t="str">
        <f t="shared" si="3"/>
        <v>#DIV/0!</v>
      </c>
      <c r="Q322" s="12"/>
    </row>
    <row r="323">
      <c r="A323" s="1" t="s">
        <v>1232</v>
      </c>
      <c r="B323" s="7" t="s">
        <v>1233</v>
      </c>
      <c r="C323" s="2" t="s">
        <v>1234</v>
      </c>
      <c r="D323" s="7" t="s">
        <v>1235</v>
      </c>
      <c r="E323" s="16"/>
      <c r="F323" s="16"/>
      <c r="G323" s="16"/>
      <c r="H323" s="17"/>
      <c r="I323" s="12"/>
      <c r="J323" s="12"/>
      <c r="K323" s="12"/>
      <c r="L323" s="12"/>
      <c r="M323" s="18" t="str">
        <f t="shared" si="1"/>
        <v>#DIV/0!</v>
      </c>
      <c r="N323" s="18" t="str">
        <f t="shared" si="2"/>
        <v>#DIV/0!</v>
      </c>
      <c r="O323" s="12" t="str">
        <f t="shared" si="4"/>
        <v/>
      </c>
      <c r="P323" s="18" t="str">
        <f t="shared" si="3"/>
        <v>#DIV/0!</v>
      </c>
      <c r="Q323" s="12"/>
    </row>
    <row r="324">
      <c r="A324" s="1" t="s">
        <v>1236</v>
      </c>
      <c r="B324" s="7" t="s">
        <v>1237</v>
      </c>
      <c r="C324" s="2" t="s">
        <v>1238</v>
      </c>
      <c r="D324" s="1" t="s">
        <v>1239</v>
      </c>
      <c r="E324" s="16"/>
      <c r="F324" s="16"/>
      <c r="G324" s="16"/>
      <c r="H324" s="17"/>
      <c r="I324" s="12"/>
      <c r="J324" s="12"/>
      <c r="K324" s="12"/>
      <c r="L324" s="12"/>
      <c r="M324" s="18" t="str">
        <f t="shared" si="1"/>
        <v>#DIV/0!</v>
      </c>
      <c r="N324" s="18" t="str">
        <f t="shared" si="2"/>
        <v>#DIV/0!</v>
      </c>
      <c r="O324" s="12" t="str">
        <f t="shared" si="4"/>
        <v/>
      </c>
      <c r="P324" s="18" t="str">
        <f t="shared" si="3"/>
        <v>#DIV/0!</v>
      </c>
      <c r="Q324" s="12"/>
    </row>
    <row r="325">
      <c r="A325" s="1" t="s">
        <v>1240</v>
      </c>
      <c r="B325" s="7" t="s">
        <v>1241</v>
      </c>
      <c r="C325" s="2" t="s">
        <v>1242</v>
      </c>
      <c r="D325" s="1" t="s">
        <v>1243</v>
      </c>
      <c r="E325" s="16"/>
      <c r="F325" s="16"/>
      <c r="G325" s="16"/>
      <c r="H325" s="17"/>
      <c r="I325" s="12"/>
      <c r="J325" s="12"/>
      <c r="K325" s="12"/>
      <c r="L325" s="12"/>
      <c r="M325" s="18" t="str">
        <f t="shared" si="1"/>
        <v>#DIV/0!</v>
      </c>
      <c r="N325" s="18" t="str">
        <f t="shared" si="2"/>
        <v>#DIV/0!</v>
      </c>
      <c r="O325" s="12" t="str">
        <f t="shared" si="4"/>
        <v/>
      </c>
      <c r="P325" s="18" t="str">
        <f t="shared" si="3"/>
        <v>#DIV/0!</v>
      </c>
      <c r="Q325" s="12"/>
    </row>
    <row r="326">
      <c r="A326" s="1" t="s">
        <v>1244</v>
      </c>
      <c r="B326" s="7" t="s">
        <v>1245</v>
      </c>
      <c r="C326" s="2" t="s">
        <v>1246</v>
      </c>
      <c r="D326" s="1" t="s">
        <v>1247</v>
      </c>
      <c r="E326" s="16"/>
      <c r="F326" s="16"/>
      <c r="G326" s="16"/>
      <c r="H326" s="17"/>
      <c r="I326" s="12"/>
      <c r="J326" s="12"/>
      <c r="K326" s="12"/>
      <c r="L326" s="12"/>
      <c r="M326" s="18" t="str">
        <f t="shared" si="1"/>
        <v>#DIV/0!</v>
      </c>
      <c r="N326" s="18" t="str">
        <f t="shared" si="2"/>
        <v>#DIV/0!</v>
      </c>
      <c r="O326" s="12" t="str">
        <f t="shared" si="4"/>
        <v/>
      </c>
      <c r="P326" s="18" t="str">
        <f t="shared" si="3"/>
        <v>#DIV/0!</v>
      </c>
      <c r="Q326" s="12"/>
    </row>
    <row r="327">
      <c r="A327" s="1" t="s">
        <v>1248</v>
      </c>
      <c r="B327" s="7" t="s">
        <v>1249</v>
      </c>
      <c r="C327" s="2" t="s">
        <v>1250</v>
      </c>
      <c r="D327" s="7" t="s">
        <v>1251</v>
      </c>
      <c r="E327" s="16"/>
      <c r="F327" s="16"/>
      <c r="G327" s="16"/>
      <c r="H327" s="17"/>
      <c r="I327" s="12"/>
      <c r="J327" s="12"/>
      <c r="K327" s="12"/>
      <c r="L327" s="12"/>
      <c r="M327" s="18" t="str">
        <f t="shared" si="1"/>
        <v>#DIV/0!</v>
      </c>
      <c r="N327" s="18" t="str">
        <f t="shared" si="2"/>
        <v>#DIV/0!</v>
      </c>
      <c r="O327" s="12" t="str">
        <f t="shared" si="4"/>
        <v/>
      </c>
      <c r="P327" s="18" t="str">
        <f t="shared" si="3"/>
        <v>#DIV/0!</v>
      </c>
      <c r="Q327" s="12"/>
    </row>
    <row r="328">
      <c r="A328" s="1" t="s">
        <v>1252</v>
      </c>
      <c r="B328" s="7" t="s">
        <v>1253</v>
      </c>
      <c r="C328" s="2" t="s">
        <v>1254</v>
      </c>
      <c r="D328" s="7" t="s">
        <v>1255</v>
      </c>
      <c r="E328" s="16"/>
      <c r="F328" s="16"/>
      <c r="G328" s="16"/>
      <c r="H328" s="17"/>
      <c r="I328" s="12"/>
      <c r="J328" s="12"/>
      <c r="K328" s="12"/>
      <c r="L328" s="12"/>
      <c r="M328" s="18" t="str">
        <f t="shared" si="1"/>
        <v>#DIV/0!</v>
      </c>
      <c r="N328" s="18" t="str">
        <f t="shared" si="2"/>
        <v>#DIV/0!</v>
      </c>
      <c r="O328" s="12" t="str">
        <f t="shared" si="4"/>
        <v/>
      </c>
      <c r="P328" s="18" t="str">
        <f t="shared" si="3"/>
        <v>#DIV/0!</v>
      </c>
      <c r="Q328" s="12"/>
    </row>
    <row r="329">
      <c r="A329" s="1" t="s">
        <v>1256</v>
      </c>
      <c r="B329" s="7" t="s">
        <v>1257</v>
      </c>
      <c r="C329" s="2" t="s">
        <v>1258</v>
      </c>
      <c r="D329" s="7" t="s">
        <v>1259</v>
      </c>
      <c r="E329" s="16"/>
      <c r="F329" s="16"/>
      <c r="G329" s="16"/>
      <c r="H329" s="17"/>
      <c r="I329" s="12"/>
      <c r="J329" s="12"/>
      <c r="K329" s="12"/>
      <c r="L329" s="12"/>
      <c r="M329" s="18" t="str">
        <f t="shared" si="1"/>
        <v>#DIV/0!</v>
      </c>
      <c r="N329" s="18" t="str">
        <f t="shared" si="2"/>
        <v>#DIV/0!</v>
      </c>
      <c r="O329" s="12" t="str">
        <f t="shared" si="4"/>
        <v/>
      </c>
      <c r="P329" s="18" t="str">
        <f t="shared" si="3"/>
        <v>#DIV/0!</v>
      </c>
      <c r="Q329" s="12"/>
    </row>
    <row r="330">
      <c r="A330" s="1" t="s">
        <v>1260</v>
      </c>
      <c r="B330" s="7" t="s">
        <v>1261</v>
      </c>
      <c r="C330" s="2" t="s">
        <v>1262</v>
      </c>
      <c r="D330" s="7" t="s">
        <v>1263</v>
      </c>
      <c r="E330" s="16"/>
      <c r="F330" s="16"/>
      <c r="G330" s="16"/>
      <c r="H330" s="17"/>
      <c r="I330" s="12"/>
      <c r="J330" s="12"/>
      <c r="K330" s="12"/>
      <c r="L330" s="12"/>
      <c r="M330" s="18" t="str">
        <f t="shared" si="1"/>
        <v>#DIV/0!</v>
      </c>
      <c r="N330" s="18" t="str">
        <f t="shared" si="2"/>
        <v>#DIV/0!</v>
      </c>
      <c r="O330" s="12" t="str">
        <f t="shared" si="4"/>
        <v/>
      </c>
      <c r="P330" s="18" t="str">
        <f t="shared" si="3"/>
        <v>#DIV/0!</v>
      </c>
      <c r="Q330" s="12"/>
    </row>
    <row r="331">
      <c r="A331" s="1" t="s">
        <v>1264</v>
      </c>
      <c r="B331" s="7" t="s">
        <v>1265</v>
      </c>
      <c r="C331" s="2" t="s">
        <v>1266</v>
      </c>
      <c r="D331" s="7" t="s">
        <v>1267</v>
      </c>
      <c r="E331" s="16"/>
      <c r="F331" s="16"/>
      <c r="G331" s="16"/>
      <c r="H331" s="17"/>
      <c r="I331" s="12"/>
      <c r="J331" s="12"/>
      <c r="K331" s="12"/>
      <c r="L331" s="12"/>
      <c r="M331" s="18" t="str">
        <f t="shared" si="1"/>
        <v>#DIV/0!</v>
      </c>
      <c r="N331" s="18" t="str">
        <f t="shared" si="2"/>
        <v>#DIV/0!</v>
      </c>
      <c r="O331" s="12" t="str">
        <f t="shared" si="4"/>
        <v/>
      </c>
      <c r="P331" s="18" t="str">
        <f t="shared" si="3"/>
        <v>#DIV/0!</v>
      </c>
      <c r="Q331" s="12"/>
    </row>
    <row r="332">
      <c r="A332" s="1" t="s">
        <v>1268</v>
      </c>
      <c r="B332" s="7" t="s">
        <v>1269</v>
      </c>
      <c r="C332" s="2" t="s">
        <v>1270</v>
      </c>
      <c r="D332" s="7" t="s">
        <v>1271</v>
      </c>
      <c r="E332" s="16"/>
      <c r="F332" s="16"/>
      <c r="G332" s="16"/>
      <c r="H332" s="17"/>
      <c r="I332" s="12"/>
      <c r="J332" s="12"/>
      <c r="K332" s="12"/>
      <c r="L332" s="12"/>
      <c r="M332" s="18" t="str">
        <f t="shared" si="1"/>
        <v>#DIV/0!</v>
      </c>
      <c r="N332" s="18" t="str">
        <f t="shared" si="2"/>
        <v>#DIV/0!</v>
      </c>
      <c r="O332" s="12" t="str">
        <f t="shared" si="4"/>
        <v/>
      </c>
      <c r="P332" s="18" t="str">
        <f t="shared" si="3"/>
        <v>#DIV/0!</v>
      </c>
      <c r="Q332" s="12"/>
    </row>
    <row r="333">
      <c r="A333" s="1" t="s">
        <v>1272</v>
      </c>
      <c r="B333" s="7" t="s">
        <v>1273</v>
      </c>
      <c r="C333" s="2" t="s">
        <v>1274</v>
      </c>
      <c r="D333" s="1" t="s">
        <v>1275</v>
      </c>
      <c r="E333" s="16"/>
      <c r="F333" s="16"/>
      <c r="G333" s="16"/>
      <c r="H333" s="17"/>
      <c r="I333" s="12"/>
      <c r="J333" s="12"/>
      <c r="K333" s="12"/>
      <c r="L333" s="12"/>
      <c r="M333" s="18" t="str">
        <f t="shared" si="1"/>
        <v>#DIV/0!</v>
      </c>
      <c r="N333" s="18" t="str">
        <f t="shared" si="2"/>
        <v>#DIV/0!</v>
      </c>
      <c r="O333" s="12" t="str">
        <f t="shared" si="4"/>
        <v/>
      </c>
      <c r="P333" s="18" t="str">
        <f t="shared" si="3"/>
        <v>#DIV/0!</v>
      </c>
      <c r="Q333" s="12"/>
    </row>
    <row r="334">
      <c r="A334" s="1" t="s">
        <v>1276</v>
      </c>
      <c r="B334" s="7" t="s">
        <v>1277</v>
      </c>
      <c r="C334" s="2" t="s">
        <v>1278</v>
      </c>
      <c r="D334" s="1" t="s">
        <v>1279</v>
      </c>
      <c r="E334" s="16"/>
      <c r="F334" s="16"/>
      <c r="G334" s="16"/>
      <c r="H334" s="17"/>
      <c r="I334" s="12"/>
      <c r="J334" s="12"/>
      <c r="K334" s="12"/>
      <c r="L334" s="12"/>
      <c r="M334" s="18" t="str">
        <f t="shared" si="1"/>
        <v>#DIV/0!</v>
      </c>
      <c r="N334" s="18" t="str">
        <f t="shared" si="2"/>
        <v>#DIV/0!</v>
      </c>
      <c r="O334" s="12" t="str">
        <f t="shared" si="4"/>
        <v/>
      </c>
      <c r="P334" s="18" t="str">
        <f t="shared" si="3"/>
        <v>#DIV/0!</v>
      </c>
      <c r="Q334" s="12"/>
    </row>
    <row r="335">
      <c r="A335" s="1" t="s">
        <v>1280</v>
      </c>
      <c r="B335" s="7" t="s">
        <v>1281</v>
      </c>
      <c r="C335" s="2" t="s">
        <v>1282</v>
      </c>
      <c r="D335" s="1" t="s">
        <v>1283</v>
      </c>
      <c r="E335" s="16"/>
      <c r="F335" s="16"/>
      <c r="G335" s="16"/>
      <c r="H335" s="17"/>
      <c r="I335" s="12"/>
      <c r="J335" s="12"/>
      <c r="K335" s="12"/>
      <c r="L335" s="12"/>
      <c r="M335" s="18" t="str">
        <f t="shared" si="1"/>
        <v>#DIV/0!</v>
      </c>
      <c r="N335" s="18" t="str">
        <f t="shared" si="2"/>
        <v>#DIV/0!</v>
      </c>
      <c r="O335" s="12" t="str">
        <f t="shared" si="4"/>
        <v/>
      </c>
      <c r="P335" s="18" t="str">
        <f t="shared" si="3"/>
        <v>#DIV/0!</v>
      </c>
      <c r="Q335" s="12"/>
    </row>
    <row r="336">
      <c r="A336" s="1" t="s">
        <v>1284</v>
      </c>
      <c r="B336" s="7" t="s">
        <v>1285</v>
      </c>
      <c r="C336" s="2" t="s">
        <v>1286</v>
      </c>
      <c r="D336" s="1" t="s">
        <v>1287</v>
      </c>
      <c r="E336" s="16"/>
      <c r="F336" s="16"/>
      <c r="G336" s="16"/>
      <c r="H336" s="17"/>
      <c r="I336" s="12"/>
      <c r="J336" s="12"/>
      <c r="K336" s="12"/>
      <c r="L336" s="12"/>
      <c r="M336" s="18" t="str">
        <f t="shared" si="1"/>
        <v>#DIV/0!</v>
      </c>
      <c r="N336" s="18" t="str">
        <f t="shared" si="2"/>
        <v>#DIV/0!</v>
      </c>
      <c r="O336" s="12" t="str">
        <f t="shared" si="4"/>
        <v/>
      </c>
      <c r="P336" s="18" t="str">
        <f t="shared" si="3"/>
        <v>#DIV/0!</v>
      </c>
      <c r="Q336" s="12"/>
    </row>
    <row r="337">
      <c r="A337" s="1" t="s">
        <v>1288</v>
      </c>
      <c r="B337" s="7" t="s">
        <v>1289</v>
      </c>
      <c r="C337" s="2" t="s">
        <v>172</v>
      </c>
      <c r="D337" s="7" t="s">
        <v>173</v>
      </c>
      <c r="E337" s="16"/>
      <c r="F337" s="16"/>
      <c r="G337" s="16"/>
      <c r="H337" s="17"/>
      <c r="I337" s="12"/>
      <c r="J337" s="12"/>
      <c r="K337" s="12"/>
      <c r="L337" s="12"/>
      <c r="M337" s="18" t="str">
        <f t="shared" si="1"/>
        <v>#DIV/0!</v>
      </c>
      <c r="N337" s="18" t="str">
        <f t="shared" si="2"/>
        <v>#DIV/0!</v>
      </c>
      <c r="O337" s="12" t="str">
        <f t="shared" si="4"/>
        <v/>
      </c>
      <c r="P337" s="18" t="str">
        <f t="shared" si="3"/>
        <v>#DIV/0!</v>
      </c>
      <c r="Q337" s="12"/>
    </row>
    <row r="338">
      <c r="A338" s="1" t="s">
        <v>1290</v>
      </c>
      <c r="B338" s="7" t="s">
        <v>1291</v>
      </c>
      <c r="C338" s="2" t="s">
        <v>1292</v>
      </c>
      <c r="D338" s="1" t="s">
        <v>1293</v>
      </c>
      <c r="E338" s="16"/>
      <c r="F338" s="16"/>
      <c r="G338" s="16"/>
      <c r="H338" s="17"/>
      <c r="I338" s="12"/>
      <c r="J338" s="12"/>
      <c r="K338" s="12"/>
      <c r="L338" s="12"/>
      <c r="M338" s="18" t="str">
        <f t="shared" si="1"/>
        <v>#DIV/0!</v>
      </c>
      <c r="N338" s="18" t="str">
        <f t="shared" si="2"/>
        <v>#DIV/0!</v>
      </c>
      <c r="O338" s="12" t="str">
        <f t="shared" si="4"/>
        <v/>
      </c>
      <c r="P338" s="18" t="str">
        <f t="shared" si="3"/>
        <v>#DIV/0!</v>
      </c>
      <c r="Q338" s="12"/>
    </row>
    <row r="339">
      <c r="A339" s="1" t="s">
        <v>1294</v>
      </c>
      <c r="B339" s="7" t="s">
        <v>1295</v>
      </c>
      <c r="C339" s="2" t="s">
        <v>1296</v>
      </c>
      <c r="D339" s="1" t="s">
        <v>1297</v>
      </c>
      <c r="E339" s="16"/>
      <c r="F339" s="16"/>
      <c r="G339" s="16"/>
      <c r="H339" s="17"/>
      <c r="I339" s="12"/>
      <c r="J339" s="12"/>
      <c r="K339" s="12"/>
      <c r="L339" s="12"/>
      <c r="M339" s="18" t="str">
        <f t="shared" si="1"/>
        <v>#DIV/0!</v>
      </c>
      <c r="N339" s="18" t="str">
        <f t="shared" si="2"/>
        <v>#DIV/0!</v>
      </c>
      <c r="O339" s="12" t="str">
        <f t="shared" si="4"/>
        <v/>
      </c>
      <c r="P339" s="18" t="str">
        <f t="shared" si="3"/>
        <v>#DIV/0!</v>
      </c>
      <c r="Q339" s="12"/>
    </row>
    <row r="340">
      <c r="A340" s="1" t="s">
        <v>1298</v>
      </c>
      <c r="B340" s="7" t="s">
        <v>1299</v>
      </c>
      <c r="C340" s="2" t="s">
        <v>1300</v>
      </c>
      <c r="D340" s="1" t="s">
        <v>1301</v>
      </c>
      <c r="E340" s="16"/>
      <c r="F340" s="16"/>
      <c r="G340" s="16"/>
      <c r="H340" s="17"/>
      <c r="I340" s="12"/>
      <c r="J340" s="12"/>
      <c r="K340" s="12"/>
      <c r="L340" s="12"/>
      <c r="M340" s="18" t="str">
        <f t="shared" si="1"/>
        <v>#DIV/0!</v>
      </c>
      <c r="N340" s="18" t="str">
        <f t="shared" si="2"/>
        <v>#DIV/0!</v>
      </c>
      <c r="O340" s="12" t="str">
        <f t="shared" si="4"/>
        <v/>
      </c>
      <c r="P340" s="18" t="str">
        <f t="shared" si="3"/>
        <v>#DIV/0!</v>
      </c>
      <c r="Q340" s="12"/>
    </row>
    <row r="341">
      <c r="A341" s="1" t="s">
        <v>1302</v>
      </c>
      <c r="B341" s="7" t="s">
        <v>1303</v>
      </c>
      <c r="C341" s="2" t="s">
        <v>1304</v>
      </c>
      <c r="D341" s="1" t="s">
        <v>1305</v>
      </c>
      <c r="E341" s="16"/>
      <c r="F341" s="16"/>
      <c r="G341" s="16"/>
      <c r="H341" s="17"/>
      <c r="I341" s="12"/>
      <c r="J341" s="12"/>
      <c r="K341" s="12"/>
      <c r="L341" s="12"/>
      <c r="M341" s="18" t="str">
        <f t="shared" si="1"/>
        <v>#DIV/0!</v>
      </c>
      <c r="N341" s="18" t="str">
        <f t="shared" si="2"/>
        <v>#DIV/0!</v>
      </c>
      <c r="O341" s="12" t="str">
        <f t="shared" si="4"/>
        <v/>
      </c>
      <c r="P341" s="18" t="str">
        <f t="shared" si="3"/>
        <v>#DIV/0!</v>
      </c>
      <c r="Q341" s="12"/>
    </row>
    <row r="342">
      <c r="A342" s="1" t="s">
        <v>1306</v>
      </c>
      <c r="B342" s="7" t="s">
        <v>1307</v>
      </c>
      <c r="C342" s="2" t="s">
        <v>1308</v>
      </c>
      <c r="D342" s="7" t="s">
        <v>296</v>
      </c>
      <c r="E342" s="16"/>
      <c r="F342" s="16"/>
      <c r="G342" s="16"/>
      <c r="H342" s="17"/>
      <c r="I342" s="12"/>
      <c r="J342" s="12"/>
      <c r="K342" s="12"/>
      <c r="L342" s="12"/>
      <c r="M342" s="18" t="str">
        <f t="shared" si="1"/>
        <v>#DIV/0!</v>
      </c>
      <c r="N342" s="18" t="str">
        <f t="shared" si="2"/>
        <v>#DIV/0!</v>
      </c>
      <c r="O342" s="12" t="str">
        <f t="shared" si="4"/>
        <v/>
      </c>
      <c r="P342" s="18" t="str">
        <f t="shared" si="3"/>
        <v>#DIV/0!</v>
      </c>
      <c r="Q342" s="12"/>
    </row>
    <row r="343">
      <c r="A343" s="1" t="s">
        <v>1309</v>
      </c>
      <c r="B343" s="7" t="s">
        <v>1310</v>
      </c>
      <c r="C343" s="2" t="s">
        <v>1311</v>
      </c>
      <c r="D343" s="7" t="s">
        <v>1155</v>
      </c>
      <c r="E343" s="16"/>
      <c r="F343" s="16"/>
      <c r="G343" s="16"/>
      <c r="H343" s="17"/>
      <c r="I343" s="12"/>
      <c r="J343" s="12"/>
      <c r="K343" s="12"/>
      <c r="L343" s="12"/>
      <c r="M343" s="18" t="str">
        <f t="shared" si="1"/>
        <v>#DIV/0!</v>
      </c>
      <c r="N343" s="18" t="str">
        <f t="shared" si="2"/>
        <v>#DIV/0!</v>
      </c>
      <c r="O343" s="12" t="str">
        <f t="shared" si="4"/>
        <v/>
      </c>
      <c r="P343" s="18" t="str">
        <f t="shared" si="3"/>
        <v>#DIV/0!</v>
      </c>
      <c r="Q343" s="12"/>
    </row>
    <row r="344">
      <c r="A344" s="1" t="s">
        <v>1312</v>
      </c>
      <c r="B344" s="7" t="s">
        <v>1313</v>
      </c>
      <c r="C344" s="2" t="s">
        <v>1314</v>
      </c>
      <c r="D344" s="7" t="s">
        <v>1315</v>
      </c>
      <c r="E344" s="16"/>
      <c r="F344" s="16"/>
      <c r="G344" s="16"/>
      <c r="H344" s="17"/>
      <c r="I344" s="12"/>
      <c r="J344" s="12"/>
      <c r="K344" s="12"/>
      <c r="L344" s="12"/>
      <c r="M344" s="18" t="str">
        <f t="shared" si="1"/>
        <v>#DIV/0!</v>
      </c>
      <c r="N344" s="18" t="str">
        <f t="shared" si="2"/>
        <v>#DIV/0!</v>
      </c>
      <c r="O344" s="12" t="str">
        <f t="shared" si="4"/>
        <v/>
      </c>
      <c r="P344" s="18" t="str">
        <f t="shared" si="3"/>
        <v>#DIV/0!</v>
      </c>
      <c r="Q344" s="12"/>
    </row>
    <row r="345">
      <c r="A345" s="1" t="s">
        <v>1316</v>
      </c>
      <c r="B345" s="7" t="s">
        <v>1317</v>
      </c>
      <c r="C345" s="2" t="s">
        <v>1318</v>
      </c>
      <c r="D345" s="7" t="s">
        <v>1319</v>
      </c>
      <c r="E345" s="16"/>
      <c r="F345" s="16"/>
      <c r="G345" s="16"/>
      <c r="H345" s="17"/>
      <c r="I345" s="12"/>
      <c r="J345" s="12"/>
      <c r="K345" s="12"/>
      <c r="L345" s="12"/>
      <c r="M345" s="18" t="str">
        <f t="shared" si="1"/>
        <v>#DIV/0!</v>
      </c>
      <c r="N345" s="18" t="str">
        <f t="shared" si="2"/>
        <v>#DIV/0!</v>
      </c>
      <c r="O345" s="12" t="str">
        <f t="shared" si="4"/>
        <v/>
      </c>
      <c r="P345" s="18" t="str">
        <f t="shared" si="3"/>
        <v>#DIV/0!</v>
      </c>
      <c r="Q345" s="12"/>
    </row>
    <row r="346">
      <c r="A346" s="1" t="s">
        <v>1320</v>
      </c>
      <c r="B346" s="7" t="s">
        <v>1321</v>
      </c>
      <c r="C346" s="2" t="s">
        <v>1322</v>
      </c>
      <c r="D346" s="7" t="s">
        <v>1323</v>
      </c>
      <c r="E346" s="16"/>
      <c r="F346" s="16"/>
      <c r="G346" s="16"/>
      <c r="H346" s="17"/>
      <c r="I346" s="12"/>
      <c r="J346" s="12"/>
      <c r="K346" s="12"/>
      <c r="L346" s="12"/>
      <c r="M346" s="18" t="str">
        <f t="shared" si="1"/>
        <v>#DIV/0!</v>
      </c>
      <c r="N346" s="18" t="str">
        <f t="shared" si="2"/>
        <v>#DIV/0!</v>
      </c>
      <c r="O346" s="12" t="str">
        <f t="shared" si="4"/>
        <v/>
      </c>
      <c r="P346" s="18" t="str">
        <f t="shared" si="3"/>
        <v>#DIV/0!</v>
      </c>
      <c r="Q346" s="12"/>
    </row>
    <row r="347">
      <c r="A347" s="1" t="s">
        <v>1324</v>
      </c>
      <c r="B347" s="7" t="s">
        <v>1325</v>
      </c>
      <c r="C347" s="2" t="s">
        <v>1326</v>
      </c>
      <c r="D347" s="7" t="s">
        <v>261</v>
      </c>
      <c r="E347" s="16"/>
      <c r="F347" s="16"/>
      <c r="G347" s="16"/>
      <c r="H347" s="17"/>
      <c r="I347" s="12"/>
      <c r="J347" s="12"/>
      <c r="K347" s="12"/>
      <c r="L347" s="12"/>
      <c r="M347" s="18" t="str">
        <f t="shared" si="1"/>
        <v>#DIV/0!</v>
      </c>
      <c r="N347" s="18" t="str">
        <f t="shared" si="2"/>
        <v>#DIV/0!</v>
      </c>
      <c r="O347" s="12" t="str">
        <f t="shared" si="4"/>
        <v/>
      </c>
      <c r="P347" s="18" t="str">
        <f t="shared" si="3"/>
        <v>#DIV/0!</v>
      </c>
      <c r="Q347" s="12"/>
    </row>
    <row r="348">
      <c r="A348" s="1" t="s">
        <v>1327</v>
      </c>
      <c r="B348" s="7" t="s">
        <v>1328</v>
      </c>
      <c r="C348" s="2" t="s">
        <v>1329</v>
      </c>
      <c r="D348" s="1" t="s">
        <v>1330</v>
      </c>
      <c r="E348" s="16"/>
      <c r="F348" s="16"/>
      <c r="G348" s="16"/>
      <c r="H348" s="17"/>
      <c r="I348" s="12"/>
      <c r="J348" s="12"/>
      <c r="K348" s="12"/>
      <c r="L348" s="12"/>
      <c r="M348" s="18" t="str">
        <f t="shared" si="1"/>
        <v>#DIV/0!</v>
      </c>
      <c r="N348" s="18" t="str">
        <f t="shared" si="2"/>
        <v>#DIV/0!</v>
      </c>
      <c r="O348" s="12" t="str">
        <f t="shared" si="4"/>
        <v/>
      </c>
      <c r="P348" s="18" t="str">
        <f t="shared" si="3"/>
        <v>#DIV/0!</v>
      </c>
      <c r="Q348" s="12"/>
    </row>
    <row r="349">
      <c r="A349" s="1" t="s">
        <v>1331</v>
      </c>
      <c r="B349" s="7" t="s">
        <v>1332</v>
      </c>
      <c r="C349" s="2" t="s">
        <v>1333</v>
      </c>
      <c r="D349" s="7" t="s">
        <v>1334</v>
      </c>
      <c r="E349" s="16"/>
      <c r="F349" s="16"/>
      <c r="G349" s="16"/>
      <c r="H349" s="17"/>
      <c r="I349" s="12"/>
      <c r="J349" s="12"/>
      <c r="K349" s="12"/>
      <c r="L349" s="12"/>
      <c r="M349" s="18" t="str">
        <f t="shared" si="1"/>
        <v>#DIV/0!</v>
      </c>
      <c r="N349" s="18" t="str">
        <f t="shared" si="2"/>
        <v>#DIV/0!</v>
      </c>
      <c r="O349" s="12" t="str">
        <f t="shared" si="4"/>
        <v/>
      </c>
      <c r="P349" s="18" t="str">
        <f t="shared" si="3"/>
        <v>#DIV/0!</v>
      </c>
      <c r="Q349" s="12"/>
    </row>
    <row r="350">
      <c r="A350" s="1" t="s">
        <v>1335</v>
      </c>
      <c r="B350" s="7" t="s">
        <v>1336</v>
      </c>
      <c r="C350" s="2" t="s">
        <v>1337</v>
      </c>
      <c r="D350" s="1" t="s">
        <v>1338</v>
      </c>
      <c r="E350" s="16"/>
      <c r="F350" s="16"/>
      <c r="G350" s="16"/>
      <c r="H350" s="17"/>
      <c r="I350" s="12"/>
      <c r="J350" s="12"/>
      <c r="K350" s="12"/>
      <c r="L350" s="12"/>
      <c r="M350" s="18" t="str">
        <f t="shared" si="1"/>
        <v>#DIV/0!</v>
      </c>
      <c r="N350" s="18" t="str">
        <f t="shared" si="2"/>
        <v>#DIV/0!</v>
      </c>
      <c r="O350" s="12" t="str">
        <f t="shared" si="4"/>
        <v/>
      </c>
      <c r="P350" s="18" t="str">
        <f t="shared" si="3"/>
        <v>#DIV/0!</v>
      </c>
      <c r="Q350" s="12"/>
    </row>
    <row r="351">
      <c r="A351" s="1" t="s">
        <v>1339</v>
      </c>
      <c r="B351" s="7" t="s">
        <v>1340</v>
      </c>
      <c r="C351" s="2" t="s">
        <v>1341</v>
      </c>
      <c r="D351" s="1" t="s">
        <v>1342</v>
      </c>
      <c r="E351" s="16"/>
      <c r="F351" s="16"/>
      <c r="G351" s="16"/>
      <c r="H351" s="17"/>
      <c r="I351" s="12"/>
      <c r="J351" s="12"/>
      <c r="K351" s="12"/>
      <c r="L351" s="12"/>
      <c r="M351" s="18" t="str">
        <f t="shared" si="1"/>
        <v>#DIV/0!</v>
      </c>
      <c r="N351" s="18" t="str">
        <f t="shared" si="2"/>
        <v>#DIV/0!</v>
      </c>
      <c r="O351" s="12" t="str">
        <f t="shared" si="4"/>
        <v/>
      </c>
      <c r="P351" s="18" t="str">
        <f t="shared" si="3"/>
        <v>#DIV/0!</v>
      </c>
      <c r="Q351" s="12"/>
    </row>
    <row r="352">
      <c r="A352" s="1" t="s">
        <v>1343</v>
      </c>
      <c r="B352" s="7" t="s">
        <v>1344</v>
      </c>
      <c r="C352" s="2" t="s">
        <v>268</v>
      </c>
      <c r="D352" s="7" t="s">
        <v>137</v>
      </c>
      <c r="E352" s="16"/>
      <c r="F352" s="16"/>
      <c r="G352" s="16"/>
      <c r="H352" s="17"/>
      <c r="I352" s="12"/>
      <c r="J352" s="12"/>
      <c r="K352" s="12"/>
      <c r="L352" s="12"/>
      <c r="M352" s="18" t="str">
        <f t="shared" si="1"/>
        <v>#DIV/0!</v>
      </c>
      <c r="N352" s="18" t="str">
        <f t="shared" si="2"/>
        <v>#DIV/0!</v>
      </c>
      <c r="O352" s="12" t="str">
        <f t="shared" si="4"/>
        <v/>
      </c>
      <c r="P352" s="18" t="str">
        <f t="shared" si="3"/>
        <v>#DIV/0!</v>
      </c>
      <c r="Q352" s="12"/>
    </row>
    <row r="353">
      <c r="A353" s="1" t="s">
        <v>1345</v>
      </c>
      <c r="B353" s="7" t="s">
        <v>1346</v>
      </c>
      <c r="C353" s="2" t="s">
        <v>1347</v>
      </c>
      <c r="D353" s="1" t="s">
        <v>1348</v>
      </c>
      <c r="E353" s="16"/>
      <c r="F353" s="16"/>
      <c r="G353" s="16"/>
      <c r="H353" s="17"/>
      <c r="I353" s="12"/>
      <c r="J353" s="12"/>
      <c r="K353" s="12"/>
      <c r="L353" s="12"/>
      <c r="M353" s="18" t="str">
        <f t="shared" si="1"/>
        <v>#DIV/0!</v>
      </c>
      <c r="N353" s="18" t="str">
        <f t="shared" si="2"/>
        <v>#DIV/0!</v>
      </c>
      <c r="O353" s="12" t="str">
        <f t="shared" si="4"/>
        <v/>
      </c>
      <c r="P353" s="18" t="str">
        <f t="shared" si="3"/>
        <v>#DIV/0!</v>
      </c>
      <c r="Q353" s="12"/>
    </row>
    <row r="354">
      <c r="A354" s="1" t="s">
        <v>1349</v>
      </c>
      <c r="B354" s="7" t="s">
        <v>1350</v>
      </c>
      <c r="C354" s="2" t="s">
        <v>1351</v>
      </c>
      <c r="D354" s="7" t="s">
        <v>1352</v>
      </c>
      <c r="E354" s="16"/>
      <c r="F354" s="16"/>
      <c r="G354" s="16"/>
      <c r="H354" s="17"/>
      <c r="I354" s="12"/>
      <c r="J354" s="12"/>
      <c r="K354" s="12"/>
      <c r="L354" s="12"/>
      <c r="M354" s="18" t="str">
        <f t="shared" si="1"/>
        <v>#DIV/0!</v>
      </c>
      <c r="N354" s="18" t="str">
        <f t="shared" si="2"/>
        <v>#DIV/0!</v>
      </c>
      <c r="O354" s="12" t="str">
        <f t="shared" si="4"/>
        <v/>
      </c>
      <c r="P354" s="18" t="str">
        <f t="shared" si="3"/>
        <v>#DIV/0!</v>
      </c>
      <c r="Q354" s="12"/>
    </row>
    <row r="355">
      <c r="A355" s="1" t="s">
        <v>1353</v>
      </c>
      <c r="B355" s="7" t="s">
        <v>1354</v>
      </c>
      <c r="C355" s="2" t="s">
        <v>1355</v>
      </c>
      <c r="D355" s="1" t="s">
        <v>1356</v>
      </c>
      <c r="E355" s="16"/>
      <c r="F355" s="16"/>
      <c r="G355" s="16"/>
      <c r="H355" s="17"/>
      <c r="I355" s="12"/>
      <c r="J355" s="12"/>
      <c r="K355" s="12"/>
      <c r="L355" s="12"/>
      <c r="M355" s="18" t="str">
        <f t="shared" si="1"/>
        <v>#DIV/0!</v>
      </c>
      <c r="N355" s="18" t="str">
        <f t="shared" si="2"/>
        <v>#DIV/0!</v>
      </c>
      <c r="O355" s="12" t="str">
        <f t="shared" si="4"/>
        <v/>
      </c>
      <c r="P355" s="18" t="str">
        <f t="shared" si="3"/>
        <v>#DIV/0!</v>
      </c>
      <c r="Q355" s="12"/>
    </row>
    <row r="356">
      <c r="A356" s="1" t="s">
        <v>1357</v>
      </c>
      <c r="B356" s="7" t="s">
        <v>1358</v>
      </c>
      <c r="C356" s="2" t="s">
        <v>1359</v>
      </c>
      <c r="D356" s="1" t="s">
        <v>1360</v>
      </c>
      <c r="E356" s="16"/>
      <c r="F356" s="16"/>
      <c r="G356" s="16"/>
      <c r="H356" s="17"/>
      <c r="I356" s="12"/>
      <c r="J356" s="12"/>
      <c r="K356" s="12"/>
      <c r="L356" s="12"/>
      <c r="M356" s="18" t="str">
        <f t="shared" si="1"/>
        <v>#DIV/0!</v>
      </c>
      <c r="N356" s="18" t="str">
        <f t="shared" si="2"/>
        <v>#DIV/0!</v>
      </c>
      <c r="O356" s="12" t="str">
        <f t="shared" si="4"/>
        <v/>
      </c>
      <c r="P356" s="18" t="str">
        <f t="shared" si="3"/>
        <v>#DIV/0!</v>
      </c>
      <c r="Q356" s="12"/>
    </row>
    <row r="357">
      <c r="A357" s="1" t="s">
        <v>1361</v>
      </c>
      <c r="B357" s="7" t="s">
        <v>1362</v>
      </c>
      <c r="C357" s="2" t="s">
        <v>1363</v>
      </c>
      <c r="D357" s="1" t="s">
        <v>1364</v>
      </c>
      <c r="E357" s="16"/>
      <c r="F357" s="16"/>
      <c r="G357" s="16"/>
      <c r="H357" s="17"/>
      <c r="I357" s="12"/>
      <c r="J357" s="12"/>
      <c r="K357" s="12"/>
      <c r="L357" s="12"/>
      <c r="M357" s="18" t="str">
        <f t="shared" si="1"/>
        <v>#DIV/0!</v>
      </c>
      <c r="N357" s="18" t="str">
        <f t="shared" si="2"/>
        <v>#DIV/0!</v>
      </c>
      <c r="O357" s="12" t="str">
        <f t="shared" si="4"/>
        <v/>
      </c>
      <c r="P357" s="18" t="str">
        <f t="shared" si="3"/>
        <v>#DIV/0!</v>
      </c>
      <c r="Q357" s="12"/>
    </row>
    <row r="358">
      <c r="A358" s="1" t="s">
        <v>1365</v>
      </c>
      <c r="B358" s="7" t="s">
        <v>1366</v>
      </c>
      <c r="C358" s="2" t="s">
        <v>1367</v>
      </c>
      <c r="D358" s="7" t="s">
        <v>137</v>
      </c>
      <c r="E358" s="16"/>
      <c r="F358" s="16"/>
      <c r="G358" s="16"/>
      <c r="H358" s="17"/>
      <c r="I358" s="12"/>
      <c r="J358" s="12"/>
      <c r="K358" s="12"/>
      <c r="L358" s="12"/>
      <c r="M358" s="18" t="str">
        <f t="shared" si="1"/>
        <v>#DIV/0!</v>
      </c>
      <c r="N358" s="18" t="str">
        <f t="shared" si="2"/>
        <v>#DIV/0!</v>
      </c>
      <c r="O358" s="12" t="str">
        <f t="shared" si="4"/>
        <v/>
      </c>
      <c r="P358" s="18" t="str">
        <f t="shared" si="3"/>
        <v>#DIV/0!</v>
      </c>
      <c r="Q358" s="12"/>
    </row>
    <row r="359">
      <c r="A359" s="1" t="s">
        <v>1368</v>
      </c>
      <c r="B359" s="7" t="s">
        <v>1369</v>
      </c>
      <c r="C359" s="2" t="s">
        <v>1370</v>
      </c>
      <c r="D359" s="1" t="s">
        <v>1371</v>
      </c>
      <c r="E359" s="16"/>
      <c r="F359" s="16"/>
      <c r="G359" s="16"/>
      <c r="H359" s="17"/>
      <c r="I359" s="12"/>
      <c r="J359" s="12"/>
      <c r="K359" s="12"/>
      <c r="L359" s="12"/>
      <c r="M359" s="18" t="str">
        <f t="shared" si="1"/>
        <v>#DIV/0!</v>
      </c>
      <c r="N359" s="18" t="str">
        <f t="shared" si="2"/>
        <v>#DIV/0!</v>
      </c>
      <c r="O359" s="12" t="str">
        <f t="shared" si="4"/>
        <v/>
      </c>
      <c r="P359" s="18" t="str">
        <f t="shared" si="3"/>
        <v>#DIV/0!</v>
      </c>
      <c r="Q359" s="12"/>
    </row>
    <row r="360">
      <c r="A360" s="1" t="s">
        <v>1372</v>
      </c>
      <c r="B360" s="7" t="s">
        <v>1373</v>
      </c>
      <c r="C360" s="2" t="s">
        <v>1374</v>
      </c>
      <c r="D360" s="1" t="s">
        <v>1375</v>
      </c>
      <c r="E360" s="16"/>
      <c r="F360" s="16"/>
      <c r="G360" s="16"/>
      <c r="H360" s="17"/>
      <c r="I360" s="12"/>
      <c r="J360" s="12"/>
      <c r="K360" s="12"/>
      <c r="L360" s="12"/>
      <c r="M360" s="18" t="str">
        <f t="shared" si="1"/>
        <v>#DIV/0!</v>
      </c>
      <c r="N360" s="18" t="str">
        <f t="shared" si="2"/>
        <v>#DIV/0!</v>
      </c>
      <c r="O360" s="12" t="str">
        <f t="shared" si="4"/>
        <v/>
      </c>
      <c r="P360" s="18" t="str">
        <f t="shared" si="3"/>
        <v>#DIV/0!</v>
      </c>
      <c r="Q360" s="12"/>
    </row>
    <row r="361">
      <c r="A361" s="1" t="s">
        <v>1376</v>
      </c>
      <c r="B361" s="7" t="s">
        <v>1377</v>
      </c>
      <c r="C361" s="2" t="s">
        <v>1378</v>
      </c>
      <c r="D361" s="1" t="s">
        <v>1379</v>
      </c>
      <c r="E361" s="16"/>
      <c r="F361" s="16"/>
      <c r="G361" s="16"/>
      <c r="H361" s="17"/>
      <c r="I361" s="12"/>
      <c r="J361" s="12"/>
      <c r="K361" s="12"/>
      <c r="L361" s="12"/>
      <c r="M361" s="18" t="str">
        <f t="shared" si="1"/>
        <v>#DIV/0!</v>
      </c>
      <c r="N361" s="18" t="str">
        <f t="shared" si="2"/>
        <v>#DIV/0!</v>
      </c>
      <c r="O361" s="12" t="str">
        <f t="shared" si="4"/>
        <v/>
      </c>
      <c r="P361" s="18" t="str">
        <f t="shared" si="3"/>
        <v>#DIV/0!</v>
      </c>
      <c r="Q361" s="12"/>
    </row>
    <row r="362">
      <c r="A362" s="19" t="s">
        <v>1380</v>
      </c>
      <c r="B362" s="7" t="s">
        <v>1381</v>
      </c>
      <c r="C362" s="2" t="s">
        <v>1382</v>
      </c>
      <c r="D362" s="7" t="s">
        <v>1383</v>
      </c>
      <c r="E362" s="16"/>
      <c r="F362" s="16"/>
      <c r="G362" s="16"/>
      <c r="H362" s="17"/>
      <c r="I362" s="12"/>
      <c r="J362" s="12"/>
      <c r="K362" s="12"/>
      <c r="L362" s="12"/>
      <c r="M362" s="18" t="str">
        <f t="shared" si="1"/>
        <v>#DIV/0!</v>
      </c>
      <c r="N362" s="18" t="str">
        <f t="shared" si="2"/>
        <v>#DIV/0!</v>
      </c>
      <c r="O362" s="12" t="str">
        <f t="shared" si="4"/>
        <v/>
      </c>
      <c r="P362" s="18" t="str">
        <f t="shared" si="3"/>
        <v>#DIV/0!</v>
      </c>
      <c r="Q362" s="12"/>
    </row>
    <row r="363">
      <c r="A363" s="1" t="s">
        <v>1384</v>
      </c>
      <c r="B363" s="7" t="s">
        <v>1385</v>
      </c>
      <c r="C363" s="2" t="s">
        <v>1386</v>
      </c>
      <c r="D363" s="1" t="s">
        <v>1387</v>
      </c>
      <c r="E363" s="16"/>
      <c r="F363" s="16"/>
      <c r="G363" s="16"/>
      <c r="H363" s="17"/>
      <c r="I363" s="12"/>
      <c r="J363" s="12"/>
      <c r="K363" s="12"/>
      <c r="L363" s="12"/>
      <c r="M363" s="18" t="str">
        <f t="shared" si="1"/>
        <v>#DIV/0!</v>
      </c>
      <c r="N363" s="18" t="str">
        <f t="shared" si="2"/>
        <v>#DIV/0!</v>
      </c>
      <c r="O363" s="12" t="str">
        <f t="shared" si="4"/>
        <v/>
      </c>
      <c r="P363" s="18" t="str">
        <f t="shared" si="3"/>
        <v>#DIV/0!</v>
      </c>
      <c r="Q363" s="12"/>
    </row>
    <row r="364">
      <c r="A364" s="1" t="s">
        <v>1388</v>
      </c>
      <c r="B364" s="7" t="s">
        <v>1389</v>
      </c>
      <c r="C364" s="2" t="s">
        <v>1390</v>
      </c>
      <c r="D364" s="1" t="s">
        <v>1391</v>
      </c>
      <c r="E364" s="16"/>
      <c r="F364" s="16"/>
      <c r="G364" s="16"/>
      <c r="H364" s="17"/>
      <c r="I364" s="12"/>
      <c r="J364" s="12"/>
      <c r="K364" s="12"/>
      <c r="L364" s="12"/>
      <c r="M364" s="18" t="str">
        <f t="shared" si="1"/>
        <v>#DIV/0!</v>
      </c>
      <c r="N364" s="18" t="str">
        <f t="shared" si="2"/>
        <v>#DIV/0!</v>
      </c>
      <c r="O364" s="12" t="str">
        <f t="shared" si="4"/>
        <v/>
      </c>
      <c r="P364" s="18" t="str">
        <f t="shared" si="3"/>
        <v>#DIV/0!</v>
      </c>
      <c r="Q364" s="12"/>
    </row>
    <row r="365">
      <c r="A365" s="1" t="s">
        <v>1392</v>
      </c>
      <c r="B365" s="7" t="s">
        <v>1393</v>
      </c>
      <c r="C365" s="2" t="s">
        <v>1394</v>
      </c>
      <c r="D365" s="1" t="s">
        <v>1395</v>
      </c>
      <c r="E365" s="16"/>
      <c r="F365" s="16"/>
      <c r="G365" s="16"/>
      <c r="H365" s="17"/>
      <c r="I365" s="12"/>
      <c r="J365" s="12"/>
      <c r="K365" s="12"/>
      <c r="L365" s="12"/>
      <c r="M365" s="18" t="str">
        <f t="shared" si="1"/>
        <v>#DIV/0!</v>
      </c>
      <c r="N365" s="18" t="str">
        <f t="shared" si="2"/>
        <v>#DIV/0!</v>
      </c>
      <c r="O365" s="12" t="str">
        <f t="shared" si="4"/>
        <v/>
      </c>
      <c r="P365" s="18" t="str">
        <f t="shared" si="3"/>
        <v>#DIV/0!</v>
      </c>
      <c r="Q365" s="12"/>
    </row>
    <row r="366">
      <c r="A366" s="1" t="s">
        <v>1396</v>
      </c>
      <c r="B366" s="7" t="s">
        <v>1397</v>
      </c>
      <c r="C366" s="2" t="s">
        <v>1398</v>
      </c>
      <c r="D366" s="1" t="s">
        <v>1399</v>
      </c>
      <c r="E366" s="16"/>
      <c r="F366" s="16"/>
      <c r="G366" s="16"/>
      <c r="H366" s="17"/>
      <c r="I366" s="12"/>
      <c r="J366" s="12"/>
      <c r="K366" s="12"/>
      <c r="L366" s="12"/>
      <c r="M366" s="18" t="str">
        <f t="shared" si="1"/>
        <v>#DIV/0!</v>
      </c>
      <c r="N366" s="18" t="str">
        <f t="shared" si="2"/>
        <v>#DIV/0!</v>
      </c>
      <c r="O366" s="12" t="str">
        <f t="shared" si="4"/>
        <v/>
      </c>
      <c r="P366" s="18" t="str">
        <f t="shared" si="3"/>
        <v>#DIV/0!</v>
      </c>
      <c r="Q366" s="12"/>
    </row>
    <row r="367">
      <c r="A367" s="1" t="s">
        <v>1400</v>
      </c>
      <c r="B367" s="7" t="s">
        <v>1401</v>
      </c>
      <c r="C367" s="2" t="s">
        <v>1402</v>
      </c>
      <c r="D367" s="1" t="s">
        <v>1403</v>
      </c>
      <c r="E367" s="16"/>
      <c r="F367" s="16"/>
      <c r="G367" s="16"/>
      <c r="H367" s="17"/>
      <c r="I367" s="12"/>
      <c r="J367" s="12"/>
      <c r="K367" s="12"/>
      <c r="L367" s="12"/>
      <c r="M367" s="18" t="str">
        <f t="shared" si="1"/>
        <v>#DIV/0!</v>
      </c>
      <c r="N367" s="18" t="str">
        <f t="shared" si="2"/>
        <v>#DIV/0!</v>
      </c>
      <c r="O367" s="12" t="str">
        <f t="shared" si="4"/>
        <v/>
      </c>
      <c r="P367" s="18" t="str">
        <f t="shared" si="3"/>
        <v>#DIV/0!</v>
      </c>
      <c r="Q367" s="12"/>
    </row>
    <row r="368">
      <c r="A368" s="1" t="s">
        <v>1404</v>
      </c>
      <c r="B368" s="7" t="s">
        <v>1405</v>
      </c>
      <c r="C368" s="2" t="s">
        <v>1406</v>
      </c>
      <c r="D368" s="1" t="s">
        <v>1407</v>
      </c>
      <c r="E368" s="16"/>
      <c r="F368" s="16"/>
      <c r="G368" s="16"/>
      <c r="H368" s="17"/>
      <c r="I368" s="12"/>
      <c r="J368" s="12"/>
      <c r="K368" s="12"/>
      <c r="L368" s="12"/>
      <c r="M368" s="18" t="str">
        <f t="shared" si="1"/>
        <v>#DIV/0!</v>
      </c>
      <c r="N368" s="18" t="str">
        <f t="shared" si="2"/>
        <v>#DIV/0!</v>
      </c>
      <c r="O368" s="12" t="str">
        <f t="shared" si="4"/>
        <v/>
      </c>
      <c r="P368" s="18" t="str">
        <f t="shared" si="3"/>
        <v>#DIV/0!</v>
      </c>
      <c r="Q368" s="12"/>
    </row>
    <row r="369">
      <c r="A369" s="1" t="s">
        <v>1408</v>
      </c>
      <c r="B369" s="7" t="s">
        <v>1409</v>
      </c>
      <c r="C369" s="2" t="s">
        <v>577</v>
      </c>
      <c r="D369" s="7" t="s">
        <v>296</v>
      </c>
      <c r="E369" s="16"/>
      <c r="F369" s="16"/>
      <c r="G369" s="16"/>
      <c r="H369" s="17"/>
      <c r="I369" s="12"/>
      <c r="J369" s="12"/>
      <c r="K369" s="12"/>
      <c r="L369" s="12"/>
      <c r="M369" s="18" t="str">
        <f t="shared" si="1"/>
        <v>#DIV/0!</v>
      </c>
      <c r="N369" s="18" t="str">
        <f t="shared" si="2"/>
        <v>#DIV/0!</v>
      </c>
      <c r="O369" s="12" t="str">
        <f t="shared" si="4"/>
        <v/>
      </c>
      <c r="P369" s="18" t="str">
        <f t="shared" si="3"/>
        <v>#DIV/0!</v>
      </c>
      <c r="Q369" s="12"/>
    </row>
    <row r="370">
      <c r="A370" s="1" t="s">
        <v>1410</v>
      </c>
      <c r="B370" s="7" t="s">
        <v>1411</v>
      </c>
      <c r="C370" s="2" t="s">
        <v>1412</v>
      </c>
      <c r="D370" s="1" t="s">
        <v>1413</v>
      </c>
      <c r="E370" s="16"/>
      <c r="F370" s="16"/>
      <c r="G370" s="16"/>
      <c r="H370" s="17"/>
      <c r="I370" s="12"/>
      <c r="J370" s="12"/>
      <c r="K370" s="12"/>
      <c r="L370" s="12"/>
      <c r="M370" s="18" t="str">
        <f t="shared" si="1"/>
        <v>#DIV/0!</v>
      </c>
      <c r="N370" s="18" t="str">
        <f t="shared" si="2"/>
        <v>#DIV/0!</v>
      </c>
      <c r="O370" s="12" t="str">
        <f t="shared" si="4"/>
        <v/>
      </c>
      <c r="P370" s="18" t="str">
        <f t="shared" si="3"/>
        <v>#DIV/0!</v>
      </c>
      <c r="Q370" s="12"/>
    </row>
    <row r="371">
      <c r="A371" s="1" t="s">
        <v>1414</v>
      </c>
      <c r="B371" s="7" t="s">
        <v>1415</v>
      </c>
      <c r="C371" s="2" t="s">
        <v>1416</v>
      </c>
      <c r="D371" s="1" t="s">
        <v>864</v>
      </c>
      <c r="E371" s="16"/>
      <c r="F371" s="16"/>
      <c r="G371" s="16"/>
      <c r="H371" s="17"/>
      <c r="I371" s="12"/>
      <c r="J371" s="12"/>
      <c r="K371" s="12"/>
      <c r="L371" s="12"/>
      <c r="M371" s="18" t="str">
        <f t="shared" si="1"/>
        <v>#DIV/0!</v>
      </c>
      <c r="N371" s="18" t="str">
        <f t="shared" si="2"/>
        <v>#DIV/0!</v>
      </c>
      <c r="O371" s="12" t="str">
        <f t="shared" si="4"/>
        <v/>
      </c>
      <c r="P371" s="18" t="str">
        <f t="shared" si="3"/>
        <v>#DIV/0!</v>
      </c>
      <c r="Q371" s="12"/>
    </row>
    <row r="372">
      <c r="A372" s="1" t="s">
        <v>1417</v>
      </c>
      <c r="B372" s="7" t="s">
        <v>1418</v>
      </c>
      <c r="C372" s="2" t="s">
        <v>268</v>
      </c>
      <c r="D372" s="7" t="s">
        <v>137</v>
      </c>
      <c r="E372" s="16"/>
      <c r="F372" s="16"/>
      <c r="G372" s="16"/>
      <c r="H372" s="17"/>
      <c r="I372" s="12"/>
      <c r="J372" s="12"/>
      <c r="K372" s="12"/>
      <c r="L372" s="12"/>
      <c r="M372" s="18" t="str">
        <f t="shared" si="1"/>
        <v>#DIV/0!</v>
      </c>
      <c r="N372" s="18" t="str">
        <f t="shared" si="2"/>
        <v>#DIV/0!</v>
      </c>
      <c r="O372" s="12" t="str">
        <f t="shared" si="4"/>
        <v/>
      </c>
      <c r="P372" s="18" t="str">
        <f t="shared" si="3"/>
        <v>#DIV/0!</v>
      </c>
      <c r="Q372" s="12"/>
    </row>
    <row r="373">
      <c r="A373" s="1" t="s">
        <v>1419</v>
      </c>
      <c r="B373" s="7" t="s">
        <v>1420</v>
      </c>
      <c r="C373" s="2" t="s">
        <v>1421</v>
      </c>
      <c r="D373" s="7" t="s">
        <v>1422</v>
      </c>
      <c r="E373" s="16"/>
      <c r="F373" s="16"/>
      <c r="G373" s="16"/>
      <c r="H373" s="17"/>
      <c r="I373" s="12"/>
      <c r="J373" s="12"/>
      <c r="K373" s="12"/>
      <c r="L373" s="12"/>
      <c r="M373" s="18" t="str">
        <f t="shared" si="1"/>
        <v>#DIV/0!</v>
      </c>
      <c r="N373" s="18" t="str">
        <f t="shared" si="2"/>
        <v>#DIV/0!</v>
      </c>
      <c r="O373" s="12" t="str">
        <f t="shared" si="4"/>
        <v/>
      </c>
      <c r="P373" s="18" t="str">
        <f t="shared" si="3"/>
        <v>#DIV/0!</v>
      </c>
      <c r="Q373" s="12"/>
    </row>
    <row r="374">
      <c r="A374" s="1" t="s">
        <v>1423</v>
      </c>
      <c r="B374" s="7" t="s">
        <v>1424</v>
      </c>
      <c r="C374" s="2" t="s">
        <v>1425</v>
      </c>
      <c r="D374" s="1" t="s">
        <v>1426</v>
      </c>
      <c r="E374" s="16"/>
      <c r="F374" s="16"/>
      <c r="G374" s="16"/>
      <c r="H374" s="17"/>
      <c r="I374" s="12"/>
      <c r="J374" s="12"/>
      <c r="K374" s="12"/>
      <c r="L374" s="12"/>
      <c r="M374" s="18" t="str">
        <f t="shared" si="1"/>
        <v>#DIV/0!</v>
      </c>
      <c r="N374" s="18" t="str">
        <f t="shared" si="2"/>
        <v>#DIV/0!</v>
      </c>
      <c r="O374" s="12" t="str">
        <f t="shared" si="4"/>
        <v/>
      </c>
      <c r="P374" s="18" t="str">
        <f t="shared" si="3"/>
        <v>#DIV/0!</v>
      </c>
      <c r="Q374" s="12"/>
    </row>
    <row r="375">
      <c r="A375" s="1" t="s">
        <v>1427</v>
      </c>
      <c r="B375" s="7" t="s">
        <v>1428</v>
      </c>
      <c r="C375" s="2" t="s">
        <v>1004</v>
      </c>
      <c r="D375" s="7" t="s">
        <v>137</v>
      </c>
      <c r="E375" s="16"/>
      <c r="F375" s="16"/>
      <c r="G375" s="16"/>
      <c r="H375" s="17"/>
      <c r="I375" s="12"/>
      <c r="J375" s="12"/>
      <c r="K375" s="12"/>
      <c r="L375" s="12"/>
      <c r="M375" s="18" t="str">
        <f t="shared" si="1"/>
        <v>#DIV/0!</v>
      </c>
      <c r="N375" s="18" t="str">
        <f t="shared" si="2"/>
        <v>#DIV/0!</v>
      </c>
      <c r="O375" s="12" t="str">
        <f t="shared" si="4"/>
        <v/>
      </c>
      <c r="P375" s="18" t="str">
        <f t="shared" si="3"/>
        <v>#DIV/0!</v>
      </c>
      <c r="Q375" s="12"/>
    </row>
    <row r="376">
      <c r="A376" s="1" t="s">
        <v>1429</v>
      </c>
      <c r="B376" s="7" t="s">
        <v>1430</v>
      </c>
      <c r="C376" s="2" t="s">
        <v>1431</v>
      </c>
      <c r="D376" s="1" t="s">
        <v>1432</v>
      </c>
      <c r="E376" s="16"/>
      <c r="F376" s="16"/>
      <c r="G376" s="16"/>
      <c r="H376" s="17"/>
      <c r="I376" s="12"/>
      <c r="J376" s="12"/>
      <c r="K376" s="12"/>
      <c r="L376" s="12"/>
      <c r="M376" s="18" t="str">
        <f t="shared" si="1"/>
        <v>#DIV/0!</v>
      </c>
      <c r="N376" s="18" t="str">
        <f t="shared" si="2"/>
        <v>#DIV/0!</v>
      </c>
      <c r="O376" s="12" t="str">
        <f t="shared" si="4"/>
        <v/>
      </c>
      <c r="P376" s="18" t="str">
        <f t="shared" si="3"/>
        <v>#DIV/0!</v>
      </c>
      <c r="Q376" s="12"/>
    </row>
    <row r="377">
      <c r="A377" s="1" t="s">
        <v>1433</v>
      </c>
      <c r="B377" s="7" t="s">
        <v>1434</v>
      </c>
      <c r="C377" s="2" t="s">
        <v>268</v>
      </c>
      <c r="D377" s="7" t="s">
        <v>137</v>
      </c>
      <c r="E377" s="16"/>
      <c r="F377" s="16"/>
      <c r="G377" s="16"/>
      <c r="H377" s="17"/>
      <c r="I377" s="12"/>
      <c r="J377" s="12"/>
      <c r="K377" s="12"/>
      <c r="L377" s="12"/>
      <c r="M377" s="18" t="str">
        <f t="shared" si="1"/>
        <v>#DIV/0!</v>
      </c>
      <c r="N377" s="18" t="str">
        <f t="shared" si="2"/>
        <v>#DIV/0!</v>
      </c>
      <c r="O377" s="12" t="str">
        <f t="shared" si="4"/>
        <v/>
      </c>
      <c r="P377" s="18" t="str">
        <f t="shared" si="3"/>
        <v>#DIV/0!</v>
      </c>
      <c r="Q377" s="12"/>
    </row>
    <row r="378">
      <c r="A378" s="1" t="s">
        <v>1435</v>
      </c>
      <c r="B378" s="7" t="s">
        <v>1436</v>
      </c>
      <c r="C378" s="2" t="s">
        <v>1437</v>
      </c>
      <c r="D378" s="7" t="s">
        <v>1438</v>
      </c>
      <c r="E378" s="16"/>
      <c r="F378" s="16"/>
      <c r="G378" s="16"/>
      <c r="H378" s="17"/>
      <c r="I378" s="12"/>
      <c r="J378" s="12"/>
      <c r="K378" s="12"/>
      <c r="L378" s="12"/>
      <c r="M378" s="18" t="str">
        <f t="shared" si="1"/>
        <v>#DIV/0!</v>
      </c>
      <c r="N378" s="18" t="str">
        <f t="shared" si="2"/>
        <v>#DIV/0!</v>
      </c>
      <c r="O378" s="12" t="str">
        <f t="shared" si="4"/>
        <v/>
      </c>
      <c r="P378" s="18" t="str">
        <f t="shared" si="3"/>
        <v>#DIV/0!</v>
      </c>
      <c r="Q378" s="12"/>
    </row>
    <row r="379">
      <c r="A379" s="1" t="s">
        <v>1439</v>
      </c>
      <c r="B379" s="7" t="s">
        <v>1440</v>
      </c>
      <c r="C379" s="2" t="s">
        <v>1441</v>
      </c>
      <c r="D379" s="1" t="s">
        <v>1442</v>
      </c>
      <c r="E379" s="16"/>
      <c r="F379" s="16"/>
      <c r="G379" s="16"/>
      <c r="H379" s="17"/>
      <c r="I379" s="12"/>
      <c r="J379" s="12"/>
      <c r="K379" s="12"/>
      <c r="L379" s="12"/>
      <c r="M379" s="18" t="str">
        <f t="shared" si="1"/>
        <v>#DIV/0!</v>
      </c>
      <c r="N379" s="18" t="str">
        <f t="shared" si="2"/>
        <v>#DIV/0!</v>
      </c>
      <c r="O379" s="12" t="str">
        <f t="shared" si="4"/>
        <v/>
      </c>
      <c r="P379" s="18" t="str">
        <f t="shared" si="3"/>
        <v>#DIV/0!</v>
      </c>
      <c r="Q379" s="12"/>
    </row>
    <row r="380">
      <c r="A380" s="1" t="s">
        <v>1443</v>
      </c>
      <c r="B380" s="7" t="s">
        <v>1444</v>
      </c>
      <c r="C380" s="2" t="s">
        <v>1445</v>
      </c>
      <c r="D380" s="1" t="s">
        <v>1446</v>
      </c>
      <c r="E380" s="16"/>
      <c r="F380" s="16"/>
      <c r="G380" s="16"/>
      <c r="H380" s="17"/>
      <c r="I380" s="12"/>
      <c r="J380" s="12"/>
      <c r="K380" s="12"/>
      <c r="L380" s="12"/>
      <c r="M380" s="18" t="str">
        <f t="shared" si="1"/>
        <v>#DIV/0!</v>
      </c>
      <c r="N380" s="18" t="str">
        <f t="shared" si="2"/>
        <v>#DIV/0!</v>
      </c>
      <c r="O380" s="12" t="str">
        <f t="shared" si="4"/>
        <v/>
      </c>
      <c r="P380" s="18" t="str">
        <f t="shared" si="3"/>
        <v>#DIV/0!</v>
      </c>
      <c r="Q380" s="12"/>
    </row>
    <row r="381">
      <c r="A381" s="1" t="s">
        <v>1447</v>
      </c>
      <c r="B381" s="7" t="s">
        <v>1448</v>
      </c>
      <c r="C381" s="2" t="s">
        <v>1449</v>
      </c>
      <c r="D381" s="1" t="s">
        <v>1450</v>
      </c>
      <c r="E381" s="16"/>
      <c r="F381" s="16"/>
      <c r="G381" s="16"/>
      <c r="H381" s="17"/>
      <c r="I381" s="12"/>
      <c r="J381" s="12"/>
      <c r="K381" s="12"/>
      <c r="L381" s="12"/>
      <c r="M381" s="18" t="str">
        <f t="shared" si="1"/>
        <v>#DIV/0!</v>
      </c>
      <c r="N381" s="18" t="str">
        <f t="shared" si="2"/>
        <v>#DIV/0!</v>
      </c>
      <c r="O381" s="12" t="str">
        <f t="shared" si="4"/>
        <v/>
      </c>
      <c r="P381" s="18" t="str">
        <f t="shared" si="3"/>
        <v>#DIV/0!</v>
      </c>
      <c r="Q381" s="12"/>
    </row>
    <row r="382">
      <c r="A382" s="1" t="s">
        <v>1451</v>
      </c>
      <c r="B382" s="7" t="s">
        <v>1452</v>
      </c>
      <c r="C382" s="2" t="s">
        <v>1453</v>
      </c>
      <c r="D382" s="1" t="s">
        <v>1454</v>
      </c>
      <c r="E382" s="16"/>
      <c r="F382" s="16"/>
      <c r="G382" s="16"/>
      <c r="H382" s="17"/>
      <c r="I382" s="12"/>
      <c r="J382" s="12"/>
      <c r="K382" s="12"/>
      <c r="L382" s="12"/>
      <c r="M382" s="18" t="str">
        <f t="shared" si="1"/>
        <v>#DIV/0!</v>
      </c>
      <c r="N382" s="18" t="str">
        <f t="shared" si="2"/>
        <v>#DIV/0!</v>
      </c>
      <c r="O382" s="12" t="str">
        <f t="shared" si="4"/>
        <v/>
      </c>
      <c r="P382" s="18" t="str">
        <f t="shared" si="3"/>
        <v>#DIV/0!</v>
      </c>
      <c r="Q382" s="12"/>
    </row>
    <row r="383">
      <c r="A383" s="1" t="s">
        <v>1455</v>
      </c>
      <c r="B383" s="7" t="s">
        <v>1456</v>
      </c>
      <c r="C383" s="2" t="s">
        <v>268</v>
      </c>
      <c r="D383" s="7" t="s">
        <v>137</v>
      </c>
      <c r="E383" s="16"/>
      <c r="F383" s="16"/>
      <c r="G383" s="16"/>
      <c r="H383" s="17"/>
      <c r="I383" s="12"/>
      <c r="J383" s="12"/>
      <c r="K383" s="12"/>
      <c r="L383" s="12"/>
      <c r="M383" s="18" t="str">
        <f t="shared" si="1"/>
        <v>#DIV/0!</v>
      </c>
      <c r="N383" s="18" t="str">
        <f t="shared" si="2"/>
        <v>#DIV/0!</v>
      </c>
      <c r="O383" s="12" t="str">
        <f t="shared" si="4"/>
        <v/>
      </c>
      <c r="P383" s="18" t="str">
        <f t="shared" si="3"/>
        <v>#DIV/0!</v>
      </c>
      <c r="Q383" s="12"/>
    </row>
    <row r="384">
      <c r="A384" s="1" t="s">
        <v>1457</v>
      </c>
      <c r="B384" s="7" t="s">
        <v>1458</v>
      </c>
      <c r="C384" s="2" t="s">
        <v>1459</v>
      </c>
      <c r="D384" s="1" t="s">
        <v>1460</v>
      </c>
      <c r="E384" s="16"/>
      <c r="F384" s="16"/>
      <c r="G384" s="16"/>
      <c r="H384" s="17"/>
      <c r="I384" s="12"/>
      <c r="J384" s="12"/>
      <c r="K384" s="12"/>
      <c r="L384" s="12"/>
      <c r="M384" s="18" t="str">
        <f t="shared" si="1"/>
        <v>#DIV/0!</v>
      </c>
      <c r="N384" s="18" t="str">
        <f t="shared" si="2"/>
        <v>#DIV/0!</v>
      </c>
      <c r="O384" s="12" t="str">
        <f t="shared" si="4"/>
        <v/>
      </c>
      <c r="P384" s="18" t="str">
        <f t="shared" si="3"/>
        <v>#DIV/0!</v>
      </c>
      <c r="Q384" s="12"/>
    </row>
    <row r="385">
      <c r="A385" s="1" t="s">
        <v>1461</v>
      </c>
      <c r="B385" s="7" t="s">
        <v>1462</v>
      </c>
      <c r="C385" s="2" t="s">
        <v>1463</v>
      </c>
      <c r="D385" s="7" t="s">
        <v>1464</v>
      </c>
      <c r="E385" s="16"/>
      <c r="F385" s="16"/>
      <c r="G385" s="16"/>
      <c r="H385" s="17"/>
      <c r="I385" s="12"/>
      <c r="J385" s="12"/>
      <c r="K385" s="12"/>
      <c r="L385" s="12"/>
      <c r="M385" s="18" t="str">
        <f t="shared" si="1"/>
        <v>#DIV/0!</v>
      </c>
      <c r="N385" s="18" t="str">
        <f t="shared" si="2"/>
        <v>#DIV/0!</v>
      </c>
      <c r="O385" s="12" t="str">
        <f t="shared" si="4"/>
        <v/>
      </c>
      <c r="P385" s="18" t="str">
        <f t="shared" si="3"/>
        <v>#DIV/0!</v>
      </c>
      <c r="Q385" s="12"/>
    </row>
    <row r="386">
      <c r="A386" s="1" t="s">
        <v>1465</v>
      </c>
      <c r="B386" s="7" t="s">
        <v>1466</v>
      </c>
      <c r="C386" s="2" t="s">
        <v>1467</v>
      </c>
      <c r="D386" s="1" t="s">
        <v>1468</v>
      </c>
      <c r="E386" s="16"/>
      <c r="F386" s="16"/>
      <c r="G386" s="16"/>
      <c r="H386" s="17"/>
      <c r="I386" s="12"/>
      <c r="J386" s="12"/>
      <c r="K386" s="12"/>
      <c r="L386" s="12"/>
      <c r="M386" s="18" t="str">
        <f t="shared" si="1"/>
        <v>#DIV/0!</v>
      </c>
      <c r="N386" s="18" t="str">
        <f t="shared" si="2"/>
        <v>#DIV/0!</v>
      </c>
      <c r="O386" s="12" t="str">
        <f t="shared" si="4"/>
        <v/>
      </c>
      <c r="P386" s="18" t="str">
        <f t="shared" si="3"/>
        <v>#DIV/0!</v>
      </c>
      <c r="Q386" s="12"/>
    </row>
    <row r="387">
      <c r="A387" s="1" t="s">
        <v>1469</v>
      </c>
      <c r="B387" s="7" t="s">
        <v>1470</v>
      </c>
      <c r="C387" s="2" t="s">
        <v>584</v>
      </c>
      <c r="D387" s="7" t="s">
        <v>585</v>
      </c>
      <c r="E387" s="16"/>
      <c r="F387" s="16"/>
      <c r="G387" s="16"/>
      <c r="H387" s="17"/>
      <c r="I387" s="12"/>
      <c r="J387" s="12"/>
      <c r="K387" s="12"/>
      <c r="L387" s="12"/>
      <c r="M387" s="18" t="str">
        <f t="shared" si="1"/>
        <v>#DIV/0!</v>
      </c>
      <c r="N387" s="18" t="str">
        <f t="shared" si="2"/>
        <v>#DIV/0!</v>
      </c>
      <c r="O387" s="12" t="str">
        <f t="shared" si="4"/>
        <v/>
      </c>
      <c r="P387" s="18" t="str">
        <f t="shared" si="3"/>
        <v>#DIV/0!</v>
      </c>
      <c r="Q387" s="12"/>
    </row>
    <row r="388">
      <c r="A388" s="1" t="s">
        <v>1471</v>
      </c>
      <c r="B388" s="7" t="s">
        <v>1472</v>
      </c>
      <c r="C388" s="2" t="s">
        <v>1473</v>
      </c>
      <c r="D388" s="1" t="s">
        <v>1474</v>
      </c>
      <c r="E388" s="16"/>
      <c r="F388" s="16"/>
      <c r="G388" s="16"/>
      <c r="H388" s="17"/>
      <c r="I388" s="12"/>
      <c r="J388" s="12"/>
      <c r="K388" s="12"/>
      <c r="L388" s="12"/>
      <c r="M388" s="18" t="str">
        <f t="shared" si="1"/>
        <v>#DIV/0!</v>
      </c>
      <c r="N388" s="18" t="str">
        <f t="shared" si="2"/>
        <v>#DIV/0!</v>
      </c>
      <c r="O388" s="12" t="str">
        <f t="shared" si="4"/>
        <v/>
      </c>
      <c r="P388" s="18" t="str">
        <f t="shared" si="3"/>
        <v>#DIV/0!</v>
      </c>
      <c r="Q388" s="12"/>
    </row>
    <row r="389">
      <c r="A389" s="1" t="s">
        <v>1475</v>
      </c>
      <c r="B389" s="7" t="s">
        <v>1476</v>
      </c>
      <c r="C389" s="2" t="s">
        <v>1477</v>
      </c>
      <c r="D389" s="1" t="s">
        <v>1478</v>
      </c>
      <c r="E389" s="16"/>
      <c r="F389" s="16"/>
      <c r="G389" s="16"/>
      <c r="H389" s="17"/>
      <c r="I389" s="12"/>
      <c r="J389" s="12"/>
      <c r="K389" s="12"/>
      <c r="L389" s="12"/>
      <c r="M389" s="18" t="str">
        <f t="shared" si="1"/>
        <v>#DIV/0!</v>
      </c>
      <c r="N389" s="18" t="str">
        <f t="shared" si="2"/>
        <v>#DIV/0!</v>
      </c>
      <c r="O389" s="12" t="str">
        <f t="shared" si="4"/>
        <v/>
      </c>
      <c r="P389" s="18" t="str">
        <f t="shared" si="3"/>
        <v>#DIV/0!</v>
      </c>
      <c r="Q389" s="12"/>
    </row>
    <row r="390">
      <c r="A390" s="1" t="s">
        <v>1479</v>
      </c>
      <c r="B390" s="7" t="s">
        <v>1480</v>
      </c>
      <c r="C390" s="2" t="s">
        <v>555</v>
      </c>
      <c r="D390" s="7" t="s">
        <v>556</v>
      </c>
      <c r="E390" s="16"/>
      <c r="F390" s="16"/>
      <c r="G390" s="16"/>
      <c r="H390" s="17"/>
      <c r="I390" s="12"/>
      <c r="J390" s="12"/>
      <c r="K390" s="12"/>
      <c r="L390" s="12"/>
      <c r="M390" s="18" t="str">
        <f t="shared" si="1"/>
        <v>#DIV/0!</v>
      </c>
      <c r="N390" s="18" t="str">
        <f t="shared" si="2"/>
        <v>#DIV/0!</v>
      </c>
      <c r="O390" s="12" t="str">
        <f t="shared" si="4"/>
        <v/>
      </c>
      <c r="P390" s="18" t="str">
        <f t="shared" si="3"/>
        <v>#DIV/0!</v>
      </c>
      <c r="Q390" s="12"/>
    </row>
    <row r="391">
      <c r="A391" s="1" t="s">
        <v>1481</v>
      </c>
      <c r="B391" s="7" t="s">
        <v>1482</v>
      </c>
      <c r="C391" s="2" t="s">
        <v>172</v>
      </c>
      <c r="D391" s="7" t="s">
        <v>173</v>
      </c>
      <c r="E391" s="16"/>
      <c r="F391" s="16"/>
      <c r="G391" s="16"/>
      <c r="H391" s="17"/>
      <c r="I391" s="12"/>
      <c r="J391" s="12"/>
      <c r="K391" s="12"/>
      <c r="L391" s="12"/>
      <c r="M391" s="18" t="str">
        <f t="shared" si="1"/>
        <v>#DIV/0!</v>
      </c>
      <c r="N391" s="18" t="str">
        <f t="shared" si="2"/>
        <v>#DIV/0!</v>
      </c>
      <c r="O391" s="12" t="str">
        <f t="shared" si="4"/>
        <v/>
      </c>
      <c r="P391" s="18" t="str">
        <f t="shared" si="3"/>
        <v>#DIV/0!</v>
      </c>
      <c r="Q391" s="12"/>
    </row>
    <row r="392">
      <c r="A392" s="1" t="s">
        <v>1483</v>
      </c>
      <c r="B392" s="7" t="s">
        <v>1484</v>
      </c>
      <c r="C392" s="2" t="s">
        <v>1485</v>
      </c>
      <c r="D392" s="7" t="s">
        <v>284</v>
      </c>
      <c r="E392" s="16"/>
      <c r="F392" s="16"/>
      <c r="G392" s="16"/>
      <c r="H392" s="17"/>
      <c r="I392" s="12"/>
      <c r="J392" s="12"/>
      <c r="K392" s="12"/>
      <c r="L392" s="12"/>
      <c r="M392" s="18" t="str">
        <f t="shared" si="1"/>
        <v>#DIV/0!</v>
      </c>
      <c r="N392" s="18" t="str">
        <f t="shared" si="2"/>
        <v>#DIV/0!</v>
      </c>
      <c r="O392" s="12" t="str">
        <f t="shared" si="4"/>
        <v/>
      </c>
      <c r="P392" s="18" t="str">
        <f t="shared" si="3"/>
        <v>#DIV/0!</v>
      </c>
      <c r="Q392" s="12"/>
    </row>
    <row r="393">
      <c r="A393" s="1" t="s">
        <v>1486</v>
      </c>
      <c r="B393" s="7" t="s">
        <v>1487</v>
      </c>
      <c r="C393" s="2" t="s">
        <v>1488</v>
      </c>
      <c r="D393" s="1" t="s">
        <v>1489</v>
      </c>
      <c r="E393" s="16"/>
      <c r="F393" s="16"/>
      <c r="G393" s="16"/>
      <c r="H393" s="17"/>
      <c r="I393" s="12"/>
      <c r="J393" s="12"/>
      <c r="K393" s="12"/>
      <c r="L393" s="12"/>
      <c r="M393" s="18" t="str">
        <f t="shared" si="1"/>
        <v>#DIV/0!</v>
      </c>
      <c r="N393" s="18" t="str">
        <f t="shared" si="2"/>
        <v>#DIV/0!</v>
      </c>
      <c r="O393" s="12" t="str">
        <f t="shared" si="4"/>
        <v/>
      </c>
      <c r="P393" s="18" t="str">
        <f t="shared" si="3"/>
        <v>#DIV/0!</v>
      </c>
      <c r="Q393" s="12"/>
    </row>
    <row r="394">
      <c r="A394" s="1" t="s">
        <v>1490</v>
      </c>
      <c r="B394" s="7" t="s">
        <v>1491</v>
      </c>
      <c r="C394" s="2" t="s">
        <v>48</v>
      </c>
      <c r="D394" s="7" t="s">
        <v>49</v>
      </c>
      <c r="E394" s="16"/>
      <c r="F394" s="16"/>
      <c r="G394" s="16"/>
      <c r="H394" s="17"/>
      <c r="I394" s="12"/>
      <c r="J394" s="12"/>
      <c r="K394" s="12"/>
      <c r="L394" s="12"/>
      <c r="M394" s="18" t="str">
        <f t="shared" si="1"/>
        <v>#DIV/0!</v>
      </c>
      <c r="N394" s="18" t="str">
        <f t="shared" si="2"/>
        <v>#DIV/0!</v>
      </c>
      <c r="O394" s="12" t="str">
        <f t="shared" si="4"/>
        <v/>
      </c>
      <c r="P394" s="18" t="str">
        <f t="shared" si="3"/>
        <v>#DIV/0!</v>
      </c>
      <c r="Q394" s="12"/>
    </row>
    <row r="395">
      <c r="A395" s="1" t="s">
        <v>1492</v>
      </c>
      <c r="B395" s="7" t="s">
        <v>1493</v>
      </c>
      <c r="C395" s="2" t="s">
        <v>1048</v>
      </c>
      <c r="D395" s="7" t="s">
        <v>117</v>
      </c>
      <c r="E395" s="16"/>
      <c r="F395" s="16"/>
      <c r="G395" s="16"/>
      <c r="H395" s="17"/>
      <c r="I395" s="12"/>
      <c r="J395" s="12"/>
      <c r="K395" s="12"/>
      <c r="L395" s="12"/>
      <c r="M395" s="18" t="str">
        <f t="shared" si="1"/>
        <v>#DIV/0!</v>
      </c>
      <c r="N395" s="18" t="str">
        <f t="shared" si="2"/>
        <v>#DIV/0!</v>
      </c>
      <c r="O395" s="12" t="str">
        <f t="shared" si="4"/>
        <v/>
      </c>
      <c r="P395" s="18" t="str">
        <f t="shared" si="3"/>
        <v>#DIV/0!</v>
      </c>
      <c r="Q395" s="12"/>
    </row>
    <row r="396">
      <c r="A396" s="1" t="s">
        <v>1494</v>
      </c>
      <c r="B396" s="7" t="s">
        <v>1495</v>
      </c>
      <c r="C396" s="2" t="s">
        <v>268</v>
      </c>
      <c r="D396" s="7" t="s">
        <v>137</v>
      </c>
      <c r="E396" s="16"/>
      <c r="F396" s="16"/>
      <c r="G396" s="16"/>
      <c r="H396" s="17"/>
      <c r="I396" s="12"/>
      <c r="J396" s="12"/>
      <c r="K396" s="12"/>
      <c r="L396" s="12"/>
      <c r="M396" s="18" t="str">
        <f t="shared" si="1"/>
        <v>#DIV/0!</v>
      </c>
      <c r="N396" s="18" t="str">
        <f t="shared" si="2"/>
        <v>#DIV/0!</v>
      </c>
      <c r="O396" s="12" t="str">
        <f t="shared" si="4"/>
        <v/>
      </c>
      <c r="P396" s="18" t="str">
        <f t="shared" si="3"/>
        <v>#DIV/0!</v>
      </c>
      <c r="Q396" s="12"/>
    </row>
    <row r="397">
      <c r="A397" s="1" t="s">
        <v>1496</v>
      </c>
      <c r="B397" s="7" t="s">
        <v>1497</v>
      </c>
      <c r="C397" s="2" t="s">
        <v>1498</v>
      </c>
      <c r="D397" s="1" t="s">
        <v>1499</v>
      </c>
      <c r="E397" s="16"/>
      <c r="F397" s="16"/>
      <c r="G397" s="16"/>
      <c r="H397" s="17"/>
      <c r="I397" s="12"/>
      <c r="J397" s="12"/>
      <c r="K397" s="12"/>
      <c r="L397" s="12"/>
      <c r="M397" s="18" t="str">
        <f t="shared" si="1"/>
        <v>#DIV/0!</v>
      </c>
      <c r="N397" s="18" t="str">
        <f t="shared" si="2"/>
        <v>#DIV/0!</v>
      </c>
      <c r="O397" s="12" t="str">
        <f t="shared" si="4"/>
        <v/>
      </c>
      <c r="P397" s="18" t="str">
        <f t="shared" si="3"/>
        <v>#DIV/0!</v>
      </c>
      <c r="Q397" s="12"/>
    </row>
    <row r="398">
      <c r="A398" s="1" t="s">
        <v>1500</v>
      </c>
      <c r="B398" s="7" t="s">
        <v>1501</v>
      </c>
      <c r="C398" s="2" t="s">
        <v>1502</v>
      </c>
      <c r="D398" s="7" t="s">
        <v>1503</v>
      </c>
      <c r="E398" s="16"/>
      <c r="F398" s="16"/>
      <c r="G398" s="16"/>
      <c r="H398" s="17"/>
      <c r="I398" s="12"/>
      <c r="J398" s="12"/>
      <c r="K398" s="12"/>
      <c r="L398" s="12"/>
      <c r="M398" s="18" t="str">
        <f t="shared" si="1"/>
        <v>#DIV/0!</v>
      </c>
      <c r="N398" s="18" t="str">
        <f t="shared" si="2"/>
        <v>#DIV/0!</v>
      </c>
      <c r="O398" s="12" t="str">
        <f t="shared" si="4"/>
        <v/>
      </c>
      <c r="P398" s="18" t="str">
        <f t="shared" si="3"/>
        <v>#DIV/0!</v>
      </c>
      <c r="Q398" s="12"/>
    </row>
    <row r="399">
      <c r="A399" s="1" t="s">
        <v>1504</v>
      </c>
      <c r="B399" s="7" t="s">
        <v>1505</v>
      </c>
      <c r="C399" s="2" t="s">
        <v>268</v>
      </c>
      <c r="D399" s="7" t="s">
        <v>137</v>
      </c>
      <c r="E399" s="16"/>
      <c r="F399" s="16"/>
      <c r="G399" s="16"/>
      <c r="H399" s="17"/>
      <c r="I399" s="12"/>
      <c r="J399" s="12"/>
      <c r="K399" s="12"/>
      <c r="L399" s="12"/>
      <c r="M399" s="18" t="str">
        <f t="shared" si="1"/>
        <v>#DIV/0!</v>
      </c>
      <c r="N399" s="18" t="str">
        <f t="shared" si="2"/>
        <v>#DIV/0!</v>
      </c>
      <c r="O399" s="12" t="str">
        <f t="shared" si="4"/>
        <v/>
      </c>
      <c r="P399" s="18" t="str">
        <f t="shared" si="3"/>
        <v>#DIV/0!</v>
      </c>
      <c r="Q399" s="12"/>
    </row>
    <row r="400">
      <c r="A400" s="1" t="s">
        <v>1506</v>
      </c>
      <c r="B400" s="7" t="s">
        <v>1507</v>
      </c>
      <c r="C400" s="2" t="s">
        <v>1262</v>
      </c>
      <c r="D400" s="7" t="s">
        <v>1263</v>
      </c>
      <c r="E400" s="16"/>
      <c r="F400" s="16"/>
      <c r="G400" s="16"/>
      <c r="H400" s="17"/>
      <c r="I400" s="12"/>
      <c r="J400" s="12"/>
      <c r="K400" s="12"/>
      <c r="L400" s="12"/>
      <c r="M400" s="18" t="str">
        <f t="shared" si="1"/>
        <v>#DIV/0!</v>
      </c>
      <c r="N400" s="18" t="str">
        <f t="shared" si="2"/>
        <v>#DIV/0!</v>
      </c>
      <c r="O400" s="12" t="str">
        <f t="shared" si="4"/>
        <v/>
      </c>
      <c r="P400" s="18" t="str">
        <f t="shared" si="3"/>
        <v>#DIV/0!</v>
      </c>
      <c r="Q400" s="12"/>
    </row>
    <row r="401">
      <c r="A401" s="1" t="s">
        <v>1508</v>
      </c>
      <c r="B401" s="7" t="s">
        <v>1509</v>
      </c>
      <c r="C401" s="2" t="s">
        <v>1510</v>
      </c>
      <c r="D401" s="7" t="s">
        <v>1511</v>
      </c>
      <c r="E401" s="16"/>
      <c r="F401" s="16"/>
      <c r="G401" s="16"/>
      <c r="H401" s="17"/>
      <c r="I401" s="12"/>
      <c r="J401" s="12"/>
      <c r="K401" s="12"/>
      <c r="L401" s="12"/>
      <c r="M401" s="18" t="str">
        <f t="shared" si="1"/>
        <v>#DIV/0!</v>
      </c>
      <c r="N401" s="18" t="str">
        <f t="shared" si="2"/>
        <v>#DIV/0!</v>
      </c>
      <c r="O401" s="12" t="str">
        <f t="shared" si="4"/>
        <v/>
      </c>
      <c r="P401" s="18" t="str">
        <f t="shared" si="3"/>
        <v>#DIV/0!</v>
      </c>
      <c r="Q401" s="12"/>
    </row>
    <row r="402">
      <c r="A402" s="1" t="s">
        <v>1512</v>
      </c>
      <c r="B402" s="7" t="s">
        <v>1513</v>
      </c>
      <c r="C402" s="2" t="s">
        <v>1514</v>
      </c>
      <c r="D402" s="1" t="s">
        <v>1515</v>
      </c>
      <c r="E402" s="16"/>
      <c r="F402" s="16"/>
      <c r="G402" s="16"/>
      <c r="H402" s="17"/>
      <c r="I402" s="12"/>
      <c r="J402" s="12"/>
      <c r="K402" s="12"/>
      <c r="L402" s="12"/>
      <c r="M402" s="18" t="str">
        <f t="shared" si="1"/>
        <v>#DIV/0!</v>
      </c>
      <c r="N402" s="18" t="str">
        <f t="shared" si="2"/>
        <v>#DIV/0!</v>
      </c>
      <c r="O402" s="12" t="str">
        <f t="shared" si="4"/>
        <v/>
      </c>
      <c r="P402" s="18" t="str">
        <f t="shared" si="3"/>
        <v>#DIV/0!</v>
      </c>
      <c r="Q402" s="12"/>
    </row>
    <row r="403">
      <c r="A403" s="1" t="s">
        <v>1516</v>
      </c>
      <c r="B403" s="7" t="s">
        <v>1517</v>
      </c>
      <c r="C403" s="2" t="s">
        <v>1154</v>
      </c>
      <c r="D403" s="7" t="s">
        <v>1155</v>
      </c>
      <c r="E403" s="16"/>
      <c r="F403" s="16"/>
      <c r="G403" s="16"/>
      <c r="H403" s="17"/>
      <c r="I403" s="12"/>
      <c r="J403" s="12"/>
      <c r="K403" s="12"/>
      <c r="L403" s="12"/>
      <c r="M403" s="18" t="str">
        <f t="shared" si="1"/>
        <v>#DIV/0!</v>
      </c>
      <c r="N403" s="18" t="str">
        <f t="shared" si="2"/>
        <v>#DIV/0!</v>
      </c>
      <c r="O403" s="12" t="str">
        <f t="shared" si="4"/>
        <v/>
      </c>
      <c r="P403" s="18" t="str">
        <f t="shared" si="3"/>
        <v>#DIV/0!</v>
      </c>
      <c r="Q403" s="12"/>
    </row>
    <row r="404">
      <c r="A404" s="1" t="s">
        <v>1518</v>
      </c>
      <c r="B404" s="7" t="s">
        <v>1519</v>
      </c>
      <c r="C404" s="2" t="s">
        <v>1520</v>
      </c>
      <c r="D404" s="7" t="s">
        <v>1521</v>
      </c>
      <c r="E404" s="16"/>
      <c r="F404" s="16"/>
      <c r="G404" s="16"/>
      <c r="H404" s="17"/>
      <c r="I404" s="12"/>
      <c r="J404" s="12"/>
      <c r="K404" s="12"/>
      <c r="L404" s="12"/>
      <c r="M404" s="18" t="str">
        <f t="shared" si="1"/>
        <v>#DIV/0!</v>
      </c>
      <c r="N404" s="18" t="str">
        <f t="shared" si="2"/>
        <v>#DIV/0!</v>
      </c>
      <c r="O404" s="12" t="str">
        <f t="shared" si="4"/>
        <v/>
      </c>
      <c r="P404" s="18" t="str">
        <f t="shared" si="3"/>
        <v>#DIV/0!</v>
      </c>
      <c r="Q404" s="12"/>
    </row>
    <row r="405">
      <c r="A405" s="1" t="s">
        <v>1522</v>
      </c>
      <c r="B405" s="7" t="s">
        <v>1523</v>
      </c>
      <c r="C405" s="2" t="s">
        <v>1524</v>
      </c>
      <c r="D405" s="7" t="s">
        <v>1525</v>
      </c>
      <c r="E405" s="16"/>
      <c r="F405" s="16"/>
      <c r="G405" s="16"/>
      <c r="H405" s="17"/>
      <c r="I405" s="12"/>
      <c r="J405" s="12"/>
      <c r="K405" s="12"/>
      <c r="L405" s="12"/>
      <c r="M405" s="18" t="str">
        <f t="shared" si="1"/>
        <v>#DIV/0!</v>
      </c>
      <c r="N405" s="18" t="str">
        <f t="shared" si="2"/>
        <v>#DIV/0!</v>
      </c>
      <c r="O405" s="12" t="str">
        <f t="shared" si="4"/>
        <v/>
      </c>
      <c r="P405" s="18" t="str">
        <f t="shared" si="3"/>
        <v>#DIV/0!</v>
      </c>
      <c r="Q405" s="12"/>
    </row>
    <row r="406">
      <c r="A406" s="1" t="s">
        <v>1526</v>
      </c>
      <c r="B406" s="7" t="s">
        <v>1527</v>
      </c>
      <c r="C406" s="2" t="s">
        <v>1528</v>
      </c>
      <c r="D406" s="1" t="s">
        <v>1529</v>
      </c>
      <c r="E406" s="16"/>
      <c r="F406" s="16"/>
      <c r="G406" s="16"/>
      <c r="H406" s="17"/>
      <c r="I406" s="12"/>
      <c r="J406" s="12"/>
      <c r="K406" s="12"/>
      <c r="L406" s="12"/>
      <c r="M406" s="18" t="str">
        <f t="shared" si="1"/>
        <v>#DIV/0!</v>
      </c>
      <c r="N406" s="18" t="str">
        <f t="shared" si="2"/>
        <v>#DIV/0!</v>
      </c>
      <c r="O406" s="12" t="str">
        <f t="shared" si="4"/>
        <v/>
      </c>
      <c r="P406" s="18" t="str">
        <f t="shared" si="3"/>
        <v>#DIV/0!</v>
      </c>
      <c r="Q406" s="12"/>
    </row>
    <row r="407">
      <c r="A407" s="1" t="s">
        <v>1530</v>
      </c>
      <c r="B407" s="7" t="s">
        <v>1531</v>
      </c>
      <c r="C407" s="2" t="s">
        <v>1532</v>
      </c>
      <c r="D407" s="7" t="s">
        <v>1533</v>
      </c>
      <c r="E407" s="16"/>
      <c r="F407" s="16"/>
      <c r="G407" s="16"/>
      <c r="H407" s="17"/>
      <c r="I407" s="12"/>
      <c r="J407" s="12"/>
      <c r="K407" s="12"/>
      <c r="L407" s="12"/>
      <c r="M407" s="18" t="str">
        <f t="shared" si="1"/>
        <v>#DIV/0!</v>
      </c>
      <c r="N407" s="18" t="str">
        <f t="shared" si="2"/>
        <v>#DIV/0!</v>
      </c>
      <c r="O407" s="12" t="str">
        <f t="shared" si="4"/>
        <v/>
      </c>
      <c r="P407" s="18" t="str">
        <f t="shared" si="3"/>
        <v>#DIV/0!</v>
      </c>
      <c r="Q407" s="12"/>
    </row>
    <row r="408">
      <c r="A408" s="1" t="s">
        <v>1534</v>
      </c>
      <c r="B408" s="7" t="s">
        <v>1535</v>
      </c>
      <c r="C408" s="2" t="s">
        <v>1536</v>
      </c>
      <c r="D408" s="1" t="s">
        <v>1537</v>
      </c>
      <c r="E408" s="16"/>
      <c r="F408" s="16"/>
      <c r="G408" s="16"/>
      <c r="H408" s="17"/>
      <c r="I408" s="12"/>
      <c r="J408" s="12"/>
      <c r="K408" s="12"/>
      <c r="L408" s="12"/>
      <c r="M408" s="18" t="str">
        <f t="shared" si="1"/>
        <v>#DIV/0!</v>
      </c>
      <c r="N408" s="18" t="str">
        <f t="shared" si="2"/>
        <v>#DIV/0!</v>
      </c>
      <c r="O408" s="12" t="str">
        <f t="shared" si="4"/>
        <v/>
      </c>
      <c r="P408" s="18" t="str">
        <f t="shared" si="3"/>
        <v>#DIV/0!</v>
      </c>
      <c r="Q408" s="12"/>
    </row>
    <row r="409">
      <c r="A409" s="1" t="s">
        <v>1538</v>
      </c>
      <c r="B409" s="7" t="s">
        <v>1539</v>
      </c>
      <c r="C409" s="2" t="s">
        <v>1540</v>
      </c>
      <c r="D409" s="7" t="s">
        <v>1541</v>
      </c>
      <c r="E409" s="16"/>
      <c r="F409" s="16"/>
      <c r="G409" s="16"/>
      <c r="H409" s="17"/>
      <c r="I409" s="12"/>
      <c r="J409" s="12"/>
      <c r="K409" s="12"/>
      <c r="L409" s="12"/>
      <c r="M409" s="18" t="str">
        <f t="shared" si="1"/>
        <v>#DIV/0!</v>
      </c>
      <c r="N409" s="18" t="str">
        <f t="shared" si="2"/>
        <v>#DIV/0!</v>
      </c>
      <c r="O409" s="12" t="str">
        <f t="shared" si="4"/>
        <v/>
      </c>
      <c r="P409" s="18" t="str">
        <f t="shared" si="3"/>
        <v>#DIV/0!</v>
      </c>
      <c r="Q409" s="12"/>
    </row>
    <row r="410">
      <c r="A410" s="1" t="s">
        <v>1542</v>
      </c>
      <c r="B410" s="7" t="s">
        <v>1543</v>
      </c>
      <c r="C410" s="2" t="s">
        <v>1234</v>
      </c>
      <c r="D410" s="7" t="s">
        <v>1235</v>
      </c>
      <c r="E410" s="16"/>
      <c r="F410" s="16"/>
      <c r="G410" s="16"/>
      <c r="H410" s="17"/>
      <c r="I410" s="12"/>
      <c r="J410" s="12"/>
      <c r="K410" s="12"/>
      <c r="L410" s="12"/>
      <c r="M410" s="18" t="str">
        <f t="shared" si="1"/>
        <v>#DIV/0!</v>
      </c>
      <c r="N410" s="18" t="str">
        <f t="shared" si="2"/>
        <v>#DIV/0!</v>
      </c>
      <c r="O410" s="12" t="str">
        <f t="shared" si="4"/>
        <v/>
      </c>
      <c r="P410" s="18" t="str">
        <f t="shared" si="3"/>
        <v>#DIV/0!</v>
      </c>
      <c r="Q410" s="12"/>
    </row>
    <row r="411">
      <c r="A411" s="1" t="s">
        <v>1544</v>
      </c>
      <c r="B411" s="7" t="s">
        <v>1545</v>
      </c>
      <c r="C411" s="2" t="s">
        <v>1546</v>
      </c>
      <c r="D411" s="1" t="s">
        <v>1547</v>
      </c>
      <c r="E411" s="16"/>
      <c r="F411" s="16"/>
      <c r="G411" s="16"/>
      <c r="H411" s="17"/>
      <c r="I411" s="12"/>
      <c r="J411" s="12"/>
      <c r="K411" s="12"/>
      <c r="L411" s="12"/>
      <c r="M411" s="18" t="str">
        <f t="shared" si="1"/>
        <v>#DIV/0!</v>
      </c>
      <c r="N411" s="18" t="str">
        <f t="shared" si="2"/>
        <v>#DIV/0!</v>
      </c>
      <c r="O411" s="12" t="str">
        <f t="shared" si="4"/>
        <v/>
      </c>
      <c r="P411" s="18" t="str">
        <f t="shared" si="3"/>
        <v>#DIV/0!</v>
      </c>
      <c r="Q411" s="12"/>
    </row>
    <row r="412">
      <c r="A412" s="1" t="s">
        <v>1548</v>
      </c>
      <c r="B412" s="7" t="s">
        <v>1549</v>
      </c>
      <c r="C412" s="2" t="s">
        <v>1550</v>
      </c>
      <c r="D412" s="7" t="s">
        <v>1551</v>
      </c>
      <c r="E412" s="16"/>
      <c r="F412" s="16"/>
      <c r="G412" s="16"/>
      <c r="H412" s="17"/>
      <c r="I412" s="12"/>
      <c r="J412" s="12"/>
      <c r="K412" s="12"/>
      <c r="L412" s="12"/>
      <c r="M412" s="18" t="str">
        <f t="shared" si="1"/>
        <v>#DIV/0!</v>
      </c>
      <c r="N412" s="18" t="str">
        <f t="shared" si="2"/>
        <v>#DIV/0!</v>
      </c>
      <c r="O412" s="12" t="str">
        <f t="shared" si="4"/>
        <v/>
      </c>
      <c r="P412" s="18" t="str">
        <f t="shared" si="3"/>
        <v>#DIV/0!</v>
      </c>
      <c r="Q412" s="12"/>
    </row>
    <row r="413">
      <c r="A413" s="1" t="s">
        <v>1552</v>
      </c>
      <c r="B413" s="7" t="s">
        <v>1553</v>
      </c>
      <c r="C413" s="2" t="s">
        <v>1554</v>
      </c>
      <c r="D413" s="1" t="s">
        <v>1555</v>
      </c>
      <c r="E413" s="16"/>
      <c r="F413" s="16"/>
      <c r="G413" s="16"/>
      <c r="H413" s="17"/>
      <c r="I413" s="12"/>
      <c r="J413" s="12"/>
      <c r="K413" s="12"/>
      <c r="L413" s="12"/>
      <c r="M413" s="18" t="str">
        <f t="shared" si="1"/>
        <v>#DIV/0!</v>
      </c>
      <c r="N413" s="18" t="str">
        <f t="shared" si="2"/>
        <v>#DIV/0!</v>
      </c>
      <c r="O413" s="12" t="str">
        <f t="shared" si="4"/>
        <v/>
      </c>
      <c r="P413" s="18" t="str">
        <f t="shared" si="3"/>
        <v>#DIV/0!</v>
      </c>
      <c r="Q413" s="12"/>
    </row>
    <row r="414">
      <c r="A414" s="1" t="s">
        <v>1556</v>
      </c>
      <c r="B414" s="7" t="s">
        <v>1557</v>
      </c>
      <c r="C414" s="2" t="s">
        <v>1558</v>
      </c>
      <c r="D414" s="7" t="s">
        <v>445</v>
      </c>
      <c r="E414" s="16"/>
      <c r="F414" s="16"/>
      <c r="G414" s="16"/>
      <c r="H414" s="17"/>
      <c r="I414" s="12"/>
      <c r="J414" s="12"/>
      <c r="K414" s="12"/>
      <c r="L414" s="12"/>
      <c r="M414" s="18" t="str">
        <f t="shared" si="1"/>
        <v>#DIV/0!</v>
      </c>
      <c r="N414" s="18" t="str">
        <f t="shared" si="2"/>
        <v>#DIV/0!</v>
      </c>
      <c r="O414" s="12" t="str">
        <f t="shared" si="4"/>
        <v/>
      </c>
      <c r="P414" s="18" t="str">
        <f t="shared" si="3"/>
        <v>#DIV/0!</v>
      </c>
      <c r="Q414" s="12"/>
    </row>
    <row r="415">
      <c r="A415" s="1" t="s">
        <v>1559</v>
      </c>
      <c r="B415" s="7" t="s">
        <v>1560</v>
      </c>
      <c r="C415" s="2" t="s">
        <v>1561</v>
      </c>
      <c r="D415" s="1" t="s">
        <v>1562</v>
      </c>
      <c r="E415" s="16"/>
      <c r="F415" s="16"/>
      <c r="G415" s="16"/>
      <c r="H415" s="17"/>
      <c r="I415" s="12"/>
      <c r="J415" s="12"/>
      <c r="K415" s="12"/>
      <c r="L415" s="12"/>
      <c r="M415" s="18" t="str">
        <f t="shared" si="1"/>
        <v>#DIV/0!</v>
      </c>
      <c r="N415" s="18" t="str">
        <f t="shared" si="2"/>
        <v>#DIV/0!</v>
      </c>
      <c r="O415" s="12" t="str">
        <f t="shared" si="4"/>
        <v/>
      </c>
      <c r="P415" s="18" t="str">
        <f t="shared" si="3"/>
        <v>#DIV/0!</v>
      </c>
      <c r="Q415" s="12"/>
    </row>
    <row r="416">
      <c r="A416" s="1" t="s">
        <v>1563</v>
      </c>
      <c r="B416" s="7" t="s">
        <v>1564</v>
      </c>
      <c r="C416" s="2" t="s">
        <v>1565</v>
      </c>
      <c r="D416" s="1" t="s">
        <v>1566</v>
      </c>
      <c r="E416" s="16"/>
      <c r="F416" s="16"/>
      <c r="G416" s="16"/>
      <c r="H416" s="17"/>
      <c r="I416" s="12"/>
      <c r="J416" s="12"/>
      <c r="K416" s="12"/>
      <c r="L416" s="12"/>
      <c r="M416" s="18" t="str">
        <f t="shared" si="1"/>
        <v>#DIV/0!</v>
      </c>
      <c r="N416" s="18" t="str">
        <f t="shared" si="2"/>
        <v>#DIV/0!</v>
      </c>
      <c r="O416" s="12" t="str">
        <f t="shared" si="4"/>
        <v/>
      </c>
      <c r="P416" s="18" t="str">
        <f t="shared" si="3"/>
        <v>#DIV/0!</v>
      </c>
      <c r="Q416" s="12"/>
    </row>
    <row r="417">
      <c r="A417" s="1" t="s">
        <v>1567</v>
      </c>
      <c r="B417" s="7" t="s">
        <v>1568</v>
      </c>
      <c r="C417" s="2" t="s">
        <v>1569</v>
      </c>
      <c r="D417" s="7" t="s">
        <v>509</v>
      </c>
      <c r="E417" s="16"/>
      <c r="F417" s="16"/>
      <c r="G417" s="16"/>
      <c r="H417" s="17"/>
      <c r="I417" s="12"/>
      <c r="J417" s="12"/>
      <c r="K417" s="12"/>
      <c r="L417" s="12"/>
      <c r="M417" s="18" t="str">
        <f t="shared" si="1"/>
        <v>#DIV/0!</v>
      </c>
      <c r="N417" s="18" t="str">
        <f t="shared" si="2"/>
        <v>#DIV/0!</v>
      </c>
      <c r="O417" s="12" t="str">
        <f t="shared" si="4"/>
        <v/>
      </c>
      <c r="P417" s="18" t="str">
        <f t="shared" si="3"/>
        <v>#DIV/0!</v>
      </c>
      <c r="Q417" s="12"/>
    </row>
    <row r="418">
      <c r="A418" s="1" t="s">
        <v>1570</v>
      </c>
      <c r="B418" s="7" t="s">
        <v>1571</v>
      </c>
      <c r="C418" s="2" t="s">
        <v>1572</v>
      </c>
      <c r="D418" s="7" t="s">
        <v>1573</v>
      </c>
      <c r="E418" s="16"/>
      <c r="F418" s="16"/>
      <c r="G418" s="16"/>
      <c r="H418" s="17"/>
      <c r="I418" s="12"/>
      <c r="J418" s="12"/>
      <c r="K418" s="12"/>
      <c r="L418" s="12"/>
      <c r="M418" s="18" t="str">
        <f t="shared" si="1"/>
        <v>#DIV/0!</v>
      </c>
      <c r="N418" s="18" t="str">
        <f t="shared" si="2"/>
        <v>#DIV/0!</v>
      </c>
      <c r="O418" s="12" t="str">
        <f t="shared" si="4"/>
        <v/>
      </c>
      <c r="P418" s="18" t="str">
        <f t="shared" si="3"/>
        <v>#DIV/0!</v>
      </c>
      <c r="Q418" s="12"/>
    </row>
    <row r="419">
      <c r="A419" s="1" t="s">
        <v>1574</v>
      </c>
      <c r="B419" s="7" t="s">
        <v>1575</v>
      </c>
      <c r="C419" s="2" t="s">
        <v>48</v>
      </c>
      <c r="D419" s="7" t="s">
        <v>49</v>
      </c>
      <c r="E419" s="16"/>
      <c r="F419" s="16"/>
      <c r="G419" s="16"/>
      <c r="H419" s="17"/>
      <c r="I419" s="12"/>
      <c r="J419" s="12"/>
      <c r="K419" s="12"/>
      <c r="L419" s="12"/>
      <c r="M419" s="18" t="str">
        <f t="shared" si="1"/>
        <v>#DIV/0!</v>
      </c>
      <c r="N419" s="18" t="str">
        <f t="shared" si="2"/>
        <v>#DIV/0!</v>
      </c>
      <c r="O419" s="12" t="str">
        <f t="shared" si="4"/>
        <v/>
      </c>
      <c r="P419" s="18" t="str">
        <f t="shared" si="3"/>
        <v>#DIV/0!</v>
      </c>
      <c r="Q419" s="12"/>
    </row>
    <row r="420">
      <c r="A420" s="1" t="s">
        <v>1576</v>
      </c>
      <c r="B420" s="7" t="s">
        <v>1577</v>
      </c>
      <c r="C420" s="2" t="s">
        <v>1578</v>
      </c>
      <c r="D420" s="7" t="s">
        <v>177</v>
      </c>
      <c r="E420" s="16"/>
      <c r="F420" s="16"/>
      <c r="G420" s="16"/>
      <c r="H420" s="17"/>
      <c r="I420" s="12"/>
      <c r="J420" s="12"/>
      <c r="K420" s="12"/>
      <c r="L420" s="12"/>
      <c r="M420" s="18" t="str">
        <f t="shared" si="1"/>
        <v>#DIV/0!</v>
      </c>
      <c r="N420" s="18" t="str">
        <f t="shared" si="2"/>
        <v>#DIV/0!</v>
      </c>
      <c r="O420" s="12" t="str">
        <f t="shared" si="4"/>
        <v/>
      </c>
      <c r="P420" s="18" t="str">
        <f t="shared" si="3"/>
        <v>#DIV/0!</v>
      </c>
      <c r="Q420" s="12"/>
    </row>
    <row r="421">
      <c r="A421" s="1" t="s">
        <v>1579</v>
      </c>
      <c r="B421" s="7" t="s">
        <v>1580</v>
      </c>
      <c r="C421" s="2" t="s">
        <v>1421</v>
      </c>
      <c r="D421" s="7" t="s">
        <v>1422</v>
      </c>
      <c r="E421" s="16"/>
      <c r="F421" s="16"/>
      <c r="G421" s="16"/>
      <c r="H421" s="17"/>
      <c r="I421" s="12"/>
      <c r="J421" s="12"/>
      <c r="K421" s="12"/>
      <c r="L421" s="12"/>
      <c r="M421" s="18" t="str">
        <f t="shared" si="1"/>
        <v>#DIV/0!</v>
      </c>
      <c r="N421" s="18" t="str">
        <f t="shared" si="2"/>
        <v>#DIV/0!</v>
      </c>
      <c r="O421" s="12" t="str">
        <f t="shared" si="4"/>
        <v/>
      </c>
      <c r="P421" s="18" t="str">
        <f t="shared" si="3"/>
        <v>#DIV/0!</v>
      </c>
      <c r="Q421" s="12"/>
    </row>
    <row r="422">
      <c r="A422" s="1" t="s">
        <v>1581</v>
      </c>
      <c r="B422" s="7" t="s">
        <v>1582</v>
      </c>
      <c r="C422" s="2" t="s">
        <v>1583</v>
      </c>
      <c r="D422" s="1" t="s">
        <v>1584</v>
      </c>
      <c r="E422" s="16"/>
      <c r="F422" s="16"/>
      <c r="G422" s="16"/>
      <c r="H422" s="17"/>
      <c r="I422" s="12"/>
      <c r="J422" s="12"/>
      <c r="K422" s="12"/>
      <c r="L422" s="12"/>
      <c r="M422" s="18" t="str">
        <f t="shared" si="1"/>
        <v>#DIV/0!</v>
      </c>
      <c r="N422" s="18" t="str">
        <f t="shared" si="2"/>
        <v>#DIV/0!</v>
      </c>
      <c r="O422" s="12" t="str">
        <f t="shared" si="4"/>
        <v/>
      </c>
      <c r="P422" s="18" t="str">
        <f t="shared" si="3"/>
        <v>#DIV/0!</v>
      </c>
      <c r="Q422" s="12"/>
    </row>
    <row r="423">
      <c r="A423" s="1" t="s">
        <v>1585</v>
      </c>
      <c r="B423" s="7" t="s">
        <v>1586</v>
      </c>
      <c r="C423" s="2" t="s">
        <v>268</v>
      </c>
      <c r="D423" s="7" t="s">
        <v>137</v>
      </c>
      <c r="E423" s="16"/>
      <c r="F423" s="16"/>
      <c r="G423" s="16"/>
      <c r="H423" s="17"/>
      <c r="I423" s="12"/>
      <c r="J423" s="12"/>
      <c r="K423" s="12"/>
      <c r="L423" s="12"/>
      <c r="M423" s="18" t="str">
        <f t="shared" si="1"/>
        <v>#DIV/0!</v>
      </c>
      <c r="N423" s="18" t="str">
        <f t="shared" si="2"/>
        <v>#DIV/0!</v>
      </c>
      <c r="O423" s="12" t="str">
        <f t="shared" si="4"/>
        <v/>
      </c>
      <c r="P423" s="18" t="str">
        <f t="shared" si="3"/>
        <v>#DIV/0!</v>
      </c>
      <c r="Q423" s="12"/>
    </row>
    <row r="424">
      <c r="A424" s="1" t="s">
        <v>1587</v>
      </c>
      <c r="B424" s="7" t="s">
        <v>1588</v>
      </c>
      <c r="C424" s="2" t="s">
        <v>1589</v>
      </c>
      <c r="D424" s="1" t="s">
        <v>1590</v>
      </c>
      <c r="E424" s="16"/>
      <c r="F424" s="16"/>
      <c r="G424" s="16"/>
      <c r="H424" s="17"/>
      <c r="I424" s="12"/>
      <c r="J424" s="12"/>
      <c r="K424" s="12"/>
      <c r="L424" s="12"/>
      <c r="M424" s="18" t="str">
        <f t="shared" si="1"/>
        <v>#DIV/0!</v>
      </c>
      <c r="N424" s="18" t="str">
        <f t="shared" si="2"/>
        <v>#DIV/0!</v>
      </c>
      <c r="O424" s="12" t="str">
        <f t="shared" si="4"/>
        <v/>
      </c>
      <c r="P424" s="18" t="str">
        <f t="shared" si="3"/>
        <v>#DIV/0!</v>
      </c>
      <c r="Q424" s="12"/>
    </row>
    <row r="425">
      <c r="A425" s="1" t="s">
        <v>1591</v>
      </c>
      <c r="B425" s="7" t="s">
        <v>1592</v>
      </c>
      <c r="C425" s="2" t="s">
        <v>148</v>
      </c>
      <c r="D425" s="7" t="s">
        <v>149</v>
      </c>
      <c r="E425" s="16"/>
      <c r="F425" s="16"/>
      <c r="G425" s="16"/>
      <c r="H425" s="17"/>
      <c r="I425" s="12"/>
      <c r="J425" s="12"/>
      <c r="K425" s="12"/>
      <c r="L425" s="12"/>
      <c r="M425" s="18" t="str">
        <f t="shared" si="1"/>
        <v>#DIV/0!</v>
      </c>
      <c r="N425" s="18" t="str">
        <f t="shared" si="2"/>
        <v>#DIV/0!</v>
      </c>
      <c r="O425" s="12" t="str">
        <f t="shared" si="4"/>
        <v/>
      </c>
      <c r="P425" s="18" t="str">
        <f t="shared" si="3"/>
        <v>#DIV/0!</v>
      </c>
      <c r="Q425" s="12"/>
    </row>
    <row r="426">
      <c r="A426" s="1" t="s">
        <v>1593</v>
      </c>
      <c r="B426" s="7" t="s">
        <v>1594</v>
      </c>
      <c r="C426" s="2" t="s">
        <v>512</v>
      </c>
      <c r="D426" s="7" t="s">
        <v>41</v>
      </c>
      <c r="E426" s="16"/>
      <c r="F426" s="16"/>
      <c r="G426" s="16"/>
      <c r="H426" s="17"/>
      <c r="I426" s="12"/>
      <c r="J426" s="12"/>
      <c r="K426" s="12"/>
      <c r="L426" s="12"/>
      <c r="M426" s="18" t="str">
        <f t="shared" si="1"/>
        <v>#DIV/0!</v>
      </c>
      <c r="N426" s="18" t="str">
        <f t="shared" si="2"/>
        <v>#DIV/0!</v>
      </c>
      <c r="O426" s="12" t="str">
        <f t="shared" si="4"/>
        <v/>
      </c>
      <c r="P426" s="18" t="str">
        <f t="shared" si="3"/>
        <v>#DIV/0!</v>
      </c>
      <c r="Q426" s="12"/>
    </row>
    <row r="427">
      <c r="A427" s="1" t="s">
        <v>1595</v>
      </c>
      <c r="B427" s="7" t="s">
        <v>1596</v>
      </c>
      <c r="C427" s="2" t="s">
        <v>1597</v>
      </c>
      <c r="D427" s="7" t="s">
        <v>1598</v>
      </c>
      <c r="E427" s="16"/>
      <c r="F427" s="16"/>
      <c r="G427" s="16"/>
      <c r="H427" s="17"/>
      <c r="I427" s="12"/>
      <c r="J427" s="12"/>
      <c r="K427" s="12"/>
      <c r="L427" s="12"/>
      <c r="M427" s="18" t="str">
        <f t="shared" si="1"/>
        <v>#DIV/0!</v>
      </c>
      <c r="N427" s="18" t="str">
        <f t="shared" si="2"/>
        <v>#DIV/0!</v>
      </c>
      <c r="O427" s="12" t="str">
        <f t="shared" si="4"/>
        <v/>
      </c>
      <c r="P427" s="18" t="str">
        <f t="shared" si="3"/>
        <v>#DIV/0!</v>
      </c>
      <c r="Q427" s="12"/>
    </row>
    <row r="428">
      <c r="A428" s="1" t="s">
        <v>1599</v>
      </c>
      <c r="B428" s="7" t="s">
        <v>1600</v>
      </c>
      <c r="C428" s="2" t="s">
        <v>1601</v>
      </c>
      <c r="D428" s="7" t="s">
        <v>478</v>
      </c>
      <c r="E428" s="16"/>
      <c r="F428" s="16"/>
      <c r="G428" s="16"/>
      <c r="H428" s="17"/>
      <c r="I428" s="12"/>
      <c r="J428" s="12"/>
      <c r="K428" s="12"/>
      <c r="L428" s="12"/>
      <c r="M428" s="18" t="str">
        <f t="shared" si="1"/>
        <v>#DIV/0!</v>
      </c>
      <c r="N428" s="18" t="str">
        <f t="shared" si="2"/>
        <v>#DIV/0!</v>
      </c>
      <c r="O428" s="12" t="str">
        <f t="shared" si="4"/>
        <v/>
      </c>
      <c r="P428" s="18" t="str">
        <f t="shared" si="3"/>
        <v>#DIV/0!</v>
      </c>
      <c r="Q428" s="12"/>
    </row>
    <row r="429">
      <c r="A429" s="1" t="s">
        <v>1602</v>
      </c>
      <c r="B429" s="7" t="s">
        <v>1603</v>
      </c>
      <c r="C429" s="2" t="s">
        <v>1604</v>
      </c>
      <c r="D429" s="7" t="s">
        <v>1605</v>
      </c>
      <c r="E429" s="16"/>
      <c r="F429" s="16"/>
      <c r="G429" s="16"/>
      <c r="H429" s="17"/>
      <c r="I429" s="12"/>
      <c r="J429" s="12"/>
      <c r="K429" s="12"/>
      <c r="L429" s="12"/>
      <c r="M429" s="18" t="str">
        <f t="shared" si="1"/>
        <v>#DIV/0!</v>
      </c>
      <c r="N429" s="18" t="str">
        <f t="shared" si="2"/>
        <v>#DIV/0!</v>
      </c>
      <c r="O429" s="12" t="str">
        <f t="shared" si="4"/>
        <v/>
      </c>
      <c r="P429" s="18" t="str">
        <f t="shared" si="3"/>
        <v>#DIV/0!</v>
      </c>
      <c r="Q429" s="12"/>
    </row>
    <row r="430">
      <c r="A430" s="1" t="s">
        <v>1606</v>
      </c>
      <c r="B430" s="7" t="s">
        <v>1607</v>
      </c>
      <c r="C430" s="2" t="s">
        <v>1608</v>
      </c>
      <c r="D430" s="1" t="s">
        <v>1609</v>
      </c>
      <c r="E430" s="16"/>
      <c r="F430" s="16"/>
      <c r="G430" s="16"/>
      <c r="H430" s="17"/>
      <c r="I430" s="12"/>
      <c r="J430" s="12"/>
      <c r="K430" s="12"/>
      <c r="L430" s="12"/>
      <c r="M430" s="18" t="str">
        <f t="shared" si="1"/>
        <v>#DIV/0!</v>
      </c>
      <c r="N430" s="18" t="str">
        <f t="shared" si="2"/>
        <v>#DIV/0!</v>
      </c>
      <c r="O430" s="12" t="str">
        <f t="shared" si="4"/>
        <v/>
      </c>
      <c r="P430" s="18" t="str">
        <f t="shared" si="3"/>
        <v>#DIV/0!</v>
      </c>
      <c r="Q430" s="12"/>
    </row>
    <row r="431">
      <c r="A431" s="1" t="s">
        <v>1610</v>
      </c>
      <c r="B431" s="7" t="s">
        <v>1611</v>
      </c>
      <c r="C431" s="2" t="s">
        <v>991</v>
      </c>
      <c r="D431" s="7" t="s">
        <v>113</v>
      </c>
      <c r="E431" s="16"/>
      <c r="F431" s="16"/>
      <c r="G431" s="16"/>
      <c r="H431" s="17"/>
      <c r="I431" s="12"/>
      <c r="J431" s="12"/>
      <c r="K431" s="12"/>
      <c r="L431" s="12"/>
      <c r="M431" s="18" t="str">
        <f t="shared" si="1"/>
        <v>#DIV/0!</v>
      </c>
      <c r="N431" s="18" t="str">
        <f t="shared" si="2"/>
        <v>#DIV/0!</v>
      </c>
      <c r="O431" s="12" t="str">
        <f t="shared" si="4"/>
        <v/>
      </c>
      <c r="P431" s="18" t="str">
        <f t="shared" si="3"/>
        <v>#DIV/0!</v>
      </c>
      <c r="Q431" s="12"/>
    </row>
    <row r="432">
      <c r="A432" s="1" t="s">
        <v>1612</v>
      </c>
      <c r="B432" s="7" t="s">
        <v>1613</v>
      </c>
      <c r="C432" s="2" t="s">
        <v>1614</v>
      </c>
      <c r="D432" s="1" t="s">
        <v>1615</v>
      </c>
      <c r="E432" s="16"/>
      <c r="F432" s="16"/>
      <c r="G432" s="16"/>
      <c r="H432" s="17"/>
      <c r="I432" s="12"/>
      <c r="J432" s="12"/>
      <c r="K432" s="12"/>
      <c r="L432" s="12"/>
      <c r="M432" s="18" t="str">
        <f t="shared" si="1"/>
        <v>#DIV/0!</v>
      </c>
      <c r="N432" s="18" t="str">
        <f t="shared" si="2"/>
        <v>#DIV/0!</v>
      </c>
      <c r="O432" s="12" t="str">
        <f t="shared" si="4"/>
        <v/>
      </c>
      <c r="P432" s="18" t="str">
        <f t="shared" si="3"/>
        <v>#DIV/0!</v>
      </c>
      <c r="Q432" s="12"/>
    </row>
    <row r="433">
      <c r="A433" s="1" t="s">
        <v>1616</v>
      </c>
      <c r="B433" s="7" t="s">
        <v>1617</v>
      </c>
      <c r="C433" s="2" t="s">
        <v>1618</v>
      </c>
      <c r="D433" s="1" t="s">
        <v>1619</v>
      </c>
      <c r="E433" s="16"/>
      <c r="F433" s="16"/>
      <c r="G433" s="16"/>
      <c r="H433" s="17"/>
      <c r="I433" s="12"/>
      <c r="J433" s="12"/>
      <c r="K433" s="12"/>
      <c r="L433" s="12"/>
      <c r="M433" s="18" t="str">
        <f t="shared" si="1"/>
        <v>#DIV/0!</v>
      </c>
      <c r="N433" s="18" t="str">
        <f t="shared" si="2"/>
        <v>#DIV/0!</v>
      </c>
      <c r="O433" s="12" t="str">
        <f t="shared" si="4"/>
        <v/>
      </c>
      <c r="P433" s="18" t="str">
        <f t="shared" si="3"/>
        <v>#DIV/0!</v>
      </c>
      <c r="Q433" s="12"/>
    </row>
    <row r="434">
      <c r="A434" s="1" t="s">
        <v>1620</v>
      </c>
      <c r="B434" s="7" t="s">
        <v>1621</v>
      </c>
      <c r="C434" s="2" t="s">
        <v>1622</v>
      </c>
      <c r="D434" s="1" t="s">
        <v>1623</v>
      </c>
      <c r="E434" s="16"/>
      <c r="F434" s="16"/>
      <c r="G434" s="16"/>
      <c r="H434" s="17"/>
      <c r="I434" s="12"/>
      <c r="J434" s="12"/>
      <c r="K434" s="12"/>
      <c r="L434" s="12"/>
      <c r="M434" s="18" t="str">
        <f t="shared" si="1"/>
        <v>#DIV/0!</v>
      </c>
      <c r="N434" s="18" t="str">
        <f t="shared" si="2"/>
        <v>#DIV/0!</v>
      </c>
      <c r="O434" s="12" t="str">
        <f t="shared" si="4"/>
        <v/>
      </c>
      <c r="P434" s="18" t="str">
        <f t="shared" si="3"/>
        <v>#DIV/0!</v>
      </c>
      <c r="Q434" s="12"/>
    </row>
    <row r="435">
      <c r="A435" s="1" t="s">
        <v>1624</v>
      </c>
      <c r="B435" s="7" t="s">
        <v>1625</v>
      </c>
      <c r="C435" s="2" t="s">
        <v>64</v>
      </c>
      <c r="D435" s="1" t="s">
        <v>65</v>
      </c>
      <c r="E435" s="16"/>
      <c r="F435" s="16"/>
      <c r="G435" s="16"/>
      <c r="H435" s="17"/>
      <c r="I435" s="12"/>
      <c r="J435" s="12"/>
      <c r="K435" s="12"/>
      <c r="L435" s="12"/>
      <c r="M435" s="18" t="str">
        <f t="shared" si="1"/>
        <v>#DIV/0!</v>
      </c>
      <c r="N435" s="18" t="str">
        <f t="shared" si="2"/>
        <v>#DIV/0!</v>
      </c>
      <c r="O435" s="12" t="str">
        <f t="shared" si="4"/>
        <v/>
      </c>
      <c r="P435" s="18" t="str">
        <f t="shared" si="3"/>
        <v>#DIV/0!</v>
      </c>
      <c r="Q435" s="12"/>
    </row>
    <row r="436">
      <c r="A436" s="1" t="s">
        <v>1626</v>
      </c>
      <c r="B436" s="7" t="s">
        <v>1627</v>
      </c>
      <c r="C436" s="2" t="s">
        <v>44</v>
      </c>
      <c r="D436" s="7" t="s">
        <v>45</v>
      </c>
      <c r="E436" s="16"/>
      <c r="F436" s="16"/>
      <c r="G436" s="16"/>
      <c r="H436" s="17"/>
      <c r="I436" s="12"/>
      <c r="J436" s="12"/>
      <c r="K436" s="12"/>
      <c r="L436" s="12"/>
      <c r="M436" s="18" t="str">
        <f t="shared" si="1"/>
        <v>#DIV/0!</v>
      </c>
      <c r="N436" s="18" t="str">
        <f t="shared" si="2"/>
        <v>#DIV/0!</v>
      </c>
      <c r="O436" s="12" t="str">
        <f t="shared" si="4"/>
        <v/>
      </c>
      <c r="P436" s="18" t="str">
        <f t="shared" si="3"/>
        <v>#DIV/0!</v>
      </c>
      <c r="Q436" s="12"/>
    </row>
    <row r="437">
      <c r="A437" s="1" t="s">
        <v>1628</v>
      </c>
      <c r="B437" s="7" t="s">
        <v>1629</v>
      </c>
      <c r="C437" s="2" t="s">
        <v>991</v>
      </c>
      <c r="D437" s="7" t="s">
        <v>113</v>
      </c>
      <c r="E437" s="16"/>
      <c r="F437" s="16"/>
      <c r="G437" s="16"/>
      <c r="H437" s="17"/>
      <c r="I437" s="12"/>
      <c r="J437" s="12"/>
      <c r="K437" s="12"/>
      <c r="L437" s="12"/>
      <c r="M437" s="18" t="str">
        <f t="shared" si="1"/>
        <v>#DIV/0!</v>
      </c>
      <c r="N437" s="18" t="str">
        <f t="shared" si="2"/>
        <v>#DIV/0!</v>
      </c>
      <c r="O437" s="12" t="str">
        <f t="shared" si="4"/>
        <v/>
      </c>
      <c r="P437" s="18" t="str">
        <f t="shared" si="3"/>
        <v>#DIV/0!</v>
      </c>
      <c r="Q437" s="12"/>
    </row>
    <row r="438">
      <c r="A438" s="1" t="s">
        <v>1630</v>
      </c>
      <c r="B438" s="7" t="s">
        <v>1631</v>
      </c>
      <c r="C438" s="2" t="s">
        <v>1632</v>
      </c>
      <c r="D438" s="7" t="s">
        <v>1633</v>
      </c>
      <c r="E438" s="16"/>
      <c r="F438" s="16"/>
      <c r="G438" s="16"/>
      <c r="H438" s="17"/>
      <c r="I438" s="12"/>
      <c r="J438" s="12"/>
      <c r="K438" s="12"/>
      <c r="L438" s="12"/>
      <c r="M438" s="18" t="str">
        <f t="shared" si="1"/>
        <v>#DIV/0!</v>
      </c>
      <c r="N438" s="18" t="str">
        <f t="shared" si="2"/>
        <v>#DIV/0!</v>
      </c>
      <c r="O438" s="12" t="str">
        <f t="shared" si="4"/>
        <v/>
      </c>
      <c r="P438" s="18" t="str">
        <f t="shared" si="3"/>
        <v>#DIV/0!</v>
      </c>
      <c r="Q438" s="12"/>
    </row>
    <row r="439">
      <c r="A439" s="1" t="s">
        <v>1634</v>
      </c>
      <c r="B439" s="7" t="s">
        <v>1635</v>
      </c>
      <c r="C439" s="2" t="s">
        <v>1636</v>
      </c>
      <c r="D439" s="1" t="s">
        <v>1348</v>
      </c>
      <c r="E439" s="16"/>
      <c r="F439" s="16"/>
      <c r="G439" s="16"/>
      <c r="H439" s="17"/>
      <c r="I439" s="12"/>
      <c r="J439" s="12"/>
      <c r="K439" s="12"/>
      <c r="L439" s="12"/>
      <c r="M439" s="18" t="str">
        <f t="shared" si="1"/>
        <v>#DIV/0!</v>
      </c>
      <c r="N439" s="18" t="str">
        <f t="shared" si="2"/>
        <v>#DIV/0!</v>
      </c>
      <c r="O439" s="12" t="str">
        <f t="shared" si="4"/>
        <v/>
      </c>
      <c r="P439" s="18" t="str">
        <f t="shared" si="3"/>
        <v>#DIV/0!</v>
      </c>
      <c r="Q439" s="12"/>
    </row>
    <row r="440">
      <c r="A440" s="1" t="s">
        <v>1637</v>
      </c>
      <c r="B440" s="7" t="s">
        <v>1638</v>
      </c>
      <c r="C440" s="2" t="s">
        <v>1639</v>
      </c>
      <c r="D440" s="7" t="s">
        <v>1640</v>
      </c>
      <c r="E440" s="16"/>
      <c r="F440" s="16"/>
      <c r="G440" s="16"/>
      <c r="H440" s="17"/>
      <c r="I440" s="12"/>
      <c r="J440" s="12"/>
      <c r="K440" s="12"/>
      <c r="L440" s="12"/>
      <c r="M440" s="18" t="str">
        <f t="shared" si="1"/>
        <v>#DIV/0!</v>
      </c>
      <c r="N440" s="18" t="str">
        <f t="shared" si="2"/>
        <v>#DIV/0!</v>
      </c>
      <c r="O440" s="12" t="str">
        <f t="shared" si="4"/>
        <v/>
      </c>
      <c r="P440" s="18" t="str">
        <f t="shared" si="3"/>
        <v>#DIV/0!</v>
      </c>
      <c r="Q440" s="12"/>
    </row>
    <row r="441">
      <c r="A441" s="1" t="s">
        <v>1641</v>
      </c>
      <c r="B441" s="7" t="s">
        <v>1642</v>
      </c>
      <c r="C441" s="2" t="s">
        <v>1643</v>
      </c>
      <c r="D441" s="1" t="s">
        <v>1644</v>
      </c>
      <c r="E441" s="16"/>
      <c r="F441" s="16"/>
      <c r="G441" s="16"/>
      <c r="H441" s="17"/>
      <c r="I441" s="12"/>
      <c r="J441" s="12"/>
      <c r="K441" s="12"/>
      <c r="L441" s="12"/>
      <c r="M441" s="18" t="str">
        <f t="shared" si="1"/>
        <v>#DIV/0!</v>
      </c>
      <c r="N441" s="18" t="str">
        <f t="shared" si="2"/>
        <v>#DIV/0!</v>
      </c>
      <c r="O441" s="12" t="str">
        <f t="shared" si="4"/>
        <v/>
      </c>
      <c r="P441" s="18" t="str">
        <f t="shared" si="3"/>
        <v>#DIV/0!</v>
      </c>
      <c r="Q441" s="12"/>
    </row>
    <row r="442">
      <c r="A442" s="1" t="s">
        <v>1645</v>
      </c>
      <c r="B442" s="7" t="s">
        <v>1646</v>
      </c>
      <c r="C442" s="2" t="s">
        <v>1647</v>
      </c>
      <c r="D442" s="1" t="s">
        <v>1648</v>
      </c>
      <c r="E442" s="16"/>
      <c r="F442" s="16"/>
      <c r="G442" s="16"/>
      <c r="H442" s="17"/>
      <c r="I442" s="12"/>
      <c r="J442" s="12"/>
      <c r="K442" s="12"/>
      <c r="L442" s="12"/>
      <c r="M442" s="18" t="str">
        <f t="shared" si="1"/>
        <v>#DIV/0!</v>
      </c>
      <c r="N442" s="18" t="str">
        <f t="shared" si="2"/>
        <v>#DIV/0!</v>
      </c>
      <c r="O442" s="12" t="str">
        <f t="shared" si="4"/>
        <v/>
      </c>
      <c r="P442" s="18" t="str">
        <f t="shared" si="3"/>
        <v>#DIV/0!</v>
      </c>
      <c r="Q442" s="12"/>
    </row>
    <row r="443">
      <c r="A443" s="1" t="s">
        <v>1649</v>
      </c>
      <c r="B443" s="7" t="s">
        <v>1650</v>
      </c>
      <c r="C443" s="2" t="s">
        <v>1651</v>
      </c>
      <c r="D443" s="1" t="s">
        <v>1652</v>
      </c>
      <c r="E443" s="16"/>
      <c r="F443" s="16"/>
      <c r="G443" s="16"/>
      <c r="H443" s="17"/>
      <c r="I443" s="12"/>
      <c r="J443" s="12"/>
      <c r="K443" s="12"/>
      <c r="L443" s="12"/>
      <c r="M443" s="18" t="str">
        <f t="shared" si="1"/>
        <v>#DIV/0!</v>
      </c>
      <c r="N443" s="18" t="str">
        <f t="shared" si="2"/>
        <v>#DIV/0!</v>
      </c>
      <c r="O443" s="12" t="str">
        <f t="shared" si="4"/>
        <v/>
      </c>
      <c r="P443" s="18" t="str">
        <f t="shared" si="3"/>
        <v>#DIV/0!</v>
      </c>
      <c r="Q443" s="12"/>
    </row>
    <row r="444">
      <c r="A444" s="1" t="s">
        <v>1653</v>
      </c>
      <c r="B444" s="7" t="s">
        <v>1654</v>
      </c>
      <c r="C444" s="2" t="s">
        <v>1655</v>
      </c>
      <c r="D444" s="7" t="s">
        <v>1656</v>
      </c>
      <c r="E444" s="16"/>
      <c r="F444" s="16"/>
      <c r="G444" s="16"/>
      <c r="H444" s="17"/>
      <c r="I444" s="12"/>
      <c r="J444" s="12"/>
      <c r="K444" s="12"/>
      <c r="L444" s="12"/>
      <c r="M444" s="18" t="str">
        <f t="shared" si="1"/>
        <v>#DIV/0!</v>
      </c>
      <c r="N444" s="18" t="str">
        <f t="shared" si="2"/>
        <v>#DIV/0!</v>
      </c>
      <c r="O444" s="12" t="str">
        <f t="shared" si="4"/>
        <v/>
      </c>
      <c r="P444" s="18" t="str">
        <f t="shared" si="3"/>
        <v>#DIV/0!</v>
      </c>
      <c r="Q444" s="12"/>
    </row>
    <row r="445">
      <c r="A445" s="1" t="s">
        <v>1657</v>
      </c>
      <c r="B445" s="7" t="s">
        <v>1658</v>
      </c>
      <c r="C445" s="2" t="s">
        <v>1659</v>
      </c>
      <c r="D445" s="1" t="s">
        <v>1660</v>
      </c>
      <c r="E445" s="16"/>
      <c r="F445" s="16"/>
      <c r="G445" s="16"/>
      <c r="H445" s="17"/>
      <c r="I445" s="12"/>
      <c r="J445" s="12"/>
      <c r="K445" s="12"/>
      <c r="L445" s="12"/>
      <c r="M445" s="18" t="str">
        <f t="shared" si="1"/>
        <v>#DIV/0!</v>
      </c>
      <c r="N445" s="18" t="str">
        <f t="shared" si="2"/>
        <v>#DIV/0!</v>
      </c>
      <c r="O445" s="12" t="str">
        <f t="shared" si="4"/>
        <v/>
      </c>
      <c r="P445" s="18" t="str">
        <f t="shared" si="3"/>
        <v>#DIV/0!</v>
      </c>
      <c r="Q445" s="12"/>
    </row>
    <row r="446">
      <c r="A446" s="1" t="s">
        <v>1661</v>
      </c>
      <c r="B446" s="7" t="s">
        <v>1662</v>
      </c>
      <c r="C446" s="2" t="s">
        <v>268</v>
      </c>
      <c r="D446" s="7" t="s">
        <v>137</v>
      </c>
      <c r="E446" s="16"/>
      <c r="F446" s="16"/>
      <c r="G446" s="16"/>
      <c r="H446" s="17"/>
      <c r="I446" s="12"/>
      <c r="J446" s="12"/>
      <c r="K446" s="12"/>
      <c r="L446" s="12"/>
      <c r="M446" s="18" t="str">
        <f t="shared" si="1"/>
        <v>#DIV/0!</v>
      </c>
      <c r="N446" s="18" t="str">
        <f t="shared" si="2"/>
        <v>#DIV/0!</v>
      </c>
      <c r="O446" s="12" t="str">
        <f t="shared" si="4"/>
        <v/>
      </c>
      <c r="P446" s="18" t="str">
        <f t="shared" si="3"/>
        <v>#DIV/0!</v>
      </c>
      <c r="Q446" s="12"/>
    </row>
    <row r="447">
      <c r="A447" s="1" t="s">
        <v>1663</v>
      </c>
      <c r="B447" s="7" t="s">
        <v>1664</v>
      </c>
      <c r="C447" s="2" t="s">
        <v>1665</v>
      </c>
      <c r="D447" s="1" t="s">
        <v>1666</v>
      </c>
      <c r="E447" s="16"/>
      <c r="F447" s="16"/>
      <c r="G447" s="16"/>
      <c r="H447" s="17"/>
      <c r="I447" s="12"/>
      <c r="J447" s="12"/>
      <c r="K447" s="12"/>
      <c r="L447" s="12"/>
      <c r="M447" s="18" t="str">
        <f t="shared" si="1"/>
        <v>#DIV/0!</v>
      </c>
      <c r="N447" s="18" t="str">
        <f t="shared" si="2"/>
        <v>#DIV/0!</v>
      </c>
      <c r="O447" s="12" t="str">
        <f t="shared" si="4"/>
        <v/>
      </c>
      <c r="P447" s="18" t="str">
        <f t="shared" si="3"/>
        <v>#DIV/0!</v>
      </c>
      <c r="Q447" s="12"/>
    </row>
    <row r="448">
      <c r="A448" s="1" t="s">
        <v>1667</v>
      </c>
      <c r="B448" s="7" t="s">
        <v>1668</v>
      </c>
      <c r="C448" s="2" t="s">
        <v>1669</v>
      </c>
      <c r="D448" s="1" t="s">
        <v>1670</v>
      </c>
      <c r="E448" s="16"/>
      <c r="F448" s="16"/>
      <c r="G448" s="16"/>
      <c r="H448" s="17"/>
      <c r="I448" s="12"/>
      <c r="J448" s="12"/>
      <c r="K448" s="12"/>
      <c r="L448" s="12"/>
      <c r="M448" s="18" t="str">
        <f t="shared" si="1"/>
        <v>#DIV/0!</v>
      </c>
      <c r="N448" s="18" t="str">
        <f t="shared" si="2"/>
        <v>#DIV/0!</v>
      </c>
      <c r="O448" s="12" t="str">
        <f t="shared" si="4"/>
        <v/>
      </c>
      <c r="P448" s="18" t="str">
        <f t="shared" si="3"/>
        <v>#DIV/0!</v>
      </c>
      <c r="Q448" s="12"/>
    </row>
    <row r="449">
      <c r="A449" s="1" t="s">
        <v>1671</v>
      </c>
      <c r="B449" s="7" t="s">
        <v>1672</v>
      </c>
      <c r="C449" s="2" t="s">
        <v>268</v>
      </c>
      <c r="D449" s="7" t="s">
        <v>137</v>
      </c>
      <c r="E449" s="16"/>
      <c r="F449" s="16"/>
      <c r="G449" s="16"/>
      <c r="H449" s="17"/>
      <c r="I449" s="12"/>
      <c r="J449" s="12"/>
      <c r="K449" s="12"/>
      <c r="L449" s="12"/>
      <c r="M449" s="18" t="str">
        <f t="shared" si="1"/>
        <v>#DIV/0!</v>
      </c>
      <c r="N449" s="18" t="str">
        <f t="shared" si="2"/>
        <v>#DIV/0!</v>
      </c>
      <c r="O449" s="12" t="str">
        <f t="shared" si="4"/>
        <v/>
      </c>
      <c r="P449" s="18" t="str">
        <f t="shared" si="3"/>
        <v>#DIV/0!</v>
      </c>
      <c r="Q449" s="12"/>
    </row>
    <row r="450">
      <c r="A450" s="1" t="s">
        <v>1673</v>
      </c>
      <c r="B450" s="7" t="s">
        <v>1674</v>
      </c>
      <c r="C450" s="2" t="s">
        <v>1675</v>
      </c>
      <c r="D450" s="7" t="s">
        <v>1676</v>
      </c>
      <c r="E450" s="16"/>
      <c r="F450" s="16"/>
      <c r="G450" s="16"/>
      <c r="H450" s="17"/>
      <c r="I450" s="12"/>
      <c r="J450" s="12"/>
      <c r="K450" s="12"/>
      <c r="L450" s="12"/>
      <c r="M450" s="18" t="str">
        <f t="shared" si="1"/>
        <v>#DIV/0!</v>
      </c>
      <c r="N450" s="18" t="str">
        <f t="shared" si="2"/>
        <v>#DIV/0!</v>
      </c>
      <c r="O450" s="12" t="str">
        <f t="shared" si="4"/>
        <v/>
      </c>
      <c r="P450" s="18" t="str">
        <f t="shared" si="3"/>
        <v>#DIV/0!</v>
      </c>
      <c r="Q450" s="12"/>
    </row>
    <row r="451">
      <c r="A451" s="1" t="s">
        <v>1677</v>
      </c>
      <c r="B451" s="7" t="s">
        <v>1678</v>
      </c>
      <c r="C451" s="2" t="s">
        <v>1679</v>
      </c>
      <c r="D451" s="7" t="s">
        <v>1680</v>
      </c>
      <c r="E451" s="16"/>
      <c r="F451" s="16"/>
      <c r="G451" s="16"/>
      <c r="H451" s="17"/>
      <c r="I451" s="12"/>
      <c r="J451" s="12"/>
      <c r="K451" s="12"/>
      <c r="L451" s="12"/>
      <c r="M451" s="18" t="str">
        <f t="shared" si="1"/>
        <v>#DIV/0!</v>
      </c>
      <c r="N451" s="18" t="str">
        <f t="shared" si="2"/>
        <v>#DIV/0!</v>
      </c>
      <c r="O451" s="12" t="str">
        <f t="shared" si="4"/>
        <v/>
      </c>
      <c r="P451" s="18" t="str">
        <f t="shared" si="3"/>
        <v>#DIV/0!</v>
      </c>
      <c r="Q451" s="12"/>
    </row>
    <row r="452">
      <c r="A452" s="1" t="s">
        <v>1681</v>
      </c>
      <c r="B452" s="7" t="s">
        <v>1682</v>
      </c>
      <c r="C452" s="2" t="s">
        <v>172</v>
      </c>
      <c r="D452" s="7" t="s">
        <v>173</v>
      </c>
      <c r="E452" s="16"/>
      <c r="F452" s="16"/>
      <c r="G452" s="16"/>
      <c r="H452" s="17"/>
      <c r="I452" s="12"/>
      <c r="J452" s="12"/>
      <c r="K452" s="12"/>
      <c r="L452" s="12"/>
      <c r="M452" s="18" t="str">
        <f t="shared" si="1"/>
        <v>#DIV/0!</v>
      </c>
      <c r="N452" s="18" t="str">
        <f t="shared" si="2"/>
        <v>#DIV/0!</v>
      </c>
      <c r="O452" s="12" t="str">
        <f t="shared" si="4"/>
        <v/>
      </c>
      <c r="P452" s="18" t="str">
        <f t="shared" si="3"/>
        <v>#DIV/0!</v>
      </c>
      <c r="Q452" s="12"/>
    </row>
    <row r="453">
      <c r="A453" s="1" t="s">
        <v>1683</v>
      </c>
      <c r="B453" s="7" t="s">
        <v>1684</v>
      </c>
      <c r="C453" s="2" t="s">
        <v>1685</v>
      </c>
      <c r="D453" s="1" t="s">
        <v>1686</v>
      </c>
      <c r="E453" s="16"/>
      <c r="F453" s="16"/>
      <c r="G453" s="16"/>
      <c r="H453" s="17"/>
      <c r="I453" s="12"/>
      <c r="J453" s="12"/>
      <c r="K453" s="12"/>
      <c r="L453" s="12"/>
      <c r="M453" s="18" t="str">
        <f t="shared" si="1"/>
        <v>#DIV/0!</v>
      </c>
      <c r="N453" s="18" t="str">
        <f t="shared" si="2"/>
        <v>#DIV/0!</v>
      </c>
      <c r="O453" s="12" t="str">
        <f t="shared" si="4"/>
        <v/>
      </c>
      <c r="P453" s="18" t="str">
        <f t="shared" si="3"/>
        <v>#DIV/0!</v>
      </c>
      <c r="Q453" s="12"/>
    </row>
    <row r="454">
      <c r="A454" s="1" t="s">
        <v>1687</v>
      </c>
      <c r="B454" s="7" t="s">
        <v>1688</v>
      </c>
      <c r="C454" s="2" t="s">
        <v>1689</v>
      </c>
      <c r="D454" s="7" t="s">
        <v>1690</v>
      </c>
      <c r="E454" s="16"/>
      <c r="F454" s="16"/>
      <c r="G454" s="16"/>
      <c r="H454" s="17"/>
      <c r="I454" s="12"/>
      <c r="J454" s="12"/>
      <c r="K454" s="12"/>
      <c r="L454" s="12"/>
      <c r="M454" s="18" t="str">
        <f t="shared" si="1"/>
        <v>#DIV/0!</v>
      </c>
      <c r="N454" s="18" t="str">
        <f t="shared" si="2"/>
        <v>#DIV/0!</v>
      </c>
      <c r="O454" s="12" t="str">
        <f t="shared" si="4"/>
        <v/>
      </c>
      <c r="P454" s="18" t="str">
        <f t="shared" si="3"/>
        <v>#DIV/0!</v>
      </c>
      <c r="Q454" s="12"/>
    </row>
    <row r="455">
      <c r="A455" s="1" t="s">
        <v>1691</v>
      </c>
      <c r="B455" s="7" t="s">
        <v>1692</v>
      </c>
      <c r="C455" s="2" t="s">
        <v>1693</v>
      </c>
      <c r="D455" s="7" t="s">
        <v>1694</v>
      </c>
      <c r="E455" s="16"/>
      <c r="F455" s="16"/>
      <c r="G455" s="16"/>
      <c r="H455" s="17"/>
      <c r="I455" s="12"/>
      <c r="J455" s="12"/>
      <c r="K455" s="12"/>
      <c r="L455" s="12"/>
      <c r="M455" s="18" t="str">
        <f t="shared" si="1"/>
        <v>#DIV/0!</v>
      </c>
      <c r="N455" s="18" t="str">
        <f t="shared" si="2"/>
        <v>#DIV/0!</v>
      </c>
      <c r="O455" s="12" t="str">
        <f t="shared" si="4"/>
        <v/>
      </c>
      <c r="P455" s="18" t="str">
        <f t="shared" si="3"/>
        <v>#DIV/0!</v>
      </c>
      <c r="Q455" s="12"/>
    </row>
    <row r="456">
      <c r="A456" s="1" t="s">
        <v>1695</v>
      </c>
      <c r="B456" s="7" t="s">
        <v>1696</v>
      </c>
      <c r="C456" s="2" t="s">
        <v>136</v>
      </c>
      <c r="D456" s="7" t="s">
        <v>137</v>
      </c>
      <c r="E456" s="16"/>
      <c r="F456" s="16"/>
      <c r="G456" s="16"/>
      <c r="H456" s="17"/>
      <c r="I456" s="12"/>
      <c r="J456" s="12"/>
      <c r="K456" s="12"/>
      <c r="L456" s="12"/>
      <c r="M456" s="18" t="str">
        <f t="shared" si="1"/>
        <v>#DIV/0!</v>
      </c>
      <c r="N456" s="18" t="str">
        <f t="shared" si="2"/>
        <v>#DIV/0!</v>
      </c>
      <c r="O456" s="12" t="str">
        <f t="shared" si="4"/>
        <v/>
      </c>
      <c r="P456" s="18" t="str">
        <f t="shared" si="3"/>
        <v>#DIV/0!</v>
      </c>
      <c r="Q456" s="12"/>
    </row>
    <row r="457">
      <c r="A457" s="1" t="s">
        <v>1697</v>
      </c>
      <c r="B457" s="7" t="s">
        <v>1698</v>
      </c>
      <c r="C457" s="2" t="s">
        <v>1699</v>
      </c>
      <c r="D457" s="1" t="s">
        <v>1700</v>
      </c>
      <c r="E457" s="16"/>
      <c r="F457" s="16"/>
      <c r="G457" s="16"/>
      <c r="H457" s="17"/>
      <c r="I457" s="12"/>
      <c r="J457" s="12"/>
      <c r="K457" s="12"/>
      <c r="L457" s="12"/>
      <c r="M457" s="18" t="str">
        <f t="shared" si="1"/>
        <v>#DIV/0!</v>
      </c>
      <c r="N457" s="18" t="str">
        <f t="shared" si="2"/>
        <v>#DIV/0!</v>
      </c>
      <c r="O457" s="12" t="str">
        <f t="shared" si="4"/>
        <v/>
      </c>
      <c r="P457" s="18" t="str">
        <f t="shared" si="3"/>
        <v>#DIV/0!</v>
      </c>
      <c r="Q457" s="12"/>
    </row>
    <row r="458">
      <c r="A458" s="1" t="s">
        <v>1701</v>
      </c>
      <c r="B458" s="7" t="s">
        <v>1702</v>
      </c>
      <c r="C458" s="2" t="s">
        <v>1703</v>
      </c>
      <c r="D458" s="7" t="s">
        <v>1704</v>
      </c>
      <c r="E458" s="16"/>
      <c r="F458" s="16"/>
      <c r="G458" s="16"/>
      <c r="H458" s="17"/>
      <c r="I458" s="12"/>
      <c r="J458" s="12"/>
      <c r="K458" s="12"/>
      <c r="L458" s="12"/>
      <c r="M458" s="18" t="str">
        <f t="shared" si="1"/>
        <v>#DIV/0!</v>
      </c>
      <c r="N458" s="18" t="str">
        <f t="shared" si="2"/>
        <v>#DIV/0!</v>
      </c>
      <c r="O458" s="12" t="str">
        <f t="shared" si="4"/>
        <v/>
      </c>
      <c r="P458" s="18" t="str">
        <f t="shared" si="3"/>
        <v>#DIV/0!</v>
      </c>
      <c r="Q458" s="12"/>
    </row>
    <row r="459">
      <c r="A459" s="1" t="s">
        <v>1705</v>
      </c>
      <c r="B459" s="7" t="s">
        <v>1706</v>
      </c>
      <c r="C459" s="2" t="s">
        <v>1707</v>
      </c>
      <c r="D459" s="1" t="s">
        <v>1708</v>
      </c>
      <c r="E459" s="16"/>
      <c r="F459" s="16"/>
      <c r="G459" s="16"/>
      <c r="H459" s="17"/>
      <c r="I459" s="12"/>
      <c r="J459" s="12"/>
      <c r="K459" s="12"/>
      <c r="L459" s="12"/>
      <c r="M459" s="18" t="str">
        <f t="shared" si="1"/>
        <v>#DIV/0!</v>
      </c>
      <c r="N459" s="18" t="str">
        <f t="shared" si="2"/>
        <v>#DIV/0!</v>
      </c>
      <c r="O459" s="12" t="str">
        <f t="shared" si="4"/>
        <v/>
      </c>
      <c r="P459" s="18" t="str">
        <f t="shared" si="3"/>
        <v>#DIV/0!</v>
      </c>
      <c r="Q459" s="12"/>
    </row>
    <row r="460">
      <c r="A460" s="1" t="s">
        <v>1709</v>
      </c>
      <c r="B460" s="7" t="s">
        <v>1710</v>
      </c>
      <c r="C460" s="2" t="s">
        <v>1711</v>
      </c>
      <c r="D460" s="1" t="s">
        <v>1712</v>
      </c>
      <c r="E460" s="16"/>
      <c r="F460" s="16"/>
      <c r="G460" s="16"/>
      <c r="H460" s="17"/>
      <c r="I460" s="12"/>
      <c r="J460" s="12"/>
      <c r="K460" s="12"/>
      <c r="L460" s="12"/>
      <c r="M460" s="18" t="str">
        <f t="shared" si="1"/>
        <v>#DIV/0!</v>
      </c>
      <c r="N460" s="18" t="str">
        <f t="shared" si="2"/>
        <v>#DIV/0!</v>
      </c>
      <c r="O460" s="12" t="str">
        <f t="shared" si="4"/>
        <v/>
      </c>
      <c r="P460" s="18" t="str">
        <f t="shared" si="3"/>
        <v>#DIV/0!</v>
      </c>
      <c r="Q460" s="12"/>
    </row>
    <row r="461">
      <c r="A461" s="1" t="s">
        <v>1713</v>
      </c>
      <c r="B461" s="7" t="s">
        <v>1714</v>
      </c>
      <c r="C461" s="2" t="s">
        <v>1715</v>
      </c>
      <c r="D461" s="1" t="s">
        <v>1716</v>
      </c>
      <c r="E461" s="16"/>
      <c r="F461" s="16"/>
      <c r="G461" s="16"/>
      <c r="H461" s="17"/>
      <c r="I461" s="12"/>
      <c r="J461" s="12"/>
      <c r="K461" s="12"/>
      <c r="L461" s="12"/>
      <c r="M461" s="18" t="str">
        <f t="shared" si="1"/>
        <v>#DIV/0!</v>
      </c>
      <c r="N461" s="18" t="str">
        <f t="shared" si="2"/>
        <v>#DIV/0!</v>
      </c>
      <c r="O461" s="12" t="str">
        <f t="shared" si="4"/>
        <v/>
      </c>
      <c r="P461" s="18" t="str">
        <f t="shared" si="3"/>
        <v>#DIV/0!</v>
      </c>
      <c r="Q461" s="12"/>
    </row>
    <row r="462">
      <c r="A462" s="1" t="s">
        <v>1717</v>
      </c>
      <c r="B462" s="7" t="s">
        <v>1718</v>
      </c>
      <c r="C462" s="2" t="s">
        <v>991</v>
      </c>
      <c r="D462" s="7" t="s">
        <v>113</v>
      </c>
      <c r="E462" s="16"/>
      <c r="F462" s="16"/>
      <c r="G462" s="16"/>
      <c r="H462" s="17"/>
      <c r="I462" s="12"/>
      <c r="J462" s="12"/>
      <c r="K462" s="12"/>
      <c r="L462" s="12"/>
      <c r="M462" s="18" t="str">
        <f t="shared" si="1"/>
        <v>#DIV/0!</v>
      </c>
      <c r="N462" s="18" t="str">
        <f t="shared" si="2"/>
        <v>#DIV/0!</v>
      </c>
      <c r="O462" s="12" t="str">
        <f t="shared" si="4"/>
        <v/>
      </c>
      <c r="P462" s="18" t="str">
        <f t="shared" si="3"/>
        <v>#DIV/0!</v>
      </c>
      <c r="Q462" s="12"/>
    </row>
    <row r="463">
      <c r="A463" s="1" t="s">
        <v>1719</v>
      </c>
      <c r="B463" s="7" t="s">
        <v>1720</v>
      </c>
      <c r="C463" s="2" t="s">
        <v>1721</v>
      </c>
      <c r="D463" s="1" t="s">
        <v>1722</v>
      </c>
      <c r="E463" s="16"/>
      <c r="F463" s="16"/>
      <c r="G463" s="16"/>
      <c r="H463" s="17"/>
      <c r="I463" s="12"/>
      <c r="J463" s="12"/>
      <c r="K463" s="12"/>
      <c r="L463" s="12"/>
      <c r="M463" s="18" t="str">
        <f t="shared" si="1"/>
        <v>#DIV/0!</v>
      </c>
      <c r="N463" s="18" t="str">
        <f t="shared" si="2"/>
        <v>#DIV/0!</v>
      </c>
      <c r="O463" s="12" t="str">
        <f t="shared" si="4"/>
        <v/>
      </c>
      <c r="P463" s="18" t="str">
        <f t="shared" si="3"/>
        <v>#DIV/0!</v>
      </c>
      <c r="Q463" s="12"/>
    </row>
    <row r="464">
      <c r="A464" s="1" t="s">
        <v>1723</v>
      </c>
      <c r="B464" s="7" t="s">
        <v>1724</v>
      </c>
      <c r="C464" s="2" t="s">
        <v>1725</v>
      </c>
      <c r="D464" s="1" t="s">
        <v>1726</v>
      </c>
      <c r="E464" s="16"/>
      <c r="F464" s="16"/>
      <c r="G464" s="16"/>
      <c r="H464" s="17"/>
      <c r="I464" s="12"/>
      <c r="J464" s="12"/>
      <c r="K464" s="12"/>
      <c r="L464" s="12"/>
      <c r="M464" s="18" t="str">
        <f t="shared" si="1"/>
        <v>#DIV/0!</v>
      </c>
      <c r="N464" s="18" t="str">
        <f t="shared" si="2"/>
        <v>#DIV/0!</v>
      </c>
      <c r="O464" s="12" t="str">
        <f t="shared" si="4"/>
        <v/>
      </c>
      <c r="P464" s="18" t="str">
        <f t="shared" si="3"/>
        <v>#DIV/0!</v>
      </c>
      <c r="Q464" s="12"/>
    </row>
    <row r="465">
      <c r="A465" s="1" t="s">
        <v>1727</v>
      </c>
      <c r="B465" s="7" t="s">
        <v>1728</v>
      </c>
      <c r="C465" s="2" t="s">
        <v>1729</v>
      </c>
      <c r="D465" s="7" t="s">
        <v>1730</v>
      </c>
      <c r="E465" s="16"/>
      <c r="F465" s="16"/>
      <c r="G465" s="16"/>
      <c r="H465" s="17"/>
      <c r="I465" s="12"/>
      <c r="J465" s="12"/>
      <c r="K465" s="12"/>
      <c r="L465" s="12"/>
      <c r="M465" s="18" t="str">
        <f t="shared" si="1"/>
        <v>#DIV/0!</v>
      </c>
      <c r="N465" s="18" t="str">
        <f t="shared" si="2"/>
        <v>#DIV/0!</v>
      </c>
      <c r="O465" s="12" t="str">
        <f t="shared" si="4"/>
        <v/>
      </c>
      <c r="P465" s="18" t="str">
        <f t="shared" si="3"/>
        <v>#DIV/0!</v>
      </c>
      <c r="Q465" s="12"/>
    </row>
    <row r="466">
      <c r="A466" s="1" t="s">
        <v>1731</v>
      </c>
      <c r="B466" s="7" t="s">
        <v>1732</v>
      </c>
      <c r="C466" s="2" t="s">
        <v>260</v>
      </c>
      <c r="D466" s="7" t="s">
        <v>261</v>
      </c>
      <c r="E466" s="16"/>
      <c r="F466" s="16"/>
      <c r="G466" s="16"/>
      <c r="H466" s="17"/>
      <c r="I466" s="12"/>
      <c r="J466" s="12"/>
      <c r="K466" s="12"/>
      <c r="L466" s="12"/>
      <c r="M466" s="18" t="str">
        <f t="shared" si="1"/>
        <v>#DIV/0!</v>
      </c>
      <c r="N466" s="18" t="str">
        <f t="shared" si="2"/>
        <v>#DIV/0!</v>
      </c>
      <c r="O466" s="12" t="str">
        <f t="shared" si="4"/>
        <v/>
      </c>
      <c r="P466" s="18" t="str">
        <f t="shared" si="3"/>
        <v>#DIV/0!</v>
      </c>
      <c r="Q466" s="12"/>
    </row>
    <row r="467">
      <c r="A467" s="1" t="s">
        <v>1733</v>
      </c>
      <c r="B467" s="7" t="s">
        <v>1734</v>
      </c>
      <c r="C467" s="2" t="s">
        <v>1735</v>
      </c>
      <c r="D467" s="7" t="s">
        <v>173</v>
      </c>
      <c r="E467" s="16"/>
      <c r="F467" s="16"/>
      <c r="G467" s="16"/>
      <c r="H467" s="17"/>
      <c r="I467" s="12"/>
      <c r="J467" s="12"/>
      <c r="K467" s="12"/>
      <c r="L467" s="12"/>
      <c r="M467" s="18" t="str">
        <f t="shared" si="1"/>
        <v>#DIV/0!</v>
      </c>
      <c r="N467" s="18" t="str">
        <f t="shared" si="2"/>
        <v>#DIV/0!</v>
      </c>
      <c r="O467" s="12" t="str">
        <f t="shared" si="4"/>
        <v/>
      </c>
      <c r="P467" s="18" t="str">
        <f t="shared" si="3"/>
        <v>#DIV/0!</v>
      </c>
      <c r="Q467" s="12"/>
    </row>
    <row r="468">
      <c r="A468" s="1" t="s">
        <v>1736</v>
      </c>
      <c r="B468" s="7" t="s">
        <v>1737</v>
      </c>
      <c r="C468" s="2" t="s">
        <v>1738</v>
      </c>
      <c r="D468" s="1" t="s">
        <v>1739</v>
      </c>
      <c r="E468" s="16"/>
      <c r="F468" s="16"/>
      <c r="G468" s="16"/>
      <c r="H468" s="17"/>
      <c r="I468" s="12"/>
      <c r="J468" s="12"/>
      <c r="K468" s="12"/>
      <c r="L468" s="12"/>
      <c r="M468" s="18" t="str">
        <f t="shared" si="1"/>
        <v>#DIV/0!</v>
      </c>
      <c r="N468" s="18" t="str">
        <f t="shared" si="2"/>
        <v>#DIV/0!</v>
      </c>
      <c r="O468" s="12" t="str">
        <f t="shared" si="4"/>
        <v/>
      </c>
      <c r="P468" s="18" t="str">
        <f t="shared" si="3"/>
        <v>#DIV/0!</v>
      </c>
      <c r="Q468" s="12"/>
    </row>
    <row r="469">
      <c r="A469" s="1" t="s">
        <v>1740</v>
      </c>
      <c r="B469" s="7" t="s">
        <v>1741</v>
      </c>
      <c r="C469" s="2" t="s">
        <v>1742</v>
      </c>
      <c r="D469" s="1" t="s">
        <v>1743</v>
      </c>
      <c r="E469" s="16"/>
      <c r="F469" s="16"/>
      <c r="G469" s="16"/>
      <c r="H469" s="17"/>
      <c r="I469" s="12"/>
      <c r="J469" s="12"/>
      <c r="K469" s="12"/>
      <c r="L469" s="12"/>
      <c r="M469" s="18" t="str">
        <f t="shared" si="1"/>
        <v>#DIV/0!</v>
      </c>
      <c r="N469" s="18" t="str">
        <f t="shared" si="2"/>
        <v>#DIV/0!</v>
      </c>
      <c r="O469" s="12" t="str">
        <f t="shared" si="4"/>
        <v/>
      </c>
      <c r="P469" s="18" t="str">
        <f t="shared" si="3"/>
        <v>#DIV/0!</v>
      </c>
      <c r="Q469" s="12"/>
    </row>
    <row r="470">
      <c r="A470" s="1" t="s">
        <v>1744</v>
      </c>
      <c r="B470" s="7" t="s">
        <v>1745</v>
      </c>
      <c r="C470" s="2" t="s">
        <v>176</v>
      </c>
      <c r="D470" s="7" t="s">
        <v>177</v>
      </c>
      <c r="E470" s="16"/>
      <c r="F470" s="16"/>
      <c r="G470" s="16"/>
      <c r="H470" s="17"/>
      <c r="I470" s="12"/>
      <c r="J470" s="12"/>
      <c r="K470" s="12"/>
      <c r="L470" s="12"/>
      <c r="M470" s="18" t="str">
        <f t="shared" si="1"/>
        <v>#DIV/0!</v>
      </c>
      <c r="N470" s="18" t="str">
        <f t="shared" si="2"/>
        <v>#DIV/0!</v>
      </c>
      <c r="O470" s="12" t="str">
        <f t="shared" si="4"/>
        <v/>
      </c>
      <c r="P470" s="18" t="str">
        <f t="shared" si="3"/>
        <v>#DIV/0!</v>
      </c>
      <c r="Q470" s="12"/>
    </row>
    <row r="471">
      <c r="A471" s="1" t="s">
        <v>1746</v>
      </c>
      <c r="B471" s="7" t="s">
        <v>1747</v>
      </c>
      <c r="C471" s="2" t="s">
        <v>1601</v>
      </c>
      <c r="D471" s="7" t="s">
        <v>478</v>
      </c>
      <c r="E471" s="16"/>
      <c r="F471" s="16"/>
      <c r="G471" s="16"/>
      <c r="H471" s="17"/>
      <c r="I471" s="12"/>
      <c r="J471" s="12"/>
      <c r="K471" s="12"/>
      <c r="L471" s="12"/>
      <c r="M471" s="18" t="str">
        <f t="shared" si="1"/>
        <v>#DIV/0!</v>
      </c>
      <c r="N471" s="18" t="str">
        <f t="shared" si="2"/>
        <v>#DIV/0!</v>
      </c>
      <c r="O471" s="12" t="str">
        <f t="shared" si="4"/>
        <v/>
      </c>
      <c r="P471" s="18" t="str">
        <f t="shared" si="3"/>
        <v>#DIV/0!</v>
      </c>
      <c r="Q471" s="12"/>
    </row>
    <row r="472">
      <c r="A472" s="1" t="s">
        <v>1748</v>
      </c>
      <c r="B472" s="7" t="s">
        <v>1749</v>
      </c>
      <c r="C472" s="2" t="s">
        <v>268</v>
      </c>
      <c r="D472" s="7" t="s">
        <v>137</v>
      </c>
      <c r="E472" s="16"/>
      <c r="F472" s="16"/>
      <c r="G472" s="16"/>
      <c r="H472" s="17"/>
      <c r="I472" s="12"/>
      <c r="J472" s="12"/>
      <c r="K472" s="12"/>
      <c r="L472" s="12"/>
      <c r="M472" s="18" t="str">
        <f t="shared" si="1"/>
        <v>#DIV/0!</v>
      </c>
      <c r="N472" s="18" t="str">
        <f t="shared" si="2"/>
        <v>#DIV/0!</v>
      </c>
      <c r="O472" s="12" t="str">
        <f t="shared" si="4"/>
        <v/>
      </c>
      <c r="P472" s="18" t="str">
        <f t="shared" si="3"/>
        <v>#DIV/0!</v>
      </c>
      <c r="Q472" s="12"/>
    </row>
    <row r="473">
      <c r="A473" s="1" t="s">
        <v>1750</v>
      </c>
      <c r="B473" s="7" t="s">
        <v>1751</v>
      </c>
      <c r="C473" s="2" t="s">
        <v>1752</v>
      </c>
      <c r="D473" s="1" t="s">
        <v>1753</v>
      </c>
      <c r="E473" s="16"/>
      <c r="F473" s="16"/>
      <c r="G473" s="16"/>
      <c r="H473" s="17"/>
      <c r="I473" s="12"/>
      <c r="J473" s="12"/>
      <c r="K473" s="12"/>
      <c r="L473" s="12"/>
      <c r="M473" s="18" t="str">
        <f t="shared" si="1"/>
        <v>#DIV/0!</v>
      </c>
      <c r="N473" s="18" t="str">
        <f t="shared" si="2"/>
        <v>#DIV/0!</v>
      </c>
      <c r="O473" s="12" t="str">
        <f t="shared" si="4"/>
        <v/>
      </c>
      <c r="P473" s="18" t="str">
        <f t="shared" si="3"/>
        <v>#DIV/0!</v>
      </c>
      <c r="Q473" s="12"/>
    </row>
    <row r="474">
      <c r="A474" s="1" t="s">
        <v>1754</v>
      </c>
      <c r="B474" s="7" t="s">
        <v>1755</v>
      </c>
      <c r="C474" s="2" t="s">
        <v>1756</v>
      </c>
      <c r="D474" s="7" t="s">
        <v>1757</v>
      </c>
      <c r="E474" s="16"/>
      <c r="F474" s="16"/>
      <c r="G474" s="16"/>
      <c r="H474" s="17"/>
      <c r="I474" s="12"/>
      <c r="J474" s="12"/>
      <c r="K474" s="12"/>
      <c r="L474" s="12"/>
      <c r="M474" s="18" t="str">
        <f t="shared" si="1"/>
        <v>#DIV/0!</v>
      </c>
      <c r="N474" s="18" t="str">
        <f t="shared" si="2"/>
        <v>#DIV/0!</v>
      </c>
      <c r="O474" s="12" t="str">
        <f t="shared" si="4"/>
        <v/>
      </c>
      <c r="P474" s="18" t="str">
        <f t="shared" si="3"/>
        <v>#DIV/0!</v>
      </c>
      <c r="Q474" s="12"/>
    </row>
    <row r="475">
      <c r="A475" s="1" t="s">
        <v>1758</v>
      </c>
      <c r="B475" s="7" t="s">
        <v>1759</v>
      </c>
      <c r="C475" s="2" t="s">
        <v>1760</v>
      </c>
      <c r="D475" s="7" t="s">
        <v>937</v>
      </c>
      <c r="E475" s="16"/>
      <c r="F475" s="16"/>
      <c r="G475" s="16"/>
      <c r="H475" s="17"/>
      <c r="I475" s="12"/>
      <c r="J475" s="12"/>
      <c r="K475" s="12"/>
      <c r="L475" s="12"/>
      <c r="M475" s="18" t="str">
        <f t="shared" si="1"/>
        <v>#DIV/0!</v>
      </c>
      <c r="N475" s="18" t="str">
        <f t="shared" si="2"/>
        <v>#DIV/0!</v>
      </c>
      <c r="O475" s="12" t="str">
        <f t="shared" si="4"/>
        <v/>
      </c>
      <c r="P475" s="18" t="str">
        <f t="shared" si="3"/>
        <v>#DIV/0!</v>
      </c>
      <c r="Q475" s="12"/>
    </row>
    <row r="476">
      <c r="A476" s="1" t="s">
        <v>1761</v>
      </c>
      <c r="B476" s="7" t="s">
        <v>1762</v>
      </c>
      <c r="C476" s="2" t="s">
        <v>1763</v>
      </c>
      <c r="D476" s="7" t="s">
        <v>1764</v>
      </c>
      <c r="E476" s="16"/>
      <c r="F476" s="16"/>
      <c r="G476" s="16"/>
      <c r="H476" s="17"/>
      <c r="I476" s="12"/>
      <c r="J476" s="12"/>
      <c r="K476" s="12"/>
      <c r="L476" s="12"/>
      <c r="M476" s="18" t="str">
        <f t="shared" si="1"/>
        <v>#DIV/0!</v>
      </c>
      <c r="N476" s="18" t="str">
        <f t="shared" si="2"/>
        <v>#DIV/0!</v>
      </c>
      <c r="O476" s="12" t="str">
        <f t="shared" si="4"/>
        <v/>
      </c>
      <c r="P476" s="18" t="str">
        <f t="shared" si="3"/>
        <v>#DIV/0!</v>
      </c>
      <c r="Q476" s="12"/>
    </row>
    <row r="477">
      <c r="A477" s="1" t="s">
        <v>1765</v>
      </c>
      <c r="B477" s="7" t="s">
        <v>1766</v>
      </c>
      <c r="C477" s="2" t="s">
        <v>1767</v>
      </c>
      <c r="D477" s="7" t="s">
        <v>1768</v>
      </c>
      <c r="E477" s="16"/>
      <c r="F477" s="16"/>
      <c r="G477" s="16"/>
      <c r="H477" s="17"/>
      <c r="I477" s="12"/>
      <c r="J477" s="12"/>
      <c r="K477" s="12"/>
      <c r="L477" s="12"/>
      <c r="M477" s="18" t="str">
        <f t="shared" si="1"/>
        <v>#DIV/0!</v>
      </c>
      <c r="N477" s="18" t="str">
        <f t="shared" si="2"/>
        <v>#DIV/0!</v>
      </c>
      <c r="O477" s="12" t="str">
        <f t="shared" si="4"/>
        <v/>
      </c>
      <c r="P477" s="18" t="str">
        <f t="shared" si="3"/>
        <v>#DIV/0!</v>
      </c>
      <c r="Q477" s="12"/>
    </row>
    <row r="478">
      <c r="A478" s="1" t="s">
        <v>1769</v>
      </c>
      <c r="B478" s="7" t="s">
        <v>1770</v>
      </c>
      <c r="C478" s="2" t="s">
        <v>1771</v>
      </c>
      <c r="D478" s="7" t="s">
        <v>668</v>
      </c>
      <c r="E478" s="16"/>
      <c r="F478" s="16"/>
      <c r="G478" s="16"/>
      <c r="H478" s="17"/>
      <c r="I478" s="12"/>
      <c r="J478" s="12"/>
      <c r="K478" s="12"/>
      <c r="L478" s="12"/>
      <c r="M478" s="18" t="str">
        <f t="shared" si="1"/>
        <v>#DIV/0!</v>
      </c>
      <c r="N478" s="18" t="str">
        <f t="shared" si="2"/>
        <v>#DIV/0!</v>
      </c>
      <c r="O478" s="12" t="str">
        <f t="shared" si="4"/>
        <v/>
      </c>
      <c r="P478" s="18" t="str">
        <f t="shared" si="3"/>
        <v>#DIV/0!</v>
      </c>
      <c r="Q478" s="12"/>
    </row>
    <row r="479">
      <c r="A479" s="1" t="s">
        <v>1772</v>
      </c>
      <c r="B479" s="7" t="s">
        <v>1773</v>
      </c>
      <c r="C479" s="2" t="s">
        <v>1774</v>
      </c>
      <c r="D479" s="7" t="s">
        <v>1215</v>
      </c>
      <c r="E479" s="16"/>
      <c r="F479" s="16"/>
      <c r="G479" s="16"/>
      <c r="H479" s="17"/>
      <c r="I479" s="12"/>
      <c r="J479" s="12"/>
      <c r="K479" s="12"/>
      <c r="L479" s="12"/>
      <c r="M479" s="18" t="str">
        <f t="shared" si="1"/>
        <v>#DIV/0!</v>
      </c>
      <c r="N479" s="18" t="str">
        <f t="shared" si="2"/>
        <v>#DIV/0!</v>
      </c>
      <c r="O479" s="12" t="str">
        <f t="shared" si="4"/>
        <v/>
      </c>
      <c r="P479" s="18" t="str">
        <f t="shared" si="3"/>
        <v>#DIV/0!</v>
      </c>
      <c r="Q479" s="12"/>
    </row>
    <row r="480">
      <c r="A480" s="1" t="s">
        <v>1775</v>
      </c>
      <c r="B480" s="7" t="s">
        <v>1776</v>
      </c>
      <c r="C480" s="2" t="s">
        <v>1777</v>
      </c>
      <c r="D480" s="7" t="s">
        <v>296</v>
      </c>
      <c r="E480" s="16"/>
      <c r="F480" s="16"/>
      <c r="G480" s="16"/>
      <c r="H480" s="17"/>
      <c r="I480" s="12"/>
      <c r="J480" s="12"/>
      <c r="K480" s="12"/>
      <c r="L480" s="12"/>
      <c r="M480" s="18" t="str">
        <f t="shared" si="1"/>
        <v>#DIV/0!</v>
      </c>
      <c r="N480" s="18" t="str">
        <f t="shared" si="2"/>
        <v>#DIV/0!</v>
      </c>
      <c r="O480" s="12" t="str">
        <f t="shared" si="4"/>
        <v/>
      </c>
      <c r="P480" s="18" t="str">
        <f t="shared" si="3"/>
        <v>#DIV/0!</v>
      </c>
      <c r="Q480" s="12"/>
    </row>
    <row r="481">
      <c r="A481" s="1" t="s">
        <v>1778</v>
      </c>
      <c r="B481" s="7" t="s">
        <v>1779</v>
      </c>
      <c r="C481" s="2" t="s">
        <v>1780</v>
      </c>
      <c r="D481" s="1" t="s">
        <v>1781</v>
      </c>
      <c r="E481" s="16"/>
      <c r="F481" s="16"/>
      <c r="G481" s="16"/>
      <c r="H481" s="17"/>
      <c r="I481" s="12"/>
      <c r="J481" s="12"/>
      <c r="K481" s="12"/>
      <c r="L481" s="12"/>
      <c r="M481" s="18" t="str">
        <f t="shared" si="1"/>
        <v>#DIV/0!</v>
      </c>
      <c r="N481" s="18" t="str">
        <f t="shared" si="2"/>
        <v>#DIV/0!</v>
      </c>
      <c r="O481" s="12" t="str">
        <f t="shared" si="4"/>
        <v/>
      </c>
      <c r="P481" s="18" t="str">
        <f t="shared" si="3"/>
        <v>#DIV/0!</v>
      </c>
      <c r="Q481" s="12"/>
    </row>
    <row r="482">
      <c r="A482" s="1" t="s">
        <v>1782</v>
      </c>
      <c r="B482" s="7" t="s">
        <v>1783</v>
      </c>
      <c r="C482" s="2" t="s">
        <v>1784</v>
      </c>
      <c r="D482" s="1" t="s">
        <v>1785</v>
      </c>
      <c r="E482" s="16"/>
      <c r="F482" s="16"/>
      <c r="G482" s="16"/>
      <c r="H482" s="17"/>
      <c r="I482" s="12"/>
      <c r="J482" s="12"/>
      <c r="K482" s="12"/>
      <c r="L482" s="12"/>
      <c r="M482" s="18" t="str">
        <f t="shared" si="1"/>
        <v>#DIV/0!</v>
      </c>
      <c r="N482" s="18" t="str">
        <f t="shared" si="2"/>
        <v>#DIV/0!</v>
      </c>
      <c r="O482" s="12" t="str">
        <f t="shared" si="4"/>
        <v/>
      </c>
      <c r="P482" s="18" t="str">
        <f t="shared" si="3"/>
        <v>#DIV/0!</v>
      </c>
      <c r="Q482" s="12"/>
    </row>
    <row r="483">
      <c r="A483" s="1" t="s">
        <v>1786</v>
      </c>
      <c r="B483" s="7" t="s">
        <v>1787</v>
      </c>
      <c r="C483" s="2" t="s">
        <v>1788</v>
      </c>
      <c r="D483" s="7" t="s">
        <v>1789</v>
      </c>
      <c r="E483" s="16"/>
      <c r="F483" s="16"/>
      <c r="G483" s="16"/>
      <c r="H483" s="17"/>
      <c r="I483" s="12"/>
      <c r="J483" s="12"/>
      <c r="K483" s="12"/>
      <c r="L483" s="12"/>
      <c r="M483" s="18" t="str">
        <f t="shared" si="1"/>
        <v>#DIV/0!</v>
      </c>
      <c r="N483" s="18" t="str">
        <f t="shared" si="2"/>
        <v>#DIV/0!</v>
      </c>
      <c r="O483" s="12" t="str">
        <f t="shared" si="4"/>
        <v/>
      </c>
      <c r="P483" s="18" t="str">
        <f t="shared" si="3"/>
        <v>#DIV/0!</v>
      </c>
      <c r="Q483" s="12"/>
    </row>
    <row r="484">
      <c r="A484" s="1" t="s">
        <v>1790</v>
      </c>
      <c r="B484" s="7" t="s">
        <v>1791</v>
      </c>
      <c r="C484" s="2" t="s">
        <v>1792</v>
      </c>
      <c r="D484" s="1" t="s">
        <v>1793</v>
      </c>
      <c r="E484" s="16"/>
      <c r="F484" s="16"/>
      <c r="G484" s="16"/>
      <c r="H484" s="17"/>
      <c r="I484" s="12"/>
      <c r="J484" s="12"/>
      <c r="K484" s="12"/>
      <c r="L484" s="12"/>
      <c r="M484" s="18" t="str">
        <f t="shared" si="1"/>
        <v>#DIV/0!</v>
      </c>
      <c r="N484" s="18" t="str">
        <f t="shared" si="2"/>
        <v>#DIV/0!</v>
      </c>
      <c r="O484" s="12" t="str">
        <f t="shared" si="4"/>
        <v/>
      </c>
      <c r="P484" s="18" t="str">
        <f t="shared" si="3"/>
        <v>#DIV/0!</v>
      </c>
      <c r="Q484" s="12"/>
    </row>
    <row r="485">
      <c r="A485" s="1" t="s">
        <v>1794</v>
      </c>
      <c r="B485" s="7" t="s">
        <v>1795</v>
      </c>
      <c r="C485" s="2" t="s">
        <v>811</v>
      </c>
      <c r="D485" s="7" t="s">
        <v>812</v>
      </c>
      <c r="E485" s="16"/>
      <c r="F485" s="16"/>
      <c r="G485" s="16"/>
      <c r="H485" s="17"/>
      <c r="I485" s="12"/>
      <c r="J485" s="12"/>
      <c r="K485" s="12"/>
      <c r="L485" s="12"/>
      <c r="M485" s="18" t="str">
        <f t="shared" si="1"/>
        <v>#DIV/0!</v>
      </c>
      <c r="N485" s="18" t="str">
        <f t="shared" si="2"/>
        <v>#DIV/0!</v>
      </c>
      <c r="O485" s="12" t="str">
        <f t="shared" si="4"/>
        <v/>
      </c>
      <c r="P485" s="18" t="str">
        <f t="shared" si="3"/>
        <v>#DIV/0!</v>
      </c>
      <c r="Q485" s="12"/>
    </row>
    <row r="486">
      <c r="A486" s="1" t="s">
        <v>1796</v>
      </c>
      <c r="B486" s="7" t="s">
        <v>1797</v>
      </c>
      <c r="C486" s="2" t="s">
        <v>1798</v>
      </c>
      <c r="D486" s="1" t="s">
        <v>1799</v>
      </c>
      <c r="E486" s="16"/>
      <c r="F486" s="16"/>
      <c r="G486" s="16"/>
      <c r="H486" s="17"/>
      <c r="I486" s="12"/>
      <c r="J486" s="12"/>
      <c r="K486" s="12"/>
      <c r="L486" s="12"/>
      <c r="M486" s="18" t="str">
        <f t="shared" si="1"/>
        <v>#DIV/0!</v>
      </c>
      <c r="N486" s="18" t="str">
        <f t="shared" si="2"/>
        <v>#DIV/0!</v>
      </c>
      <c r="O486" s="12" t="str">
        <f t="shared" si="4"/>
        <v/>
      </c>
      <c r="P486" s="18" t="str">
        <f t="shared" si="3"/>
        <v>#DIV/0!</v>
      </c>
      <c r="Q486" s="12"/>
    </row>
    <row r="487">
      <c r="A487" s="1" t="s">
        <v>1800</v>
      </c>
      <c r="B487" s="7" t="s">
        <v>1801</v>
      </c>
      <c r="C487" s="2" t="s">
        <v>1802</v>
      </c>
      <c r="D487" s="7" t="s">
        <v>1803</v>
      </c>
      <c r="E487" s="16"/>
      <c r="F487" s="16"/>
      <c r="G487" s="16"/>
      <c r="H487" s="17"/>
      <c r="I487" s="12"/>
      <c r="J487" s="12"/>
      <c r="K487" s="12"/>
      <c r="L487" s="12"/>
      <c r="M487" s="18" t="str">
        <f t="shared" si="1"/>
        <v>#DIV/0!</v>
      </c>
      <c r="N487" s="18" t="str">
        <f t="shared" si="2"/>
        <v>#DIV/0!</v>
      </c>
      <c r="O487" s="12" t="str">
        <f t="shared" si="4"/>
        <v/>
      </c>
      <c r="P487" s="18" t="str">
        <f t="shared" si="3"/>
        <v>#DIV/0!</v>
      </c>
      <c r="Q487" s="12"/>
    </row>
    <row r="488">
      <c r="A488" s="1" t="s">
        <v>1804</v>
      </c>
      <c r="B488" s="7" t="s">
        <v>1805</v>
      </c>
      <c r="C488" s="2" t="s">
        <v>1806</v>
      </c>
      <c r="D488" s="1" t="s">
        <v>1807</v>
      </c>
      <c r="E488" s="16"/>
      <c r="F488" s="16"/>
      <c r="G488" s="16"/>
      <c r="H488" s="17"/>
      <c r="I488" s="12"/>
      <c r="J488" s="12"/>
      <c r="K488" s="12"/>
      <c r="L488" s="12"/>
      <c r="M488" s="18" t="str">
        <f t="shared" si="1"/>
        <v>#DIV/0!</v>
      </c>
      <c r="N488" s="18" t="str">
        <f t="shared" si="2"/>
        <v>#DIV/0!</v>
      </c>
      <c r="O488" s="12" t="str">
        <f t="shared" si="4"/>
        <v/>
      </c>
      <c r="P488" s="18" t="str">
        <f t="shared" si="3"/>
        <v>#DIV/0!</v>
      </c>
      <c r="Q488" s="12"/>
    </row>
    <row r="489">
      <c r="A489" s="1" t="s">
        <v>1808</v>
      </c>
      <c r="B489" s="7" t="s">
        <v>1809</v>
      </c>
      <c r="C489" s="2" t="s">
        <v>268</v>
      </c>
      <c r="D489" s="7" t="s">
        <v>137</v>
      </c>
      <c r="E489" s="16"/>
      <c r="F489" s="16"/>
      <c r="G489" s="16"/>
      <c r="H489" s="17"/>
      <c r="I489" s="12"/>
      <c r="J489" s="12"/>
      <c r="K489" s="12"/>
      <c r="L489" s="12"/>
      <c r="M489" s="18" t="str">
        <f t="shared" si="1"/>
        <v>#DIV/0!</v>
      </c>
      <c r="N489" s="18" t="str">
        <f t="shared" si="2"/>
        <v>#DIV/0!</v>
      </c>
      <c r="O489" s="12" t="str">
        <f t="shared" si="4"/>
        <v/>
      </c>
      <c r="P489" s="18" t="str">
        <f t="shared" si="3"/>
        <v>#DIV/0!</v>
      </c>
      <c r="Q489" s="12"/>
    </row>
    <row r="490">
      <c r="A490" s="1" t="s">
        <v>1810</v>
      </c>
      <c r="B490" s="7" t="s">
        <v>1811</v>
      </c>
      <c r="C490" s="2" t="s">
        <v>268</v>
      </c>
      <c r="D490" s="7" t="s">
        <v>137</v>
      </c>
      <c r="E490" s="16"/>
      <c r="F490" s="16"/>
      <c r="G490" s="16"/>
      <c r="H490" s="17"/>
      <c r="I490" s="12"/>
      <c r="J490" s="12"/>
      <c r="K490" s="12"/>
      <c r="L490" s="12"/>
      <c r="M490" s="18" t="str">
        <f t="shared" si="1"/>
        <v>#DIV/0!</v>
      </c>
      <c r="N490" s="18" t="str">
        <f t="shared" si="2"/>
        <v>#DIV/0!</v>
      </c>
      <c r="O490" s="12" t="str">
        <f t="shared" si="4"/>
        <v/>
      </c>
      <c r="P490" s="18" t="str">
        <f t="shared" si="3"/>
        <v>#DIV/0!</v>
      </c>
      <c r="Q490" s="12"/>
    </row>
    <row r="491">
      <c r="A491" s="1" t="s">
        <v>1812</v>
      </c>
      <c r="B491" s="7" t="s">
        <v>1813</v>
      </c>
      <c r="C491" s="2" t="s">
        <v>1814</v>
      </c>
      <c r="D491" s="7" t="s">
        <v>1815</v>
      </c>
      <c r="E491" s="16"/>
      <c r="F491" s="16"/>
      <c r="G491" s="16"/>
      <c r="H491" s="17"/>
      <c r="I491" s="12"/>
      <c r="J491" s="12"/>
      <c r="K491" s="12"/>
      <c r="L491" s="12"/>
      <c r="M491" s="18" t="str">
        <f t="shared" si="1"/>
        <v>#DIV/0!</v>
      </c>
      <c r="N491" s="18" t="str">
        <f t="shared" si="2"/>
        <v>#DIV/0!</v>
      </c>
      <c r="O491" s="12" t="str">
        <f t="shared" si="4"/>
        <v/>
      </c>
      <c r="P491" s="18" t="str">
        <f t="shared" si="3"/>
        <v>#DIV/0!</v>
      </c>
      <c r="Q491" s="12"/>
    </row>
    <row r="492">
      <c r="A492" s="1" t="s">
        <v>1816</v>
      </c>
      <c r="B492" s="7" t="s">
        <v>1817</v>
      </c>
      <c r="C492" s="2" t="s">
        <v>1197</v>
      </c>
      <c r="D492" s="7" t="s">
        <v>896</v>
      </c>
      <c r="E492" s="16"/>
      <c r="F492" s="16"/>
      <c r="G492" s="16"/>
      <c r="H492" s="17"/>
      <c r="I492" s="12"/>
      <c r="J492" s="12"/>
      <c r="K492" s="12"/>
      <c r="L492" s="12"/>
      <c r="M492" s="18" t="str">
        <f t="shared" si="1"/>
        <v>#DIV/0!</v>
      </c>
      <c r="N492" s="18" t="str">
        <f t="shared" si="2"/>
        <v>#DIV/0!</v>
      </c>
      <c r="O492" s="12" t="str">
        <f t="shared" si="4"/>
        <v/>
      </c>
      <c r="P492" s="18" t="str">
        <f t="shared" si="3"/>
        <v>#DIV/0!</v>
      </c>
      <c r="Q492" s="12"/>
    </row>
    <row r="493">
      <c r="A493" s="1" t="s">
        <v>1818</v>
      </c>
      <c r="B493" s="7" t="s">
        <v>1819</v>
      </c>
      <c r="C493" s="2" t="s">
        <v>1820</v>
      </c>
      <c r="D493" s="1" t="s">
        <v>1821</v>
      </c>
      <c r="E493" s="16"/>
      <c r="F493" s="16"/>
      <c r="G493" s="16"/>
      <c r="H493" s="17"/>
      <c r="I493" s="12"/>
      <c r="J493" s="12"/>
      <c r="K493" s="12"/>
      <c r="L493" s="12"/>
      <c r="M493" s="18" t="str">
        <f t="shared" si="1"/>
        <v>#DIV/0!</v>
      </c>
      <c r="N493" s="18" t="str">
        <f t="shared" si="2"/>
        <v>#DIV/0!</v>
      </c>
      <c r="O493" s="12" t="str">
        <f t="shared" si="4"/>
        <v/>
      </c>
      <c r="P493" s="18" t="str">
        <f t="shared" si="3"/>
        <v>#DIV/0!</v>
      </c>
      <c r="Q493" s="12"/>
    </row>
    <row r="494">
      <c r="A494" s="1" t="s">
        <v>1822</v>
      </c>
      <c r="B494" s="7" t="s">
        <v>1823</v>
      </c>
      <c r="C494" s="2" t="s">
        <v>1824</v>
      </c>
      <c r="D494" s="7" t="s">
        <v>1825</v>
      </c>
      <c r="E494" s="16"/>
      <c r="F494" s="16"/>
      <c r="G494" s="16"/>
      <c r="H494" s="17"/>
      <c r="I494" s="12"/>
      <c r="J494" s="12"/>
      <c r="K494" s="12"/>
      <c r="L494" s="12"/>
      <c r="M494" s="18" t="str">
        <f t="shared" si="1"/>
        <v>#DIV/0!</v>
      </c>
      <c r="N494" s="18" t="str">
        <f t="shared" si="2"/>
        <v>#DIV/0!</v>
      </c>
      <c r="O494" s="12" t="str">
        <f t="shared" si="4"/>
        <v/>
      </c>
      <c r="P494" s="18" t="str">
        <f t="shared" si="3"/>
        <v>#DIV/0!</v>
      </c>
      <c r="Q494" s="12"/>
    </row>
    <row r="495">
      <c r="A495" s="1" t="s">
        <v>1826</v>
      </c>
      <c r="B495" s="7" t="s">
        <v>1827</v>
      </c>
      <c r="C495" s="2" t="s">
        <v>1828</v>
      </c>
      <c r="D495" s="1" t="s">
        <v>1829</v>
      </c>
      <c r="E495" s="16"/>
      <c r="F495" s="16"/>
      <c r="G495" s="16"/>
      <c r="H495" s="17"/>
      <c r="I495" s="12"/>
      <c r="J495" s="12"/>
      <c r="K495" s="12"/>
      <c r="L495" s="12"/>
      <c r="M495" s="18" t="str">
        <f t="shared" si="1"/>
        <v>#DIV/0!</v>
      </c>
      <c r="N495" s="18" t="str">
        <f t="shared" si="2"/>
        <v>#DIV/0!</v>
      </c>
      <c r="O495" s="12" t="str">
        <f t="shared" si="4"/>
        <v/>
      </c>
      <c r="P495" s="18" t="str">
        <f t="shared" si="3"/>
        <v>#DIV/0!</v>
      </c>
      <c r="Q495" s="12"/>
    </row>
    <row r="496">
      <c r="A496" s="1" t="s">
        <v>1830</v>
      </c>
      <c r="B496" s="7" t="s">
        <v>1831</v>
      </c>
      <c r="C496" s="2" t="s">
        <v>1832</v>
      </c>
      <c r="D496" s="1" t="s">
        <v>1833</v>
      </c>
      <c r="E496" s="16"/>
      <c r="F496" s="16"/>
      <c r="G496" s="16"/>
      <c r="H496" s="17"/>
      <c r="I496" s="12"/>
      <c r="J496" s="12"/>
      <c r="K496" s="12"/>
      <c r="L496" s="12"/>
      <c r="M496" s="18" t="str">
        <f t="shared" si="1"/>
        <v>#DIV/0!</v>
      </c>
      <c r="N496" s="18" t="str">
        <f t="shared" si="2"/>
        <v>#DIV/0!</v>
      </c>
      <c r="O496" s="12" t="str">
        <f t="shared" si="4"/>
        <v/>
      </c>
      <c r="P496" s="18" t="str">
        <f t="shared" si="3"/>
        <v>#DIV/0!</v>
      </c>
      <c r="Q496" s="12"/>
    </row>
    <row r="497">
      <c r="A497" s="1" t="s">
        <v>1834</v>
      </c>
      <c r="B497" s="7" t="s">
        <v>1835</v>
      </c>
      <c r="C497" s="2" t="s">
        <v>991</v>
      </c>
      <c r="D497" s="7" t="s">
        <v>113</v>
      </c>
      <c r="E497" s="16"/>
      <c r="F497" s="16"/>
      <c r="G497" s="16"/>
      <c r="H497" s="17"/>
      <c r="I497" s="12"/>
      <c r="J497" s="12"/>
      <c r="K497" s="12"/>
      <c r="L497" s="12"/>
      <c r="M497" s="18" t="str">
        <f t="shared" si="1"/>
        <v>#DIV/0!</v>
      </c>
      <c r="N497" s="18" t="str">
        <f t="shared" si="2"/>
        <v>#DIV/0!</v>
      </c>
      <c r="O497" s="12" t="str">
        <f t="shared" si="4"/>
        <v/>
      </c>
      <c r="P497" s="18" t="str">
        <f t="shared" si="3"/>
        <v>#DIV/0!</v>
      </c>
      <c r="Q497" s="12"/>
    </row>
    <row r="498">
      <c r="A498" s="1" t="s">
        <v>1836</v>
      </c>
      <c r="B498" s="7" t="s">
        <v>1837</v>
      </c>
      <c r="C498" s="2" t="s">
        <v>1838</v>
      </c>
      <c r="D498" s="7" t="s">
        <v>1839</v>
      </c>
      <c r="E498" s="16"/>
      <c r="F498" s="16"/>
      <c r="G498" s="16"/>
      <c r="H498" s="17"/>
      <c r="I498" s="12"/>
      <c r="J498" s="12"/>
      <c r="K498" s="12"/>
      <c r="L498" s="12"/>
      <c r="M498" s="18" t="str">
        <f t="shared" si="1"/>
        <v>#DIV/0!</v>
      </c>
      <c r="N498" s="18" t="str">
        <f t="shared" si="2"/>
        <v>#DIV/0!</v>
      </c>
      <c r="O498" s="12" t="str">
        <f t="shared" si="4"/>
        <v/>
      </c>
      <c r="P498" s="18" t="str">
        <f t="shared" si="3"/>
        <v>#DIV/0!</v>
      </c>
      <c r="Q498" s="12"/>
    </row>
    <row r="499">
      <c r="A499" s="1" t="s">
        <v>1840</v>
      </c>
      <c r="B499" s="7" t="s">
        <v>1841</v>
      </c>
      <c r="C499" s="2" t="s">
        <v>268</v>
      </c>
      <c r="D499" s="7" t="s">
        <v>137</v>
      </c>
      <c r="E499" s="16"/>
      <c r="F499" s="16"/>
      <c r="G499" s="16"/>
      <c r="H499" s="17"/>
      <c r="I499" s="12"/>
      <c r="J499" s="12"/>
      <c r="K499" s="12"/>
      <c r="L499" s="12"/>
      <c r="M499" s="18" t="str">
        <f t="shared" si="1"/>
        <v>#DIV/0!</v>
      </c>
      <c r="N499" s="18" t="str">
        <f t="shared" si="2"/>
        <v>#DIV/0!</v>
      </c>
      <c r="O499" s="12" t="str">
        <f t="shared" si="4"/>
        <v/>
      </c>
      <c r="P499" s="18" t="str">
        <f t="shared" si="3"/>
        <v>#DIV/0!</v>
      </c>
      <c r="Q499" s="12"/>
    </row>
    <row r="500">
      <c r="A500" s="1" t="s">
        <v>1842</v>
      </c>
      <c r="B500" s="7" t="s">
        <v>1843</v>
      </c>
      <c r="C500" s="2" t="s">
        <v>1844</v>
      </c>
      <c r="D500" s="1" t="s">
        <v>1845</v>
      </c>
      <c r="E500" s="16"/>
      <c r="F500" s="16"/>
      <c r="G500" s="16"/>
      <c r="H500" s="17"/>
      <c r="I500" s="12"/>
      <c r="J500" s="12"/>
      <c r="K500" s="12"/>
      <c r="L500" s="12"/>
      <c r="M500" s="18" t="str">
        <f t="shared" si="1"/>
        <v>#DIV/0!</v>
      </c>
      <c r="N500" s="18" t="str">
        <f t="shared" si="2"/>
        <v>#DIV/0!</v>
      </c>
      <c r="O500" s="12" t="str">
        <f t="shared" si="4"/>
        <v/>
      </c>
      <c r="P500" s="18" t="str">
        <f t="shared" si="3"/>
        <v>#DIV/0!</v>
      </c>
      <c r="Q500" s="12"/>
    </row>
    <row r="501">
      <c r="A501" s="1" t="s">
        <v>1846</v>
      </c>
      <c r="B501" s="7" t="s">
        <v>1847</v>
      </c>
      <c r="C501" s="2" t="s">
        <v>1848</v>
      </c>
      <c r="D501" s="7" t="s">
        <v>1849</v>
      </c>
      <c r="E501" s="16"/>
      <c r="F501" s="16"/>
      <c r="G501" s="16"/>
      <c r="H501" s="17"/>
      <c r="I501" s="12"/>
      <c r="J501" s="12"/>
      <c r="K501" s="12"/>
      <c r="L501" s="12"/>
      <c r="M501" s="18" t="str">
        <f t="shared" si="1"/>
        <v>#DIV/0!</v>
      </c>
      <c r="N501" s="18" t="str">
        <f t="shared" si="2"/>
        <v>#DIV/0!</v>
      </c>
      <c r="O501" s="12" t="str">
        <f t="shared" si="4"/>
        <v/>
      </c>
      <c r="P501" s="18" t="str">
        <f t="shared" si="3"/>
        <v>#DIV/0!</v>
      </c>
      <c r="Q501" s="12"/>
    </row>
    <row r="502">
      <c r="A502" s="1" t="s">
        <v>1850</v>
      </c>
      <c r="B502" s="7" t="s">
        <v>1851</v>
      </c>
      <c r="C502" s="2" t="s">
        <v>268</v>
      </c>
      <c r="D502" s="7" t="s">
        <v>137</v>
      </c>
      <c r="E502" s="16"/>
      <c r="F502" s="16"/>
      <c r="G502" s="16"/>
      <c r="H502" s="17"/>
      <c r="I502" s="12"/>
      <c r="J502" s="12"/>
      <c r="K502" s="12"/>
      <c r="L502" s="12"/>
      <c r="M502" s="18" t="str">
        <f t="shared" si="1"/>
        <v>#DIV/0!</v>
      </c>
      <c r="N502" s="18" t="str">
        <f t="shared" si="2"/>
        <v>#DIV/0!</v>
      </c>
      <c r="O502" s="12" t="str">
        <f t="shared" si="4"/>
        <v/>
      </c>
      <c r="P502" s="18" t="str">
        <f t="shared" si="3"/>
        <v>#DIV/0!</v>
      </c>
      <c r="Q502" s="12"/>
    </row>
    <row r="503">
      <c r="A503" s="1" t="s">
        <v>1852</v>
      </c>
      <c r="B503" s="7" t="s">
        <v>1853</v>
      </c>
      <c r="C503" s="2" t="s">
        <v>1854</v>
      </c>
      <c r="D503" s="7" t="s">
        <v>1855</v>
      </c>
      <c r="E503" s="16"/>
      <c r="F503" s="16"/>
      <c r="G503" s="16"/>
      <c r="H503" s="17"/>
      <c r="I503" s="12"/>
      <c r="J503" s="12"/>
      <c r="K503" s="12"/>
      <c r="L503" s="12"/>
      <c r="M503" s="18" t="str">
        <f t="shared" si="1"/>
        <v>#DIV/0!</v>
      </c>
      <c r="N503" s="18" t="str">
        <f t="shared" si="2"/>
        <v>#DIV/0!</v>
      </c>
      <c r="O503" s="12" t="str">
        <f t="shared" si="4"/>
        <v/>
      </c>
      <c r="P503" s="18" t="str">
        <f t="shared" si="3"/>
        <v>#DIV/0!</v>
      </c>
      <c r="Q503" s="12"/>
    </row>
    <row r="504">
      <c r="A504" s="1" t="s">
        <v>1856</v>
      </c>
      <c r="B504" s="7" t="s">
        <v>1857</v>
      </c>
      <c r="C504" s="2" t="s">
        <v>1858</v>
      </c>
      <c r="D504" s="7" t="s">
        <v>1859</v>
      </c>
      <c r="E504" s="16"/>
      <c r="F504" s="16"/>
      <c r="G504" s="16"/>
      <c r="H504" s="17"/>
      <c r="I504" s="12"/>
      <c r="J504" s="12"/>
      <c r="K504" s="12"/>
      <c r="L504" s="12"/>
      <c r="M504" s="18" t="str">
        <f t="shared" si="1"/>
        <v>#DIV/0!</v>
      </c>
      <c r="N504" s="18" t="str">
        <f t="shared" si="2"/>
        <v>#DIV/0!</v>
      </c>
      <c r="O504" s="12" t="str">
        <f t="shared" si="4"/>
        <v/>
      </c>
      <c r="P504" s="18" t="str">
        <f t="shared" si="3"/>
        <v>#DIV/0!</v>
      </c>
      <c r="Q504" s="12"/>
    </row>
    <row r="505">
      <c r="A505" s="1" t="s">
        <v>1860</v>
      </c>
      <c r="B505" s="7" t="s">
        <v>1861</v>
      </c>
      <c r="C505" s="2" t="s">
        <v>1862</v>
      </c>
      <c r="D505" s="1" t="s">
        <v>1863</v>
      </c>
      <c r="E505" s="16"/>
      <c r="F505" s="16"/>
      <c r="G505" s="16"/>
      <c r="H505" s="17"/>
      <c r="I505" s="12"/>
      <c r="J505" s="12"/>
      <c r="K505" s="12"/>
      <c r="L505" s="12"/>
      <c r="M505" s="18" t="str">
        <f t="shared" si="1"/>
        <v>#DIV/0!</v>
      </c>
      <c r="N505" s="18" t="str">
        <f t="shared" si="2"/>
        <v>#DIV/0!</v>
      </c>
      <c r="O505" s="12" t="str">
        <f t="shared" si="4"/>
        <v/>
      </c>
      <c r="P505" s="18" t="str">
        <f t="shared" si="3"/>
        <v>#DIV/0!</v>
      </c>
      <c r="Q505" s="12"/>
    </row>
    <row r="506">
      <c r="A506" s="1" t="s">
        <v>1864</v>
      </c>
      <c r="B506" s="7" t="s">
        <v>1865</v>
      </c>
      <c r="C506" s="2" t="s">
        <v>1866</v>
      </c>
      <c r="D506" s="1" t="s">
        <v>1867</v>
      </c>
      <c r="E506" s="16"/>
      <c r="F506" s="16"/>
      <c r="G506" s="16"/>
      <c r="H506" s="17"/>
      <c r="I506" s="12"/>
      <c r="J506" s="12"/>
      <c r="K506" s="12"/>
      <c r="L506" s="12"/>
      <c r="M506" s="18" t="str">
        <f t="shared" si="1"/>
        <v>#DIV/0!</v>
      </c>
      <c r="N506" s="18" t="str">
        <f t="shared" si="2"/>
        <v>#DIV/0!</v>
      </c>
      <c r="O506" s="12" t="str">
        <f t="shared" si="4"/>
        <v/>
      </c>
      <c r="P506" s="18" t="str">
        <f t="shared" si="3"/>
        <v>#DIV/0!</v>
      </c>
      <c r="Q506" s="12"/>
    </row>
    <row r="507">
      <c r="A507" s="1" t="s">
        <v>1868</v>
      </c>
      <c r="B507" s="7" t="s">
        <v>1869</v>
      </c>
      <c r="C507" s="2" t="s">
        <v>1870</v>
      </c>
      <c r="D507" s="1" t="s">
        <v>1871</v>
      </c>
      <c r="E507" s="16"/>
      <c r="F507" s="16"/>
      <c r="G507" s="16"/>
      <c r="H507" s="17"/>
      <c r="I507" s="12"/>
      <c r="J507" s="12"/>
      <c r="K507" s="12"/>
      <c r="L507" s="12"/>
      <c r="M507" s="18" t="str">
        <f t="shared" si="1"/>
        <v>#DIV/0!</v>
      </c>
      <c r="N507" s="18" t="str">
        <f t="shared" si="2"/>
        <v>#DIV/0!</v>
      </c>
      <c r="O507" s="12" t="str">
        <f t="shared" si="4"/>
        <v/>
      </c>
      <c r="P507" s="18" t="str">
        <f t="shared" si="3"/>
        <v>#DIV/0!</v>
      </c>
      <c r="Q507" s="12"/>
    </row>
    <row r="508">
      <c r="A508" s="1" t="s">
        <v>1872</v>
      </c>
      <c r="B508" s="7" t="s">
        <v>1873</v>
      </c>
      <c r="C508" s="2" t="s">
        <v>1874</v>
      </c>
      <c r="D508" s="1" t="s">
        <v>1875</v>
      </c>
      <c r="E508" s="16"/>
      <c r="F508" s="16"/>
      <c r="G508" s="16"/>
      <c r="H508" s="17"/>
      <c r="I508" s="12"/>
      <c r="J508" s="12"/>
      <c r="K508" s="12"/>
      <c r="L508" s="12"/>
      <c r="M508" s="18" t="str">
        <f t="shared" si="1"/>
        <v>#DIV/0!</v>
      </c>
      <c r="N508" s="18" t="str">
        <f t="shared" si="2"/>
        <v>#DIV/0!</v>
      </c>
      <c r="O508" s="12" t="str">
        <f t="shared" si="4"/>
        <v/>
      </c>
      <c r="P508" s="18" t="str">
        <f t="shared" si="3"/>
        <v>#DIV/0!</v>
      </c>
      <c r="Q508" s="12"/>
    </row>
    <row r="509">
      <c r="A509" s="1" t="s">
        <v>1876</v>
      </c>
      <c r="B509" s="7" t="s">
        <v>1877</v>
      </c>
      <c r="C509" s="2" t="s">
        <v>1878</v>
      </c>
      <c r="D509" s="7" t="s">
        <v>1879</v>
      </c>
      <c r="E509" s="16"/>
      <c r="F509" s="16"/>
      <c r="G509" s="16"/>
      <c r="H509" s="17"/>
      <c r="I509" s="12"/>
      <c r="J509" s="12"/>
      <c r="K509" s="12"/>
      <c r="L509" s="12"/>
      <c r="M509" s="18" t="str">
        <f t="shared" si="1"/>
        <v>#DIV/0!</v>
      </c>
      <c r="N509" s="18" t="str">
        <f t="shared" si="2"/>
        <v>#DIV/0!</v>
      </c>
      <c r="O509" s="12" t="str">
        <f t="shared" si="4"/>
        <v/>
      </c>
      <c r="P509" s="18" t="str">
        <f t="shared" si="3"/>
        <v>#DIV/0!</v>
      </c>
      <c r="Q509" s="12"/>
    </row>
    <row r="510">
      <c r="A510" s="1" t="s">
        <v>1880</v>
      </c>
      <c r="B510" s="7" t="s">
        <v>1881</v>
      </c>
      <c r="C510" s="2" t="s">
        <v>1174</v>
      </c>
      <c r="D510" s="7" t="s">
        <v>844</v>
      </c>
      <c r="E510" s="16"/>
      <c r="F510" s="16"/>
      <c r="G510" s="16"/>
      <c r="H510" s="17"/>
      <c r="I510" s="12"/>
      <c r="J510" s="12"/>
      <c r="K510" s="12"/>
      <c r="L510" s="12"/>
      <c r="M510" s="18" t="str">
        <f t="shared" si="1"/>
        <v>#DIV/0!</v>
      </c>
      <c r="N510" s="18" t="str">
        <f t="shared" si="2"/>
        <v>#DIV/0!</v>
      </c>
      <c r="O510" s="12" t="str">
        <f t="shared" si="4"/>
        <v/>
      </c>
      <c r="P510" s="18" t="str">
        <f t="shared" si="3"/>
        <v>#DIV/0!</v>
      </c>
      <c r="Q510" s="12"/>
    </row>
    <row r="511">
      <c r="A511" s="1" t="s">
        <v>1882</v>
      </c>
      <c r="B511" s="7" t="s">
        <v>1883</v>
      </c>
      <c r="C511" s="2" t="s">
        <v>1884</v>
      </c>
      <c r="D511" s="1" t="s">
        <v>1885</v>
      </c>
      <c r="E511" s="16"/>
      <c r="F511" s="16"/>
      <c r="G511" s="16"/>
      <c r="H511" s="17"/>
      <c r="I511" s="12"/>
      <c r="J511" s="12"/>
      <c r="K511" s="12"/>
      <c r="L511" s="12"/>
      <c r="M511" s="18" t="str">
        <f t="shared" si="1"/>
        <v>#DIV/0!</v>
      </c>
      <c r="N511" s="18" t="str">
        <f t="shared" si="2"/>
        <v>#DIV/0!</v>
      </c>
      <c r="O511" s="12" t="str">
        <f t="shared" si="4"/>
        <v/>
      </c>
      <c r="P511" s="18" t="str">
        <f t="shared" si="3"/>
        <v>#DIV/0!</v>
      </c>
      <c r="Q511" s="12"/>
    </row>
    <row r="512">
      <c r="A512" s="1" t="s">
        <v>1886</v>
      </c>
      <c r="B512" s="7" t="s">
        <v>1887</v>
      </c>
      <c r="C512" s="2" t="s">
        <v>268</v>
      </c>
      <c r="D512" s="7" t="s">
        <v>137</v>
      </c>
      <c r="E512" s="16"/>
      <c r="F512" s="16"/>
      <c r="G512" s="16"/>
      <c r="H512" s="17"/>
      <c r="I512" s="12"/>
      <c r="J512" s="12"/>
      <c r="K512" s="12"/>
      <c r="L512" s="12"/>
      <c r="M512" s="18" t="str">
        <f t="shared" si="1"/>
        <v>#DIV/0!</v>
      </c>
      <c r="N512" s="18" t="str">
        <f t="shared" si="2"/>
        <v>#DIV/0!</v>
      </c>
      <c r="O512" s="12" t="str">
        <f t="shared" si="4"/>
        <v/>
      </c>
      <c r="P512" s="18" t="str">
        <f t="shared" si="3"/>
        <v>#DIV/0!</v>
      </c>
      <c r="Q512" s="12"/>
    </row>
    <row r="513">
      <c r="A513" s="1" t="s">
        <v>1888</v>
      </c>
      <c r="B513" s="7" t="s">
        <v>1889</v>
      </c>
      <c r="C513" s="2" t="s">
        <v>1890</v>
      </c>
      <c r="D513" s="1" t="s">
        <v>1891</v>
      </c>
      <c r="E513" s="16"/>
      <c r="F513" s="16"/>
      <c r="G513" s="16"/>
      <c r="H513" s="17"/>
      <c r="I513" s="12"/>
      <c r="J513" s="12"/>
      <c r="K513" s="12"/>
      <c r="L513" s="12"/>
      <c r="M513" s="18" t="str">
        <f t="shared" si="1"/>
        <v>#DIV/0!</v>
      </c>
      <c r="N513" s="18" t="str">
        <f t="shared" si="2"/>
        <v>#DIV/0!</v>
      </c>
      <c r="O513" s="12" t="str">
        <f t="shared" si="4"/>
        <v/>
      </c>
      <c r="P513" s="18" t="str">
        <f t="shared" si="3"/>
        <v>#DIV/0!</v>
      </c>
      <c r="Q513" s="12"/>
    </row>
    <row r="514">
      <c r="A514" s="1" t="s">
        <v>1892</v>
      </c>
      <c r="B514" s="7" t="s">
        <v>1893</v>
      </c>
      <c r="C514" s="2" t="s">
        <v>1894</v>
      </c>
      <c r="D514" s="1" t="s">
        <v>1895</v>
      </c>
      <c r="E514" s="16"/>
      <c r="F514" s="16"/>
      <c r="G514" s="16"/>
      <c r="H514" s="17"/>
      <c r="I514" s="12"/>
      <c r="J514" s="12"/>
      <c r="K514" s="12"/>
      <c r="L514" s="12"/>
      <c r="M514" s="18" t="str">
        <f t="shared" si="1"/>
        <v>#DIV/0!</v>
      </c>
      <c r="N514" s="18" t="str">
        <f t="shared" si="2"/>
        <v>#DIV/0!</v>
      </c>
      <c r="O514" s="12" t="str">
        <f t="shared" si="4"/>
        <v/>
      </c>
      <c r="P514" s="18" t="str">
        <f t="shared" si="3"/>
        <v>#DIV/0!</v>
      </c>
      <c r="Q514" s="12"/>
    </row>
    <row r="515">
      <c r="A515" s="1" t="s">
        <v>1896</v>
      </c>
      <c r="B515" s="7" t="s">
        <v>1897</v>
      </c>
      <c r="C515" s="2" t="s">
        <v>268</v>
      </c>
      <c r="D515" s="7" t="s">
        <v>137</v>
      </c>
      <c r="E515" s="16"/>
      <c r="F515" s="16"/>
      <c r="G515" s="16"/>
      <c r="H515" s="17"/>
      <c r="I515" s="12"/>
      <c r="J515" s="12"/>
      <c r="K515" s="12"/>
      <c r="L515" s="12"/>
      <c r="M515" s="18" t="str">
        <f t="shared" si="1"/>
        <v>#DIV/0!</v>
      </c>
      <c r="N515" s="18" t="str">
        <f t="shared" si="2"/>
        <v>#DIV/0!</v>
      </c>
      <c r="O515" s="12" t="str">
        <f t="shared" si="4"/>
        <v/>
      </c>
      <c r="P515" s="18" t="str">
        <f t="shared" si="3"/>
        <v>#DIV/0!</v>
      </c>
      <c r="Q515" s="12"/>
    </row>
    <row r="516">
      <c r="A516" s="1" t="s">
        <v>1898</v>
      </c>
      <c r="B516" s="7" t="s">
        <v>1899</v>
      </c>
      <c r="C516" s="2" t="s">
        <v>1900</v>
      </c>
      <c r="D516" s="1" t="s">
        <v>1901</v>
      </c>
      <c r="E516" s="16"/>
      <c r="F516" s="16"/>
      <c r="G516" s="16"/>
      <c r="H516" s="17"/>
      <c r="I516" s="12"/>
      <c r="J516" s="12"/>
      <c r="K516" s="12"/>
      <c r="L516" s="12"/>
      <c r="M516" s="18" t="str">
        <f t="shared" si="1"/>
        <v>#DIV/0!</v>
      </c>
      <c r="N516" s="18" t="str">
        <f t="shared" si="2"/>
        <v>#DIV/0!</v>
      </c>
      <c r="O516" s="12" t="str">
        <f t="shared" si="4"/>
        <v/>
      </c>
      <c r="P516" s="18" t="str">
        <f t="shared" si="3"/>
        <v>#DIV/0!</v>
      </c>
      <c r="Q516" s="12"/>
    </row>
    <row r="517">
      <c r="A517" s="1" t="s">
        <v>1902</v>
      </c>
      <c r="B517" s="7" t="s">
        <v>1903</v>
      </c>
      <c r="C517" s="2" t="s">
        <v>1904</v>
      </c>
      <c r="D517" s="1" t="s">
        <v>624</v>
      </c>
      <c r="E517" s="16"/>
      <c r="F517" s="16"/>
      <c r="G517" s="16"/>
      <c r="H517" s="17"/>
      <c r="I517" s="12"/>
      <c r="J517" s="12"/>
      <c r="K517" s="12"/>
      <c r="L517" s="12"/>
      <c r="M517" s="18" t="str">
        <f t="shared" si="1"/>
        <v>#DIV/0!</v>
      </c>
      <c r="N517" s="18" t="str">
        <f t="shared" si="2"/>
        <v>#DIV/0!</v>
      </c>
      <c r="O517" s="12" t="str">
        <f t="shared" si="4"/>
        <v/>
      </c>
      <c r="P517" s="18" t="str">
        <f t="shared" si="3"/>
        <v>#DIV/0!</v>
      </c>
      <c r="Q517" s="12"/>
    </row>
    <row r="518">
      <c r="A518" s="1" t="s">
        <v>1905</v>
      </c>
      <c r="B518" s="7" t="s">
        <v>1906</v>
      </c>
      <c r="C518" s="2" t="s">
        <v>1907</v>
      </c>
      <c r="D518" s="1" t="s">
        <v>1908</v>
      </c>
      <c r="E518" s="16"/>
      <c r="F518" s="16"/>
      <c r="G518" s="16"/>
      <c r="H518" s="17"/>
      <c r="I518" s="12"/>
      <c r="J518" s="12"/>
      <c r="K518" s="12"/>
      <c r="L518" s="12"/>
      <c r="M518" s="18" t="str">
        <f t="shared" si="1"/>
        <v>#DIV/0!</v>
      </c>
      <c r="N518" s="18" t="str">
        <f t="shared" si="2"/>
        <v>#DIV/0!</v>
      </c>
      <c r="O518" s="12" t="str">
        <f t="shared" si="4"/>
        <v/>
      </c>
      <c r="P518" s="18" t="str">
        <f t="shared" si="3"/>
        <v>#DIV/0!</v>
      </c>
      <c r="Q518" s="12"/>
    </row>
    <row r="519">
      <c r="A519" s="1" t="s">
        <v>1909</v>
      </c>
      <c r="B519" s="7" t="s">
        <v>1910</v>
      </c>
      <c r="C519" s="2" t="s">
        <v>1911</v>
      </c>
      <c r="D519" s="7" t="s">
        <v>360</v>
      </c>
      <c r="E519" s="16"/>
      <c r="F519" s="16"/>
      <c r="G519" s="16"/>
      <c r="H519" s="17"/>
      <c r="I519" s="12"/>
      <c r="J519" s="12"/>
      <c r="K519" s="12"/>
      <c r="L519" s="12"/>
      <c r="M519" s="18" t="str">
        <f t="shared" si="1"/>
        <v>#DIV/0!</v>
      </c>
      <c r="N519" s="18" t="str">
        <f t="shared" si="2"/>
        <v>#DIV/0!</v>
      </c>
      <c r="O519" s="12" t="str">
        <f t="shared" si="4"/>
        <v/>
      </c>
      <c r="P519" s="18" t="str">
        <f t="shared" si="3"/>
        <v>#DIV/0!</v>
      </c>
      <c r="Q519" s="12"/>
    </row>
    <row r="520">
      <c r="A520" s="1" t="s">
        <v>1912</v>
      </c>
      <c r="B520" s="7" t="s">
        <v>1913</v>
      </c>
      <c r="C520" s="2" t="s">
        <v>1914</v>
      </c>
      <c r="D520" s="7" t="s">
        <v>137</v>
      </c>
      <c r="E520" s="16"/>
      <c r="F520" s="16"/>
      <c r="G520" s="16"/>
      <c r="H520" s="17"/>
      <c r="I520" s="12"/>
      <c r="J520" s="12"/>
      <c r="K520" s="12"/>
      <c r="L520" s="12"/>
      <c r="M520" s="18" t="str">
        <f t="shared" si="1"/>
        <v>#DIV/0!</v>
      </c>
      <c r="N520" s="18" t="str">
        <f t="shared" si="2"/>
        <v>#DIV/0!</v>
      </c>
      <c r="O520" s="12" t="str">
        <f t="shared" si="4"/>
        <v/>
      </c>
      <c r="P520" s="18" t="str">
        <f t="shared" si="3"/>
        <v>#DIV/0!</v>
      </c>
      <c r="Q520" s="12"/>
    </row>
    <row r="521">
      <c r="A521" s="1" t="s">
        <v>1915</v>
      </c>
      <c r="B521" s="7" t="s">
        <v>1916</v>
      </c>
      <c r="C521" s="2" t="s">
        <v>1917</v>
      </c>
      <c r="D521" s="1" t="s">
        <v>1918</v>
      </c>
      <c r="E521" s="16"/>
      <c r="F521" s="16"/>
      <c r="G521" s="16"/>
      <c r="H521" s="17"/>
      <c r="I521" s="12"/>
      <c r="J521" s="12"/>
      <c r="K521" s="12"/>
      <c r="L521" s="12"/>
      <c r="M521" s="18" t="str">
        <f t="shared" si="1"/>
        <v>#DIV/0!</v>
      </c>
      <c r="N521" s="18" t="str">
        <f t="shared" si="2"/>
        <v>#DIV/0!</v>
      </c>
      <c r="O521" s="12" t="str">
        <f t="shared" si="4"/>
        <v/>
      </c>
      <c r="P521" s="18" t="str">
        <f t="shared" si="3"/>
        <v>#DIV/0!</v>
      </c>
      <c r="Q521" s="12"/>
    </row>
    <row r="522">
      <c r="A522" s="1" t="s">
        <v>1919</v>
      </c>
      <c r="B522" s="7" t="s">
        <v>1920</v>
      </c>
      <c r="C522" s="2" t="s">
        <v>1921</v>
      </c>
      <c r="D522" s="7" t="s">
        <v>1101</v>
      </c>
      <c r="E522" s="16"/>
      <c r="F522" s="16"/>
      <c r="G522" s="16"/>
      <c r="H522" s="17"/>
      <c r="I522" s="12"/>
      <c r="J522" s="12"/>
      <c r="K522" s="12"/>
      <c r="L522" s="12"/>
      <c r="M522" s="18" t="str">
        <f t="shared" si="1"/>
        <v>#DIV/0!</v>
      </c>
      <c r="N522" s="18" t="str">
        <f t="shared" si="2"/>
        <v>#DIV/0!</v>
      </c>
      <c r="O522" s="12" t="str">
        <f t="shared" si="4"/>
        <v/>
      </c>
      <c r="P522" s="18" t="str">
        <f t="shared" si="3"/>
        <v>#DIV/0!</v>
      </c>
      <c r="Q522" s="12"/>
    </row>
    <row r="523">
      <c r="A523" s="1" t="s">
        <v>1922</v>
      </c>
      <c r="B523" s="7" t="s">
        <v>1923</v>
      </c>
      <c r="C523" s="2" t="s">
        <v>1924</v>
      </c>
      <c r="D523" s="7" t="s">
        <v>1925</v>
      </c>
      <c r="E523" s="16"/>
      <c r="F523" s="16"/>
      <c r="G523" s="16"/>
      <c r="H523" s="17"/>
      <c r="I523" s="12"/>
      <c r="J523" s="12"/>
      <c r="K523" s="12"/>
      <c r="L523" s="12"/>
      <c r="M523" s="18" t="str">
        <f t="shared" si="1"/>
        <v>#DIV/0!</v>
      </c>
      <c r="N523" s="18" t="str">
        <f t="shared" si="2"/>
        <v>#DIV/0!</v>
      </c>
      <c r="O523" s="12" t="str">
        <f t="shared" si="4"/>
        <v/>
      </c>
      <c r="P523" s="18" t="str">
        <f t="shared" si="3"/>
        <v>#DIV/0!</v>
      </c>
      <c r="Q523" s="12"/>
    </row>
    <row r="524">
      <c r="A524" s="1" t="s">
        <v>1926</v>
      </c>
      <c r="B524" s="7" t="s">
        <v>1927</v>
      </c>
      <c r="C524" s="2" t="s">
        <v>1928</v>
      </c>
      <c r="D524" s="1" t="s">
        <v>1929</v>
      </c>
      <c r="E524" s="16"/>
      <c r="F524" s="16"/>
      <c r="G524" s="16"/>
      <c r="H524" s="17"/>
      <c r="I524" s="12"/>
      <c r="J524" s="12"/>
      <c r="K524" s="12"/>
      <c r="L524" s="12"/>
      <c r="M524" s="18" t="str">
        <f t="shared" si="1"/>
        <v>#DIV/0!</v>
      </c>
      <c r="N524" s="18" t="str">
        <f t="shared" si="2"/>
        <v>#DIV/0!</v>
      </c>
      <c r="O524" s="12" t="str">
        <f t="shared" si="4"/>
        <v/>
      </c>
      <c r="P524" s="18" t="str">
        <f t="shared" si="3"/>
        <v>#DIV/0!</v>
      </c>
      <c r="Q524" s="12"/>
    </row>
    <row r="525">
      <c r="A525" s="1" t="s">
        <v>1930</v>
      </c>
      <c r="B525" s="7" t="s">
        <v>1931</v>
      </c>
      <c r="C525" s="2" t="s">
        <v>1932</v>
      </c>
      <c r="D525" s="1" t="s">
        <v>1933</v>
      </c>
      <c r="E525" s="16"/>
      <c r="F525" s="16"/>
      <c r="G525" s="16"/>
      <c r="H525" s="17"/>
      <c r="I525" s="12"/>
      <c r="J525" s="12"/>
      <c r="K525" s="12"/>
      <c r="L525" s="12"/>
      <c r="M525" s="18" t="str">
        <f t="shared" si="1"/>
        <v>#DIV/0!</v>
      </c>
      <c r="N525" s="18" t="str">
        <f t="shared" si="2"/>
        <v>#DIV/0!</v>
      </c>
      <c r="O525" s="12" t="str">
        <f t="shared" si="4"/>
        <v/>
      </c>
      <c r="P525" s="18" t="str">
        <f t="shared" si="3"/>
        <v>#DIV/0!</v>
      </c>
      <c r="Q525" s="12"/>
    </row>
    <row r="526">
      <c r="A526" s="1" t="s">
        <v>1934</v>
      </c>
      <c r="B526" s="7" t="s">
        <v>1935</v>
      </c>
      <c r="C526" s="2" t="s">
        <v>1936</v>
      </c>
      <c r="D526" s="1" t="s">
        <v>1937</v>
      </c>
      <c r="E526" s="16"/>
      <c r="F526" s="16"/>
      <c r="G526" s="16"/>
      <c r="H526" s="17"/>
      <c r="I526" s="12"/>
      <c r="J526" s="12"/>
      <c r="K526" s="12"/>
      <c r="L526" s="12"/>
      <c r="M526" s="18" t="str">
        <f t="shared" si="1"/>
        <v>#DIV/0!</v>
      </c>
      <c r="N526" s="18" t="str">
        <f t="shared" si="2"/>
        <v>#DIV/0!</v>
      </c>
      <c r="O526" s="12" t="str">
        <f t="shared" si="4"/>
        <v/>
      </c>
      <c r="P526" s="18" t="str">
        <f t="shared" si="3"/>
        <v>#DIV/0!</v>
      </c>
      <c r="Q526" s="12"/>
    </row>
    <row r="527">
      <c r="A527" s="1" t="s">
        <v>1938</v>
      </c>
      <c r="B527" s="7" t="s">
        <v>1939</v>
      </c>
      <c r="C527" s="2" t="s">
        <v>1940</v>
      </c>
      <c r="D527" s="7" t="s">
        <v>1105</v>
      </c>
      <c r="E527" s="16"/>
      <c r="F527" s="16"/>
      <c r="G527" s="16"/>
      <c r="H527" s="17"/>
      <c r="I527" s="12"/>
      <c r="J527" s="12"/>
      <c r="K527" s="12"/>
      <c r="L527" s="12"/>
      <c r="M527" s="18" t="str">
        <f t="shared" si="1"/>
        <v>#DIV/0!</v>
      </c>
      <c r="N527" s="18" t="str">
        <f t="shared" si="2"/>
        <v>#DIV/0!</v>
      </c>
      <c r="O527" s="12" t="str">
        <f t="shared" si="4"/>
        <v/>
      </c>
      <c r="P527" s="18" t="str">
        <f t="shared" si="3"/>
        <v>#DIV/0!</v>
      </c>
      <c r="Q527" s="12"/>
    </row>
    <row r="528">
      <c r="A528" s="1" t="s">
        <v>1941</v>
      </c>
      <c r="B528" s="7" t="s">
        <v>1942</v>
      </c>
      <c r="C528" s="2" t="s">
        <v>1943</v>
      </c>
      <c r="D528" s="7" t="s">
        <v>937</v>
      </c>
      <c r="E528" s="16"/>
      <c r="F528" s="16"/>
      <c r="G528" s="16"/>
      <c r="H528" s="17"/>
      <c r="I528" s="12"/>
      <c r="J528" s="12"/>
      <c r="K528" s="12"/>
      <c r="L528" s="12"/>
      <c r="M528" s="18" t="str">
        <f t="shared" si="1"/>
        <v>#DIV/0!</v>
      </c>
      <c r="N528" s="18" t="str">
        <f t="shared" si="2"/>
        <v>#DIV/0!</v>
      </c>
      <c r="O528" s="12" t="str">
        <f t="shared" si="4"/>
        <v/>
      </c>
      <c r="P528" s="18" t="str">
        <f t="shared" si="3"/>
        <v>#DIV/0!</v>
      </c>
      <c r="Q528" s="12"/>
    </row>
    <row r="529">
      <c r="A529" s="1" t="s">
        <v>1944</v>
      </c>
      <c r="B529" s="7" t="s">
        <v>1945</v>
      </c>
      <c r="C529" s="2" t="s">
        <v>1946</v>
      </c>
      <c r="D529" s="1" t="s">
        <v>1947</v>
      </c>
      <c r="E529" s="16"/>
      <c r="F529" s="16"/>
      <c r="G529" s="16"/>
      <c r="H529" s="17"/>
      <c r="I529" s="12"/>
      <c r="J529" s="12"/>
      <c r="K529" s="12"/>
      <c r="L529" s="12"/>
      <c r="M529" s="18" t="str">
        <f t="shared" si="1"/>
        <v>#DIV/0!</v>
      </c>
      <c r="N529" s="18" t="str">
        <f t="shared" si="2"/>
        <v>#DIV/0!</v>
      </c>
      <c r="O529" s="12" t="str">
        <f t="shared" si="4"/>
        <v/>
      </c>
      <c r="P529" s="18" t="str">
        <f t="shared" si="3"/>
        <v>#DIV/0!</v>
      </c>
      <c r="Q529" s="12"/>
    </row>
    <row r="530">
      <c r="A530" s="1" t="s">
        <v>1948</v>
      </c>
      <c r="B530" s="7" t="s">
        <v>1949</v>
      </c>
      <c r="C530" s="2" t="s">
        <v>268</v>
      </c>
      <c r="D530" s="7" t="s">
        <v>137</v>
      </c>
      <c r="E530" s="16"/>
      <c r="F530" s="16"/>
      <c r="G530" s="16"/>
      <c r="H530" s="17"/>
      <c r="I530" s="12"/>
      <c r="J530" s="12"/>
      <c r="K530" s="12"/>
      <c r="L530" s="12"/>
      <c r="M530" s="18" t="str">
        <f t="shared" si="1"/>
        <v>#DIV/0!</v>
      </c>
      <c r="N530" s="18" t="str">
        <f t="shared" si="2"/>
        <v>#DIV/0!</v>
      </c>
      <c r="O530" s="12" t="str">
        <f t="shared" si="4"/>
        <v/>
      </c>
      <c r="P530" s="18" t="str">
        <f t="shared" si="3"/>
        <v>#DIV/0!</v>
      </c>
      <c r="Q530" s="12"/>
    </row>
    <row r="531">
      <c r="A531" s="1" t="s">
        <v>1950</v>
      </c>
      <c r="B531" s="7" t="s">
        <v>1951</v>
      </c>
      <c r="C531" s="2" t="s">
        <v>1952</v>
      </c>
      <c r="D531" s="1" t="s">
        <v>1953</v>
      </c>
      <c r="E531" s="16"/>
      <c r="F531" s="16"/>
      <c r="G531" s="16"/>
      <c r="H531" s="17"/>
      <c r="I531" s="12"/>
      <c r="J531" s="12"/>
      <c r="K531" s="12"/>
      <c r="L531" s="12"/>
      <c r="M531" s="18" t="str">
        <f t="shared" si="1"/>
        <v>#DIV/0!</v>
      </c>
      <c r="N531" s="18" t="str">
        <f t="shared" si="2"/>
        <v>#DIV/0!</v>
      </c>
      <c r="O531" s="12" t="str">
        <f t="shared" si="4"/>
        <v/>
      </c>
      <c r="P531" s="18" t="str">
        <f t="shared" si="3"/>
        <v>#DIV/0!</v>
      </c>
      <c r="Q531" s="12"/>
    </row>
    <row r="532">
      <c r="A532" s="1" t="s">
        <v>1954</v>
      </c>
      <c r="B532" s="7" t="s">
        <v>1955</v>
      </c>
      <c r="C532" s="2" t="s">
        <v>136</v>
      </c>
      <c r="D532" s="7" t="s">
        <v>137</v>
      </c>
      <c r="E532" s="16"/>
      <c r="F532" s="16"/>
      <c r="G532" s="16"/>
      <c r="H532" s="17"/>
      <c r="I532" s="12"/>
      <c r="J532" s="12"/>
      <c r="K532" s="12"/>
      <c r="L532" s="12"/>
      <c r="M532" s="18" t="str">
        <f t="shared" si="1"/>
        <v>#DIV/0!</v>
      </c>
      <c r="N532" s="18" t="str">
        <f t="shared" si="2"/>
        <v>#DIV/0!</v>
      </c>
      <c r="O532" s="12" t="str">
        <f t="shared" si="4"/>
        <v/>
      </c>
      <c r="P532" s="18" t="str">
        <f t="shared" si="3"/>
        <v>#DIV/0!</v>
      </c>
      <c r="Q532" s="12"/>
    </row>
    <row r="533">
      <c r="A533" s="1" t="s">
        <v>1956</v>
      </c>
      <c r="B533" s="7" t="s">
        <v>1957</v>
      </c>
      <c r="C533" s="2" t="s">
        <v>1958</v>
      </c>
      <c r="D533" s="7" t="s">
        <v>1959</v>
      </c>
      <c r="E533" s="16"/>
      <c r="F533" s="16"/>
      <c r="G533" s="16"/>
      <c r="H533" s="17"/>
      <c r="I533" s="12"/>
      <c r="J533" s="12"/>
      <c r="K533" s="12"/>
      <c r="L533" s="12"/>
      <c r="M533" s="18" t="str">
        <f t="shared" si="1"/>
        <v>#DIV/0!</v>
      </c>
      <c r="N533" s="18" t="str">
        <f t="shared" si="2"/>
        <v>#DIV/0!</v>
      </c>
      <c r="O533" s="12" t="str">
        <f t="shared" si="4"/>
        <v/>
      </c>
      <c r="P533" s="18" t="str">
        <f t="shared" si="3"/>
        <v>#DIV/0!</v>
      </c>
      <c r="Q533" s="12"/>
    </row>
    <row r="534">
      <c r="A534" s="1" t="s">
        <v>1960</v>
      </c>
      <c r="B534" s="7" t="s">
        <v>1961</v>
      </c>
      <c r="C534" s="2" t="s">
        <v>1962</v>
      </c>
      <c r="D534" s="1" t="s">
        <v>1963</v>
      </c>
      <c r="E534" s="16"/>
      <c r="F534" s="16"/>
      <c r="G534" s="16"/>
      <c r="H534" s="17"/>
      <c r="I534" s="12"/>
      <c r="J534" s="12"/>
      <c r="K534" s="12"/>
      <c r="L534" s="12"/>
      <c r="M534" s="18" t="str">
        <f t="shared" si="1"/>
        <v>#DIV/0!</v>
      </c>
      <c r="N534" s="18" t="str">
        <f t="shared" si="2"/>
        <v>#DIV/0!</v>
      </c>
      <c r="O534" s="12" t="str">
        <f t="shared" si="4"/>
        <v/>
      </c>
      <c r="P534" s="18" t="str">
        <f t="shared" si="3"/>
        <v>#DIV/0!</v>
      </c>
      <c r="Q534" s="12"/>
    </row>
    <row r="535">
      <c r="A535" s="1" t="s">
        <v>1964</v>
      </c>
      <c r="B535" s="7" t="s">
        <v>1965</v>
      </c>
      <c r="C535" s="2" t="s">
        <v>148</v>
      </c>
      <c r="D535" s="7" t="s">
        <v>149</v>
      </c>
      <c r="E535" s="16"/>
      <c r="F535" s="16"/>
      <c r="G535" s="16"/>
      <c r="H535" s="17"/>
      <c r="I535" s="12"/>
      <c r="J535" s="12"/>
      <c r="K535" s="12"/>
      <c r="L535" s="12"/>
      <c r="M535" s="18" t="str">
        <f t="shared" si="1"/>
        <v>#DIV/0!</v>
      </c>
      <c r="N535" s="18" t="str">
        <f t="shared" si="2"/>
        <v>#DIV/0!</v>
      </c>
      <c r="O535" s="12" t="str">
        <f t="shared" si="4"/>
        <v/>
      </c>
      <c r="P535" s="18" t="str">
        <f t="shared" si="3"/>
        <v>#DIV/0!</v>
      </c>
      <c r="Q535" s="12"/>
    </row>
    <row r="536">
      <c r="A536" s="1" t="s">
        <v>1966</v>
      </c>
      <c r="B536" s="7" t="s">
        <v>1967</v>
      </c>
      <c r="C536" s="2" t="s">
        <v>1968</v>
      </c>
      <c r="D536" s="1" t="s">
        <v>1969</v>
      </c>
      <c r="E536" s="16"/>
      <c r="F536" s="16"/>
      <c r="G536" s="16"/>
      <c r="H536" s="17"/>
      <c r="I536" s="12"/>
      <c r="J536" s="12"/>
      <c r="K536" s="12"/>
      <c r="L536" s="12"/>
      <c r="M536" s="18" t="str">
        <f t="shared" si="1"/>
        <v>#DIV/0!</v>
      </c>
      <c r="N536" s="18" t="str">
        <f t="shared" si="2"/>
        <v>#DIV/0!</v>
      </c>
      <c r="O536" s="12" t="str">
        <f t="shared" si="4"/>
        <v/>
      </c>
      <c r="P536" s="18" t="str">
        <f t="shared" si="3"/>
        <v>#DIV/0!</v>
      </c>
      <c r="Q536" s="12"/>
    </row>
    <row r="537">
      <c r="A537" s="1" t="s">
        <v>1970</v>
      </c>
      <c r="B537" s="7" t="s">
        <v>1971</v>
      </c>
      <c r="C537" s="2" t="s">
        <v>1972</v>
      </c>
      <c r="D537" s="1" t="s">
        <v>1973</v>
      </c>
      <c r="E537" s="16"/>
      <c r="F537" s="16"/>
      <c r="G537" s="16"/>
      <c r="H537" s="17"/>
      <c r="I537" s="12"/>
      <c r="J537" s="12"/>
      <c r="K537" s="12"/>
      <c r="L537" s="12"/>
      <c r="M537" s="18" t="str">
        <f t="shared" si="1"/>
        <v>#DIV/0!</v>
      </c>
      <c r="N537" s="18" t="str">
        <f t="shared" si="2"/>
        <v>#DIV/0!</v>
      </c>
      <c r="O537" s="12" t="str">
        <f t="shared" si="4"/>
        <v/>
      </c>
      <c r="P537" s="18" t="str">
        <f t="shared" si="3"/>
        <v>#DIV/0!</v>
      </c>
      <c r="Q537" s="12"/>
    </row>
    <row r="538">
      <c r="A538" s="1" t="s">
        <v>1974</v>
      </c>
      <c r="B538" s="7" t="s">
        <v>1975</v>
      </c>
      <c r="C538" s="2" t="s">
        <v>1976</v>
      </c>
      <c r="D538" s="7" t="s">
        <v>1977</v>
      </c>
      <c r="E538" s="16"/>
      <c r="F538" s="16"/>
      <c r="G538" s="16"/>
      <c r="H538" s="17"/>
      <c r="I538" s="12"/>
      <c r="J538" s="12"/>
      <c r="K538" s="12"/>
      <c r="L538" s="12"/>
      <c r="M538" s="18" t="str">
        <f t="shared" si="1"/>
        <v>#DIV/0!</v>
      </c>
      <c r="N538" s="18" t="str">
        <f t="shared" si="2"/>
        <v>#DIV/0!</v>
      </c>
      <c r="O538" s="12" t="str">
        <f t="shared" si="4"/>
        <v/>
      </c>
      <c r="P538" s="18" t="str">
        <f t="shared" si="3"/>
        <v>#DIV/0!</v>
      </c>
      <c r="Q538" s="12"/>
    </row>
    <row r="539">
      <c r="A539" s="1" t="s">
        <v>1978</v>
      </c>
      <c r="B539" s="7" t="s">
        <v>1979</v>
      </c>
      <c r="C539" s="2" t="s">
        <v>1980</v>
      </c>
      <c r="D539" s="1" t="s">
        <v>1981</v>
      </c>
      <c r="E539" s="16"/>
      <c r="F539" s="16"/>
      <c r="G539" s="16"/>
      <c r="H539" s="17"/>
      <c r="I539" s="12"/>
      <c r="J539" s="12"/>
      <c r="K539" s="12"/>
      <c r="L539" s="12"/>
      <c r="M539" s="18" t="str">
        <f t="shared" si="1"/>
        <v>#DIV/0!</v>
      </c>
      <c r="N539" s="18" t="str">
        <f t="shared" si="2"/>
        <v>#DIV/0!</v>
      </c>
      <c r="O539" s="12" t="str">
        <f t="shared" si="4"/>
        <v/>
      </c>
      <c r="P539" s="18" t="str">
        <f t="shared" si="3"/>
        <v>#DIV/0!</v>
      </c>
      <c r="Q539" s="12"/>
    </row>
    <row r="540">
      <c r="A540" s="1" t="s">
        <v>1982</v>
      </c>
      <c r="B540" s="7" t="s">
        <v>1983</v>
      </c>
      <c r="C540" s="2" t="s">
        <v>1984</v>
      </c>
      <c r="D540" s="1" t="s">
        <v>1985</v>
      </c>
      <c r="E540" s="16"/>
      <c r="F540" s="16"/>
      <c r="G540" s="16"/>
      <c r="H540" s="17"/>
      <c r="I540" s="12"/>
      <c r="J540" s="12"/>
      <c r="K540" s="12"/>
      <c r="L540" s="12"/>
      <c r="M540" s="18" t="str">
        <f t="shared" si="1"/>
        <v>#DIV/0!</v>
      </c>
      <c r="N540" s="18" t="str">
        <f t="shared" si="2"/>
        <v>#DIV/0!</v>
      </c>
      <c r="O540" s="12" t="str">
        <f t="shared" si="4"/>
        <v/>
      </c>
      <c r="P540" s="18" t="str">
        <f t="shared" si="3"/>
        <v>#DIV/0!</v>
      </c>
      <c r="Q540" s="12"/>
    </row>
    <row r="541">
      <c r="A541" s="1" t="s">
        <v>1986</v>
      </c>
      <c r="B541" s="7" t="s">
        <v>1987</v>
      </c>
      <c r="C541" s="2" t="s">
        <v>1988</v>
      </c>
      <c r="D541" s="1" t="s">
        <v>1989</v>
      </c>
      <c r="E541" s="16"/>
      <c r="F541" s="16"/>
      <c r="G541" s="16"/>
      <c r="H541" s="17"/>
      <c r="I541" s="12"/>
      <c r="J541" s="12"/>
      <c r="K541" s="12"/>
      <c r="L541" s="12"/>
      <c r="M541" s="18" t="str">
        <f t="shared" si="1"/>
        <v>#DIV/0!</v>
      </c>
      <c r="N541" s="18" t="str">
        <f t="shared" si="2"/>
        <v>#DIV/0!</v>
      </c>
      <c r="O541" s="12" t="str">
        <f t="shared" si="4"/>
        <v/>
      </c>
      <c r="P541" s="18" t="str">
        <f t="shared" si="3"/>
        <v>#DIV/0!</v>
      </c>
      <c r="Q541" s="12"/>
    </row>
    <row r="542">
      <c r="A542" s="1" t="s">
        <v>1990</v>
      </c>
      <c r="B542" s="7" t="s">
        <v>1991</v>
      </c>
      <c r="C542" s="2" t="s">
        <v>1992</v>
      </c>
      <c r="D542" s="7" t="s">
        <v>1993</v>
      </c>
      <c r="E542" s="16"/>
      <c r="F542" s="16"/>
      <c r="G542" s="16"/>
      <c r="H542" s="17"/>
      <c r="I542" s="12"/>
      <c r="J542" s="12"/>
      <c r="K542" s="12"/>
      <c r="L542" s="12"/>
      <c r="M542" s="18" t="str">
        <f t="shared" si="1"/>
        <v>#DIV/0!</v>
      </c>
      <c r="N542" s="18" t="str">
        <f t="shared" si="2"/>
        <v>#DIV/0!</v>
      </c>
      <c r="O542" s="12" t="str">
        <f t="shared" si="4"/>
        <v/>
      </c>
      <c r="P542" s="18" t="str">
        <f t="shared" si="3"/>
        <v>#DIV/0!</v>
      </c>
      <c r="Q542" s="12"/>
    </row>
    <row r="543">
      <c r="A543" s="1" t="s">
        <v>1994</v>
      </c>
      <c r="B543" s="7" t="s">
        <v>1995</v>
      </c>
      <c r="C543" s="2" t="s">
        <v>1996</v>
      </c>
      <c r="D543" s="1" t="s">
        <v>1997</v>
      </c>
      <c r="E543" s="16"/>
      <c r="F543" s="16"/>
      <c r="G543" s="16"/>
      <c r="H543" s="17"/>
      <c r="I543" s="12"/>
      <c r="J543" s="12"/>
      <c r="K543" s="12"/>
      <c r="L543" s="12"/>
      <c r="M543" s="18" t="str">
        <f t="shared" si="1"/>
        <v>#DIV/0!</v>
      </c>
      <c r="N543" s="18" t="str">
        <f t="shared" si="2"/>
        <v>#DIV/0!</v>
      </c>
      <c r="O543" s="12" t="str">
        <f t="shared" si="4"/>
        <v/>
      </c>
      <c r="P543" s="18" t="str">
        <f t="shared" si="3"/>
        <v>#DIV/0!</v>
      </c>
      <c r="Q543" s="12"/>
    </row>
    <row r="544">
      <c r="A544" s="1" t="s">
        <v>1998</v>
      </c>
      <c r="B544" s="7" t="s">
        <v>1999</v>
      </c>
      <c r="C544" s="2" t="s">
        <v>2000</v>
      </c>
      <c r="D544" s="7" t="s">
        <v>2001</v>
      </c>
      <c r="E544" s="16"/>
      <c r="F544" s="16"/>
      <c r="G544" s="16"/>
      <c r="H544" s="17"/>
      <c r="I544" s="12"/>
      <c r="J544" s="12"/>
      <c r="K544" s="12"/>
      <c r="L544" s="12"/>
      <c r="M544" s="18" t="str">
        <f t="shared" si="1"/>
        <v>#DIV/0!</v>
      </c>
      <c r="N544" s="18" t="str">
        <f t="shared" si="2"/>
        <v>#DIV/0!</v>
      </c>
      <c r="O544" s="12" t="str">
        <f t="shared" si="4"/>
        <v/>
      </c>
      <c r="P544" s="18" t="str">
        <f t="shared" si="3"/>
        <v>#DIV/0!</v>
      </c>
      <c r="Q544" s="12"/>
    </row>
    <row r="545">
      <c r="A545" s="1" t="s">
        <v>2002</v>
      </c>
      <c r="B545" s="7" t="s">
        <v>2003</v>
      </c>
      <c r="C545" s="2" t="s">
        <v>2004</v>
      </c>
      <c r="D545" s="7" t="s">
        <v>2005</v>
      </c>
      <c r="E545" s="16"/>
      <c r="F545" s="16"/>
      <c r="G545" s="16"/>
      <c r="H545" s="17"/>
      <c r="I545" s="12"/>
      <c r="J545" s="12"/>
      <c r="K545" s="12"/>
      <c r="L545" s="12"/>
      <c r="M545" s="18" t="str">
        <f t="shared" si="1"/>
        <v>#DIV/0!</v>
      </c>
      <c r="N545" s="18" t="str">
        <f t="shared" si="2"/>
        <v>#DIV/0!</v>
      </c>
      <c r="O545" s="12" t="str">
        <f t="shared" si="4"/>
        <v/>
      </c>
      <c r="P545" s="18" t="str">
        <f t="shared" si="3"/>
        <v>#DIV/0!</v>
      </c>
      <c r="Q545" s="12"/>
    </row>
    <row r="546">
      <c r="A546" s="1" t="s">
        <v>2006</v>
      </c>
      <c r="B546" s="7" t="s">
        <v>2007</v>
      </c>
      <c r="C546" s="2" t="s">
        <v>2008</v>
      </c>
      <c r="D546" s="1" t="s">
        <v>2009</v>
      </c>
      <c r="E546" s="16"/>
      <c r="F546" s="16"/>
      <c r="G546" s="16"/>
      <c r="H546" s="17"/>
      <c r="I546" s="12"/>
      <c r="J546" s="12"/>
      <c r="K546" s="12"/>
      <c r="L546" s="12"/>
      <c r="M546" s="18" t="str">
        <f t="shared" si="1"/>
        <v>#DIV/0!</v>
      </c>
      <c r="N546" s="18" t="str">
        <f t="shared" si="2"/>
        <v>#DIV/0!</v>
      </c>
      <c r="O546" s="12" t="str">
        <f t="shared" si="4"/>
        <v/>
      </c>
      <c r="P546" s="18" t="str">
        <f t="shared" si="3"/>
        <v>#DIV/0!</v>
      </c>
      <c r="Q546" s="12"/>
    </row>
    <row r="547">
      <c r="A547" s="1" t="s">
        <v>2010</v>
      </c>
      <c r="B547" s="7" t="s">
        <v>2011</v>
      </c>
      <c r="C547" s="2" t="s">
        <v>2012</v>
      </c>
      <c r="D547" s="1" t="s">
        <v>2013</v>
      </c>
      <c r="E547" s="16"/>
      <c r="F547" s="16"/>
      <c r="G547" s="16"/>
      <c r="H547" s="17"/>
      <c r="I547" s="12"/>
      <c r="J547" s="12"/>
      <c r="K547" s="12"/>
      <c r="L547" s="12"/>
      <c r="M547" s="18" t="str">
        <f t="shared" si="1"/>
        <v>#DIV/0!</v>
      </c>
      <c r="N547" s="18" t="str">
        <f t="shared" si="2"/>
        <v>#DIV/0!</v>
      </c>
      <c r="O547" s="12" t="str">
        <f t="shared" si="4"/>
        <v/>
      </c>
      <c r="P547" s="18" t="str">
        <f t="shared" si="3"/>
        <v>#DIV/0!</v>
      </c>
      <c r="Q547" s="12"/>
    </row>
    <row r="548">
      <c r="A548" s="1" t="s">
        <v>2014</v>
      </c>
      <c r="B548" s="7" t="s">
        <v>2015</v>
      </c>
      <c r="C548" s="2" t="s">
        <v>1013</v>
      </c>
      <c r="D548" s="7" t="s">
        <v>1014</v>
      </c>
      <c r="E548" s="16"/>
      <c r="F548" s="16"/>
      <c r="G548" s="16"/>
      <c r="H548" s="17"/>
      <c r="I548" s="12"/>
      <c r="J548" s="12"/>
      <c r="K548" s="12"/>
      <c r="L548" s="12"/>
      <c r="M548" s="18" t="str">
        <f t="shared" si="1"/>
        <v>#DIV/0!</v>
      </c>
      <c r="N548" s="18" t="str">
        <f t="shared" si="2"/>
        <v>#DIV/0!</v>
      </c>
      <c r="O548" s="12" t="str">
        <f t="shared" si="4"/>
        <v/>
      </c>
      <c r="P548" s="18" t="str">
        <f t="shared" si="3"/>
        <v>#DIV/0!</v>
      </c>
      <c r="Q548" s="12"/>
    </row>
    <row r="549">
      <c r="A549" s="1" t="s">
        <v>2016</v>
      </c>
      <c r="B549" s="7" t="s">
        <v>2017</v>
      </c>
      <c r="C549" s="2" t="s">
        <v>2018</v>
      </c>
      <c r="D549" s="1" t="s">
        <v>2019</v>
      </c>
      <c r="E549" s="16"/>
      <c r="F549" s="16"/>
      <c r="G549" s="16"/>
      <c r="H549" s="17"/>
      <c r="I549" s="12"/>
      <c r="J549" s="12"/>
      <c r="K549" s="12"/>
      <c r="L549" s="12"/>
      <c r="M549" s="18" t="str">
        <f t="shared" si="1"/>
        <v>#DIV/0!</v>
      </c>
      <c r="N549" s="18" t="str">
        <f t="shared" si="2"/>
        <v>#DIV/0!</v>
      </c>
      <c r="O549" s="12" t="str">
        <f t="shared" si="4"/>
        <v/>
      </c>
      <c r="P549" s="18" t="str">
        <f t="shared" si="3"/>
        <v>#DIV/0!</v>
      </c>
      <c r="Q549" s="12"/>
    </row>
    <row r="550">
      <c r="A550" s="1" t="s">
        <v>2020</v>
      </c>
      <c r="B550" s="7" t="s">
        <v>2021</v>
      </c>
      <c r="C550" s="2" t="s">
        <v>2022</v>
      </c>
      <c r="D550" s="1" t="s">
        <v>2023</v>
      </c>
      <c r="E550" s="16"/>
      <c r="F550" s="16"/>
      <c r="G550" s="16"/>
      <c r="H550" s="17"/>
      <c r="I550" s="12"/>
      <c r="J550" s="12"/>
      <c r="K550" s="12"/>
      <c r="L550" s="12"/>
      <c r="M550" s="18" t="str">
        <f t="shared" si="1"/>
        <v>#DIV/0!</v>
      </c>
      <c r="N550" s="18" t="str">
        <f t="shared" si="2"/>
        <v>#DIV/0!</v>
      </c>
      <c r="O550" s="12" t="str">
        <f t="shared" si="4"/>
        <v/>
      </c>
      <c r="P550" s="18" t="str">
        <f t="shared" si="3"/>
        <v>#DIV/0!</v>
      </c>
      <c r="Q550" s="12"/>
    </row>
    <row r="551">
      <c r="A551" s="1" t="s">
        <v>2024</v>
      </c>
      <c r="B551" s="7" t="s">
        <v>2025</v>
      </c>
      <c r="C551" s="2" t="s">
        <v>2026</v>
      </c>
      <c r="D551" s="1" t="s">
        <v>2027</v>
      </c>
      <c r="E551" s="16"/>
      <c r="F551" s="16"/>
      <c r="G551" s="16"/>
      <c r="H551" s="17"/>
      <c r="I551" s="12"/>
      <c r="J551" s="12"/>
      <c r="K551" s="12"/>
      <c r="L551" s="12"/>
      <c r="M551" s="18" t="str">
        <f t="shared" si="1"/>
        <v>#DIV/0!</v>
      </c>
      <c r="N551" s="18" t="str">
        <f t="shared" si="2"/>
        <v>#DIV/0!</v>
      </c>
      <c r="O551" s="12" t="str">
        <f t="shared" si="4"/>
        <v/>
      </c>
      <c r="P551" s="18" t="str">
        <f t="shared" si="3"/>
        <v>#DIV/0!</v>
      </c>
      <c r="Q551" s="12"/>
    </row>
    <row r="552">
      <c r="A552" s="1" t="s">
        <v>2028</v>
      </c>
      <c r="B552" s="7" t="s">
        <v>2029</v>
      </c>
      <c r="C552" s="2" t="s">
        <v>2030</v>
      </c>
      <c r="D552" s="1" t="s">
        <v>2031</v>
      </c>
      <c r="E552" s="16"/>
      <c r="F552" s="16"/>
      <c r="G552" s="16"/>
      <c r="H552" s="17"/>
      <c r="I552" s="12"/>
      <c r="J552" s="12"/>
      <c r="K552" s="12"/>
      <c r="L552" s="12"/>
      <c r="M552" s="18" t="str">
        <f t="shared" si="1"/>
        <v>#DIV/0!</v>
      </c>
      <c r="N552" s="18" t="str">
        <f t="shared" si="2"/>
        <v>#DIV/0!</v>
      </c>
      <c r="O552" s="12" t="str">
        <f t="shared" si="4"/>
        <v/>
      </c>
      <c r="P552" s="18" t="str">
        <f t="shared" si="3"/>
        <v>#DIV/0!</v>
      </c>
      <c r="Q552" s="12"/>
    </row>
    <row r="553">
      <c r="A553" s="1" t="s">
        <v>2032</v>
      </c>
      <c r="B553" s="7" t="s">
        <v>2033</v>
      </c>
      <c r="C553" s="2" t="s">
        <v>2034</v>
      </c>
      <c r="D553" s="1" t="s">
        <v>2035</v>
      </c>
      <c r="E553" s="16"/>
      <c r="F553" s="16"/>
      <c r="G553" s="16"/>
      <c r="H553" s="17"/>
      <c r="I553" s="12"/>
      <c r="J553" s="12"/>
      <c r="K553" s="12"/>
      <c r="L553" s="12"/>
      <c r="M553" s="18" t="str">
        <f t="shared" si="1"/>
        <v>#DIV/0!</v>
      </c>
      <c r="N553" s="18" t="str">
        <f t="shared" si="2"/>
        <v>#DIV/0!</v>
      </c>
      <c r="O553" s="12" t="str">
        <f t="shared" si="4"/>
        <v/>
      </c>
      <c r="P553" s="18" t="str">
        <f t="shared" si="3"/>
        <v>#DIV/0!</v>
      </c>
      <c r="Q553" s="12"/>
    </row>
    <row r="554">
      <c r="A554" s="1" t="s">
        <v>2036</v>
      </c>
      <c r="B554" s="7" t="s">
        <v>2037</v>
      </c>
      <c r="C554" s="2" t="s">
        <v>2038</v>
      </c>
      <c r="D554" s="1" t="s">
        <v>2039</v>
      </c>
      <c r="E554" s="16"/>
      <c r="F554" s="16"/>
      <c r="G554" s="16"/>
      <c r="H554" s="17"/>
      <c r="I554" s="12"/>
      <c r="J554" s="12"/>
      <c r="K554" s="12"/>
      <c r="L554" s="12"/>
      <c r="M554" s="18" t="str">
        <f t="shared" si="1"/>
        <v>#DIV/0!</v>
      </c>
      <c r="N554" s="18" t="str">
        <f t="shared" si="2"/>
        <v>#DIV/0!</v>
      </c>
      <c r="O554" s="12" t="str">
        <f t="shared" si="4"/>
        <v/>
      </c>
      <c r="P554" s="18" t="str">
        <f t="shared" si="3"/>
        <v>#DIV/0!</v>
      </c>
      <c r="Q554" s="12"/>
    </row>
    <row r="555">
      <c r="A555" s="1" t="s">
        <v>2040</v>
      </c>
      <c r="B555" s="7" t="s">
        <v>2041</v>
      </c>
      <c r="C555" s="2" t="s">
        <v>2042</v>
      </c>
      <c r="D555" s="1" t="s">
        <v>2043</v>
      </c>
      <c r="E555" s="16"/>
      <c r="F555" s="16"/>
      <c r="G555" s="16"/>
      <c r="H555" s="17"/>
      <c r="I555" s="12"/>
      <c r="J555" s="12"/>
      <c r="K555" s="12"/>
      <c r="L555" s="12"/>
      <c r="M555" s="18" t="str">
        <f t="shared" si="1"/>
        <v>#DIV/0!</v>
      </c>
      <c r="N555" s="18" t="str">
        <f t="shared" si="2"/>
        <v>#DIV/0!</v>
      </c>
      <c r="O555" s="12" t="str">
        <f t="shared" si="4"/>
        <v/>
      </c>
      <c r="P555" s="18" t="str">
        <f t="shared" si="3"/>
        <v>#DIV/0!</v>
      </c>
      <c r="Q555" s="12"/>
    </row>
    <row r="556">
      <c r="A556" s="1" t="s">
        <v>2044</v>
      </c>
      <c r="B556" s="7" t="s">
        <v>2045</v>
      </c>
      <c r="C556" s="2" t="s">
        <v>2046</v>
      </c>
      <c r="D556" s="7" t="s">
        <v>2047</v>
      </c>
      <c r="E556" s="16"/>
      <c r="F556" s="16"/>
      <c r="G556" s="16"/>
      <c r="H556" s="17"/>
      <c r="I556" s="12"/>
      <c r="J556" s="12"/>
      <c r="K556" s="12"/>
      <c r="L556" s="12"/>
      <c r="M556" s="18" t="str">
        <f t="shared" si="1"/>
        <v>#DIV/0!</v>
      </c>
      <c r="N556" s="18" t="str">
        <f t="shared" si="2"/>
        <v>#DIV/0!</v>
      </c>
      <c r="O556" s="12" t="str">
        <f t="shared" si="4"/>
        <v/>
      </c>
      <c r="P556" s="18" t="str">
        <f t="shared" si="3"/>
        <v>#DIV/0!</v>
      </c>
      <c r="Q556" s="12"/>
    </row>
    <row r="557">
      <c r="A557" s="1" t="s">
        <v>2048</v>
      </c>
      <c r="B557" s="7" t="s">
        <v>2049</v>
      </c>
      <c r="C557" s="2" t="s">
        <v>681</v>
      </c>
      <c r="D557" s="7" t="s">
        <v>445</v>
      </c>
      <c r="E557" s="16"/>
      <c r="F557" s="16"/>
      <c r="G557" s="16"/>
      <c r="H557" s="17"/>
      <c r="I557" s="12"/>
      <c r="J557" s="12"/>
      <c r="K557" s="12"/>
      <c r="L557" s="12"/>
      <c r="M557" s="18" t="str">
        <f t="shared" si="1"/>
        <v>#DIV/0!</v>
      </c>
      <c r="N557" s="18" t="str">
        <f t="shared" si="2"/>
        <v>#DIV/0!</v>
      </c>
      <c r="O557" s="12" t="str">
        <f t="shared" si="4"/>
        <v/>
      </c>
      <c r="P557" s="18" t="str">
        <f t="shared" si="3"/>
        <v>#DIV/0!</v>
      </c>
      <c r="Q557" s="12"/>
    </row>
    <row r="558">
      <c r="A558" s="1" t="s">
        <v>2050</v>
      </c>
      <c r="B558" s="7" t="s">
        <v>2051</v>
      </c>
      <c r="C558" s="2" t="s">
        <v>2052</v>
      </c>
      <c r="D558" s="1" t="s">
        <v>2053</v>
      </c>
      <c r="E558" s="16"/>
      <c r="F558" s="16"/>
      <c r="G558" s="16"/>
      <c r="H558" s="17"/>
      <c r="I558" s="12"/>
      <c r="J558" s="12"/>
      <c r="K558" s="12"/>
      <c r="L558" s="12"/>
      <c r="M558" s="18" t="str">
        <f t="shared" si="1"/>
        <v>#DIV/0!</v>
      </c>
      <c r="N558" s="18" t="str">
        <f t="shared" si="2"/>
        <v>#DIV/0!</v>
      </c>
      <c r="O558" s="12" t="str">
        <f t="shared" si="4"/>
        <v/>
      </c>
      <c r="P558" s="18" t="str">
        <f t="shared" si="3"/>
        <v>#DIV/0!</v>
      </c>
      <c r="Q558" s="12"/>
    </row>
    <row r="559">
      <c r="A559" s="1" t="s">
        <v>2054</v>
      </c>
      <c r="B559" s="7" t="s">
        <v>2055</v>
      </c>
      <c r="C559" s="2" t="s">
        <v>2056</v>
      </c>
      <c r="D559" s="1" t="s">
        <v>2057</v>
      </c>
      <c r="E559" s="16"/>
      <c r="F559" s="16"/>
      <c r="G559" s="16"/>
      <c r="H559" s="17"/>
      <c r="I559" s="12"/>
      <c r="J559" s="12"/>
      <c r="K559" s="12"/>
      <c r="L559" s="12"/>
      <c r="M559" s="18" t="str">
        <f t="shared" si="1"/>
        <v>#DIV/0!</v>
      </c>
      <c r="N559" s="18" t="str">
        <f t="shared" si="2"/>
        <v>#DIV/0!</v>
      </c>
      <c r="O559" s="12" t="str">
        <f t="shared" si="4"/>
        <v/>
      </c>
      <c r="P559" s="18" t="str">
        <f t="shared" si="3"/>
        <v>#DIV/0!</v>
      </c>
      <c r="Q559" s="12"/>
    </row>
    <row r="560">
      <c r="A560" s="1" t="s">
        <v>2058</v>
      </c>
      <c r="B560" s="7" t="s">
        <v>2059</v>
      </c>
      <c r="C560" s="2" t="s">
        <v>2060</v>
      </c>
      <c r="D560" s="1" t="s">
        <v>2061</v>
      </c>
      <c r="E560" s="16"/>
      <c r="F560" s="16"/>
      <c r="G560" s="16"/>
      <c r="H560" s="17"/>
      <c r="I560" s="12"/>
      <c r="J560" s="12"/>
      <c r="K560" s="12"/>
      <c r="L560" s="12"/>
      <c r="M560" s="18" t="str">
        <f t="shared" si="1"/>
        <v>#DIV/0!</v>
      </c>
      <c r="N560" s="18" t="str">
        <f t="shared" si="2"/>
        <v>#DIV/0!</v>
      </c>
      <c r="O560" s="12" t="str">
        <f t="shared" si="4"/>
        <v/>
      </c>
      <c r="P560" s="18" t="str">
        <f t="shared" si="3"/>
        <v>#DIV/0!</v>
      </c>
      <c r="Q560" s="12"/>
    </row>
    <row r="561">
      <c r="A561" s="1" t="s">
        <v>2062</v>
      </c>
      <c r="B561" s="7" t="s">
        <v>2063</v>
      </c>
      <c r="C561" s="2" t="s">
        <v>2064</v>
      </c>
      <c r="D561" s="7" t="s">
        <v>441</v>
      </c>
      <c r="E561" s="16"/>
      <c r="F561" s="16"/>
      <c r="G561" s="16"/>
      <c r="H561" s="17"/>
      <c r="I561" s="12"/>
      <c r="J561" s="12"/>
      <c r="K561" s="12"/>
      <c r="L561" s="12"/>
      <c r="M561" s="18" t="str">
        <f t="shared" si="1"/>
        <v>#DIV/0!</v>
      </c>
      <c r="N561" s="18" t="str">
        <f t="shared" si="2"/>
        <v>#DIV/0!</v>
      </c>
      <c r="O561" s="12" t="str">
        <f t="shared" si="4"/>
        <v/>
      </c>
      <c r="P561" s="18" t="str">
        <f t="shared" si="3"/>
        <v>#DIV/0!</v>
      </c>
      <c r="Q561" s="12"/>
    </row>
    <row r="562">
      <c r="A562" s="1" t="s">
        <v>2065</v>
      </c>
      <c r="B562" s="7" t="s">
        <v>2066</v>
      </c>
      <c r="C562" s="2" t="s">
        <v>2067</v>
      </c>
      <c r="D562" s="1" t="s">
        <v>2068</v>
      </c>
      <c r="E562" s="16"/>
      <c r="F562" s="16"/>
      <c r="G562" s="16"/>
      <c r="H562" s="17"/>
      <c r="I562" s="12"/>
      <c r="J562" s="12"/>
      <c r="K562" s="12"/>
      <c r="L562" s="12"/>
      <c r="M562" s="18" t="str">
        <f t="shared" si="1"/>
        <v>#DIV/0!</v>
      </c>
      <c r="N562" s="18" t="str">
        <f t="shared" si="2"/>
        <v>#DIV/0!</v>
      </c>
      <c r="O562" s="12" t="str">
        <f t="shared" si="4"/>
        <v/>
      </c>
      <c r="P562" s="18" t="str">
        <f t="shared" si="3"/>
        <v>#DIV/0!</v>
      </c>
      <c r="Q562" s="12"/>
    </row>
    <row r="563">
      <c r="A563" s="1" t="s">
        <v>2069</v>
      </c>
      <c r="B563" s="7" t="s">
        <v>2070</v>
      </c>
      <c r="C563" s="2" t="s">
        <v>667</v>
      </c>
      <c r="D563" s="7" t="s">
        <v>668</v>
      </c>
      <c r="E563" s="16"/>
      <c r="F563" s="16"/>
      <c r="G563" s="16"/>
      <c r="H563" s="17"/>
      <c r="I563" s="12"/>
      <c r="J563" s="12"/>
      <c r="K563" s="12"/>
      <c r="L563" s="12"/>
      <c r="M563" s="18" t="str">
        <f t="shared" si="1"/>
        <v>#DIV/0!</v>
      </c>
      <c r="N563" s="18" t="str">
        <f t="shared" si="2"/>
        <v>#DIV/0!</v>
      </c>
      <c r="O563" s="12" t="str">
        <f t="shared" si="4"/>
        <v/>
      </c>
      <c r="P563" s="18" t="str">
        <f t="shared" si="3"/>
        <v>#DIV/0!</v>
      </c>
      <c r="Q563" s="12"/>
    </row>
    <row r="564">
      <c r="A564" s="1" t="s">
        <v>2071</v>
      </c>
      <c r="B564" s="7" t="s">
        <v>2072</v>
      </c>
      <c r="C564" s="2" t="s">
        <v>2073</v>
      </c>
      <c r="D564" s="7" t="s">
        <v>1815</v>
      </c>
      <c r="E564" s="16"/>
      <c r="F564" s="16"/>
      <c r="G564" s="16"/>
      <c r="H564" s="17"/>
      <c r="I564" s="12"/>
      <c r="J564" s="12"/>
      <c r="K564" s="12"/>
      <c r="L564" s="12"/>
      <c r="M564" s="18" t="str">
        <f t="shared" si="1"/>
        <v>#DIV/0!</v>
      </c>
      <c r="N564" s="18" t="str">
        <f t="shared" si="2"/>
        <v>#DIV/0!</v>
      </c>
      <c r="O564" s="12" t="str">
        <f t="shared" si="4"/>
        <v/>
      </c>
      <c r="P564" s="18" t="str">
        <f t="shared" si="3"/>
        <v>#DIV/0!</v>
      </c>
      <c r="Q564" s="12"/>
    </row>
    <row r="565">
      <c r="A565" s="1" t="s">
        <v>2074</v>
      </c>
      <c r="B565" s="7" t="s">
        <v>2075</v>
      </c>
      <c r="C565" s="2" t="s">
        <v>1308</v>
      </c>
      <c r="D565" s="7" t="s">
        <v>296</v>
      </c>
      <c r="E565" s="16"/>
      <c r="F565" s="16"/>
      <c r="G565" s="16"/>
      <c r="H565" s="17"/>
      <c r="I565" s="12"/>
      <c r="J565" s="12"/>
      <c r="K565" s="12"/>
      <c r="L565" s="12"/>
      <c r="M565" s="18" t="str">
        <f t="shared" si="1"/>
        <v>#DIV/0!</v>
      </c>
      <c r="N565" s="18" t="str">
        <f t="shared" si="2"/>
        <v>#DIV/0!</v>
      </c>
      <c r="O565" s="12" t="str">
        <f t="shared" si="4"/>
        <v/>
      </c>
      <c r="P565" s="18" t="str">
        <f t="shared" si="3"/>
        <v>#DIV/0!</v>
      </c>
      <c r="Q565" s="12"/>
    </row>
    <row r="566">
      <c r="A566" s="1" t="s">
        <v>2076</v>
      </c>
      <c r="B566" s="7" t="s">
        <v>2077</v>
      </c>
      <c r="C566" s="2" t="s">
        <v>2078</v>
      </c>
      <c r="D566" s="7" t="s">
        <v>1271</v>
      </c>
      <c r="E566" s="16"/>
      <c r="F566" s="16"/>
      <c r="G566" s="16"/>
      <c r="H566" s="17"/>
      <c r="I566" s="12"/>
      <c r="J566" s="12"/>
      <c r="K566" s="12"/>
      <c r="L566" s="12"/>
      <c r="M566" s="18" t="str">
        <f t="shared" si="1"/>
        <v>#DIV/0!</v>
      </c>
      <c r="N566" s="18" t="str">
        <f t="shared" si="2"/>
        <v>#DIV/0!</v>
      </c>
      <c r="O566" s="12" t="str">
        <f t="shared" si="4"/>
        <v/>
      </c>
      <c r="P566" s="18" t="str">
        <f t="shared" si="3"/>
        <v>#DIV/0!</v>
      </c>
      <c r="Q566" s="12"/>
    </row>
    <row r="567">
      <c r="A567" s="1" t="s">
        <v>2079</v>
      </c>
      <c r="B567" s="7" t="s">
        <v>2080</v>
      </c>
      <c r="C567" s="2" t="s">
        <v>242</v>
      </c>
      <c r="D567" s="7" t="s">
        <v>243</v>
      </c>
      <c r="E567" s="16"/>
      <c r="F567" s="16"/>
      <c r="G567" s="16"/>
      <c r="H567" s="17"/>
      <c r="I567" s="12"/>
      <c r="J567" s="12"/>
      <c r="K567" s="12"/>
      <c r="L567" s="12"/>
      <c r="M567" s="18" t="str">
        <f t="shared" si="1"/>
        <v>#DIV/0!</v>
      </c>
      <c r="N567" s="18" t="str">
        <f t="shared" si="2"/>
        <v>#DIV/0!</v>
      </c>
      <c r="O567" s="12" t="str">
        <f t="shared" si="4"/>
        <v/>
      </c>
      <c r="P567" s="18" t="str">
        <f t="shared" si="3"/>
        <v>#DIV/0!</v>
      </c>
      <c r="Q567" s="12"/>
    </row>
    <row r="568">
      <c r="A568" s="1" t="s">
        <v>2081</v>
      </c>
      <c r="B568" s="7" t="s">
        <v>2082</v>
      </c>
      <c r="C568" s="2" t="s">
        <v>2083</v>
      </c>
      <c r="D568" s="7" t="s">
        <v>2084</v>
      </c>
      <c r="E568" s="16"/>
      <c r="F568" s="16"/>
      <c r="G568" s="16"/>
      <c r="H568" s="17"/>
      <c r="I568" s="12"/>
      <c r="J568" s="12"/>
      <c r="K568" s="12"/>
      <c r="L568" s="12"/>
      <c r="M568" s="18" t="str">
        <f t="shared" si="1"/>
        <v>#DIV/0!</v>
      </c>
      <c r="N568" s="18" t="str">
        <f t="shared" si="2"/>
        <v>#DIV/0!</v>
      </c>
      <c r="O568" s="12" t="str">
        <f t="shared" si="4"/>
        <v/>
      </c>
      <c r="P568" s="18" t="str">
        <f t="shared" si="3"/>
        <v>#DIV/0!</v>
      </c>
      <c r="Q568" s="12"/>
    </row>
    <row r="569">
      <c r="A569" s="1" t="s">
        <v>2085</v>
      </c>
      <c r="B569" s="7" t="s">
        <v>2086</v>
      </c>
      <c r="C569" s="2" t="s">
        <v>2087</v>
      </c>
      <c r="D569" s="1" t="s">
        <v>2088</v>
      </c>
      <c r="E569" s="16"/>
      <c r="F569" s="16"/>
      <c r="G569" s="16"/>
      <c r="H569" s="17"/>
      <c r="I569" s="12"/>
      <c r="J569" s="12"/>
      <c r="K569" s="12"/>
      <c r="L569" s="12"/>
      <c r="M569" s="18" t="str">
        <f t="shared" si="1"/>
        <v>#DIV/0!</v>
      </c>
      <c r="N569" s="18" t="str">
        <f t="shared" si="2"/>
        <v>#DIV/0!</v>
      </c>
      <c r="O569" s="12" t="str">
        <f t="shared" si="4"/>
        <v/>
      </c>
      <c r="P569" s="18" t="str">
        <f t="shared" si="3"/>
        <v>#DIV/0!</v>
      </c>
      <c r="Q569" s="12"/>
    </row>
    <row r="570">
      <c r="A570" s="1" t="s">
        <v>2089</v>
      </c>
      <c r="B570" s="7" t="s">
        <v>2090</v>
      </c>
      <c r="C570" s="2" t="s">
        <v>2091</v>
      </c>
      <c r="D570" s="7" t="s">
        <v>2092</v>
      </c>
      <c r="E570" s="16"/>
      <c r="F570" s="16"/>
      <c r="G570" s="16"/>
      <c r="H570" s="17"/>
      <c r="I570" s="12"/>
      <c r="J570" s="12"/>
      <c r="K570" s="12"/>
      <c r="L570" s="12"/>
      <c r="M570" s="18" t="str">
        <f t="shared" si="1"/>
        <v>#DIV/0!</v>
      </c>
      <c r="N570" s="18" t="str">
        <f t="shared" si="2"/>
        <v>#DIV/0!</v>
      </c>
      <c r="O570" s="12" t="str">
        <f t="shared" si="4"/>
        <v/>
      </c>
      <c r="P570" s="18" t="str">
        <f t="shared" si="3"/>
        <v>#DIV/0!</v>
      </c>
      <c r="Q570" s="12"/>
    </row>
    <row r="571">
      <c r="A571" s="1" t="s">
        <v>2093</v>
      </c>
      <c r="B571" s="7" t="s">
        <v>2094</v>
      </c>
      <c r="C571" s="2" t="s">
        <v>2095</v>
      </c>
      <c r="D571" s="1" t="s">
        <v>2096</v>
      </c>
      <c r="E571" s="16"/>
      <c r="F571" s="16"/>
      <c r="G571" s="16"/>
      <c r="H571" s="17"/>
      <c r="I571" s="12"/>
      <c r="J571" s="12"/>
      <c r="K571" s="12"/>
      <c r="L571" s="12"/>
      <c r="M571" s="18" t="str">
        <f t="shared" si="1"/>
        <v>#DIV/0!</v>
      </c>
      <c r="N571" s="18" t="str">
        <f t="shared" si="2"/>
        <v>#DIV/0!</v>
      </c>
      <c r="O571" s="12" t="str">
        <f t="shared" si="4"/>
        <v/>
      </c>
      <c r="P571" s="18" t="str">
        <f t="shared" si="3"/>
        <v>#DIV/0!</v>
      </c>
      <c r="Q571" s="12"/>
    </row>
    <row r="572">
      <c r="A572" s="1" t="s">
        <v>2097</v>
      </c>
      <c r="B572" s="7" t="s">
        <v>2098</v>
      </c>
      <c r="C572" s="2" t="s">
        <v>2099</v>
      </c>
      <c r="D572" s="1" t="s">
        <v>2100</v>
      </c>
      <c r="E572" s="16"/>
      <c r="F572" s="16"/>
      <c r="G572" s="16"/>
      <c r="H572" s="17"/>
      <c r="I572" s="12"/>
      <c r="J572" s="12"/>
      <c r="K572" s="12"/>
      <c r="L572" s="12"/>
      <c r="M572" s="18" t="str">
        <f t="shared" si="1"/>
        <v>#DIV/0!</v>
      </c>
      <c r="N572" s="18" t="str">
        <f t="shared" si="2"/>
        <v>#DIV/0!</v>
      </c>
      <c r="O572" s="12" t="str">
        <f t="shared" si="4"/>
        <v/>
      </c>
      <c r="P572" s="18" t="str">
        <f t="shared" si="3"/>
        <v>#DIV/0!</v>
      </c>
      <c r="Q572" s="12"/>
    </row>
    <row r="573">
      <c r="A573" s="1" t="s">
        <v>2101</v>
      </c>
      <c r="B573" s="7" t="s">
        <v>2102</v>
      </c>
      <c r="C573" s="2" t="s">
        <v>2103</v>
      </c>
      <c r="D573" s="7" t="s">
        <v>2104</v>
      </c>
      <c r="E573" s="16"/>
      <c r="F573" s="16"/>
      <c r="G573" s="16"/>
      <c r="H573" s="17"/>
      <c r="I573" s="12"/>
      <c r="J573" s="12"/>
      <c r="K573" s="12"/>
      <c r="L573" s="12"/>
      <c r="M573" s="18" t="str">
        <f t="shared" si="1"/>
        <v>#DIV/0!</v>
      </c>
      <c r="N573" s="18" t="str">
        <f t="shared" si="2"/>
        <v>#DIV/0!</v>
      </c>
      <c r="O573" s="12" t="str">
        <f t="shared" si="4"/>
        <v/>
      </c>
      <c r="P573" s="18" t="str">
        <f t="shared" si="3"/>
        <v>#DIV/0!</v>
      </c>
      <c r="Q573" s="12"/>
    </row>
    <row r="574">
      <c r="A574" s="1" t="s">
        <v>2105</v>
      </c>
      <c r="B574" s="7" t="s">
        <v>2106</v>
      </c>
      <c r="C574" s="2" t="s">
        <v>2107</v>
      </c>
      <c r="D574" s="7" t="s">
        <v>2108</v>
      </c>
      <c r="E574" s="16"/>
      <c r="F574" s="16"/>
      <c r="G574" s="16"/>
      <c r="H574" s="17"/>
      <c r="I574" s="12"/>
      <c r="J574" s="12"/>
      <c r="K574" s="12"/>
      <c r="L574" s="12"/>
      <c r="M574" s="18" t="str">
        <f t="shared" si="1"/>
        <v>#DIV/0!</v>
      </c>
      <c r="N574" s="18" t="str">
        <f t="shared" si="2"/>
        <v>#DIV/0!</v>
      </c>
      <c r="O574" s="12" t="str">
        <f t="shared" si="4"/>
        <v/>
      </c>
      <c r="P574" s="18" t="str">
        <f t="shared" si="3"/>
        <v>#DIV/0!</v>
      </c>
      <c r="Q574" s="12"/>
    </row>
    <row r="575">
      <c r="A575" s="1" t="s">
        <v>2109</v>
      </c>
      <c r="B575" s="7" t="s">
        <v>2110</v>
      </c>
      <c r="C575" s="2" t="s">
        <v>2111</v>
      </c>
      <c r="D575" s="1" t="s">
        <v>2112</v>
      </c>
      <c r="E575" s="16"/>
      <c r="F575" s="16"/>
      <c r="G575" s="16"/>
      <c r="H575" s="17"/>
      <c r="I575" s="12"/>
      <c r="J575" s="12"/>
      <c r="K575" s="12"/>
      <c r="L575" s="12"/>
      <c r="M575" s="18" t="str">
        <f t="shared" si="1"/>
        <v>#DIV/0!</v>
      </c>
      <c r="N575" s="18" t="str">
        <f t="shared" si="2"/>
        <v>#DIV/0!</v>
      </c>
      <c r="O575" s="12" t="str">
        <f t="shared" si="4"/>
        <v/>
      </c>
      <c r="P575" s="18" t="str">
        <f t="shared" si="3"/>
        <v>#DIV/0!</v>
      </c>
      <c r="Q575" s="12"/>
    </row>
    <row r="576">
      <c r="A576" s="1" t="s">
        <v>2113</v>
      </c>
      <c r="B576" s="7" t="s">
        <v>2114</v>
      </c>
      <c r="C576" s="2" t="s">
        <v>136</v>
      </c>
      <c r="D576" s="7" t="s">
        <v>137</v>
      </c>
      <c r="E576" s="16"/>
      <c r="F576" s="16"/>
      <c r="G576" s="16"/>
      <c r="H576" s="17"/>
      <c r="I576" s="12"/>
      <c r="J576" s="12"/>
      <c r="K576" s="12"/>
      <c r="L576" s="12"/>
      <c r="M576" s="18" t="str">
        <f t="shared" si="1"/>
        <v>#DIV/0!</v>
      </c>
      <c r="N576" s="18" t="str">
        <f t="shared" si="2"/>
        <v>#DIV/0!</v>
      </c>
      <c r="O576" s="12" t="str">
        <f t="shared" si="4"/>
        <v/>
      </c>
      <c r="P576" s="18" t="str">
        <f t="shared" si="3"/>
        <v>#DIV/0!</v>
      </c>
      <c r="Q576" s="12"/>
    </row>
    <row r="577">
      <c r="A577" s="1" t="s">
        <v>2115</v>
      </c>
      <c r="B577" s="7" t="s">
        <v>2116</v>
      </c>
      <c r="C577" s="2" t="s">
        <v>2117</v>
      </c>
      <c r="D577" s="1" t="s">
        <v>2118</v>
      </c>
      <c r="E577" s="16"/>
      <c r="F577" s="16"/>
      <c r="G577" s="16"/>
      <c r="H577" s="17"/>
      <c r="I577" s="12"/>
      <c r="J577" s="12"/>
      <c r="K577" s="12"/>
      <c r="L577" s="12"/>
      <c r="M577" s="18" t="str">
        <f t="shared" si="1"/>
        <v>#DIV/0!</v>
      </c>
      <c r="N577" s="18" t="str">
        <f t="shared" si="2"/>
        <v>#DIV/0!</v>
      </c>
      <c r="O577" s="12" t="str">
        <f t="shared" si="4"/>
        <v/>
      </c>
      <c r="P577" s="18" t="str">
        <f t="shared" si="3"/>
        <v>#DIV/0!</v>
      </c>
      <c r="Q577" s="12"/>
    </row>
    <row r="578">
      <c r="A578" s="1" t="s">
        <v>2119</v>
      </c>
      <c r="B578" s="7" t="s">
        <v>2120</v>
      </c>
      <c r="C578" s="2" t="s">
        <v>2121</v>
      </c>
      <c r="D578" s="7" t="s">
        <v>113</v>
      </c>
      <c r="E578" s="16"/>
      <c r="F578" s="16"/>
      <c r="G578" s="16"/>
      <c r="H578" s="17"/>
      <c r="I578" s="12"/>
      <c r="J578" s="12"/>
      <c r="K578" s="12"/>
      <c r="L578" s="12"/>
      <c r="M578" s="18" t="str">
        <f t="shared" si="1"/>
        <v>#DIV/0!</v>
      </c>
      <c r="N578" s="18" t="str">
        <f t="shared" si="2"/>
        <v>#DIV/0!</v>
      </c>
      <c r="O578" s="12" t="str">
        <f t="shared" si="4"/>
        <v/>
      </c>
      <c r="P578" s="18" t="str">
        <f t="shared" si="3"/>
        <v>#DIV/0!</v>
      </c>
      <c r="Q578" s="12"/>
    </row>
    <row r="579">
      <c r="A579" s="1" t="s">
        <v>2122</v>
      </c>
      <c r="B579" s="7" t="s">
        <v>2123</v>
      </c>
      <c r="C579" s="2" t="s">
        <v>2124</v>
      </c>
      <c r="D579" s="1" t="s">
        <v>2125</v>
      </c>
      <c r="E579" s="16"/>
      <c r="F579" s="16"/>
      <c r="G579" s="16"/>
      <c r="H579" s="17"/>
      <c r="I579" s="12"/>
      <c r="J579" s="12"/>
      <c r="K579" s="12"/>
      <c r="L579" s="12"/>
      <c r="M579" s="18" t="str">
        <f t="shared" si="1"/>
        <v>#DIV/0!</v>
      </c>
      <c r="N579" s="18" t="str">
        <f t="shared" si="2"/>
        <v>#DIV/0!</v>
      </c>
      <c r="O579" s="12" t="str">
        <f t="shared" si="4"/>
        <v/>
      </c>
      <c r="P579" s="18" t="str">
        <f t="shared" si="3"/>
        <v>#DIV/0!</v>
      </c>
      <c r="Q579" s="12"/>
    </row>
    <row r="580">
      <c r="A580" s="1" t="s">
        <v>2126</v>
      </c>
      <c r="B580" s="7" t="s">
        <v>2127</v>
      </c>
      <c r="C580" s="2" t="s">
        <v>991</v>
      </c>
      <c r="D580" s="7" t="s">
        <v>113</v>
      </c>
      <c r="E580" s="16"/>
      <c r="F580" s="16"/>
      <c r="G580" s="16"/>
      <c r="H580" s="17"/>
      <c r="I580" s="12"/>
      <c r="J580" s="12"/>
      <c r="K580" s="12"/>
      <c r="L580" s="12"/>
      <c r="M580" s="18" t="str">
        <f t="shared" si="1"/>
        <v>#DIV/0!</v>
      </c>
      <c r="N580" s="18" t="str">
        <f t="shared" si="2"/>
        <v>#DIV/0!</v>
      </c>
      <c r="O580" s="12" t="str">
        <f t="shared" si="4"/>
        <v/>
      </c>
      <c r="P580" s="18" t="str">
        <f t="shared" si="3"/>
        <v>#DIV/0!</v>
      </c>
      <c r="Q580" s="12"/>
    </row>
    <row r="581">
      <c r="A581" s="1" t="s">
        <v>2128</v>
      </c>
      <c r="B581" s="7" t="s">
        <v>2129</v>
      </c>
      <c r="C581" s="2" t="s">
        <v>268</v>
      </c>
      <c r="D581" s="7" t="s">
        <v>137</v>
      </c>
      <c r="E581" s="16"/>
      <c r="F581" s="16"/>
      <c r="G581" s="16"/>
      <c r="H581" s="17"/>
      <c r="I581" s="12"/>
      <c r="J581" s="12"/>
      <c r="K581" s="12"/>
      <c r="L581" s="12"/>
      <c r="M581" s="18" t="str">
        <f t="shared" si="1"/>
        <v>#DIV/0!</v>
      </c>
      <c r="N581" s="18" t="str">
        <f t="shared" si="2"/>
        <v>#DIV/0!</v>
      </c>
      <c r="O581" s="12" t="str">
        <f t="shared" si="4"/>
        <v/>
      </c>
      <c r="P581" s="18" t="str">
        <f t="shared" si="3"/>
        <v>#DIV/0!</v>
      </c>
      <c r="Q581" s="12"/>
    </row>
    <row r="582">
      <c r="A582" s="1" t="s">
        <v>2130</v>
      </c>
      <c r="B582" s="7" t="s">
        <v>2131</v>
      </c>
      <c r="C582" s="2" t="s">
        <v>2132</v>
      </c>
      <c r="D582" s="1" t="s">
        <v>2133</v>
      </c>
      <c r="E582" s="16"/>
      <c r="F582" s="16"/>
      <c r="G582" s="16"/>
      <c r="H582" s="17"/>
      <c r="I582" s="12"/>
      <c r="J582" s="12"/>
      <c r="K582" s="12"/>
      <c r="L582" s="12"/>
      <c r="M582" s="18" t="str">
        <f t="shared" si="1"/>
        <v>#DIV/0!</v>
      </c>
      <c r="N582" s="18" t="str">
        <f t="shared" si="2"/>
        <v>#DIV/0!</v>
      </c>
      <c r="O582" s="12" t="str">
        <f t="shared" si="4"/>
        <v/>
      </c>
      <c r="P582" s="18" t="str">
        <f t="shared" si="3"/>
        <v>#DIV/0!</v>
      </c>
      <c r="Q582" s="12"/>
    </row>
    <row r="583">
      <c r="A583" s="1" t="s">
        <v>2134</v>
      </c>
      <c r="B583" s="7" t="s">
        <v>2135</v>
      </c>
      <c r="C583" s="2" t="s">
        <v>172</v>
      </c>
      <c r="D583" s="7" t="s">
        <v>173</v>
      </c>
      <c r="E583" s="16"/>
      <c r="F583" s="16"/>
      <c r="G583" s="16"/>
      <c r="H583" s="17"/>
      <c r="I583" s="12"/>
      <c r="J583" s="12"/>
      <c r="K583" s="12"/>
      <c r="L583" s="12"/>
      <c r="M583" s="18" t="str">
        <f t="shared" si="1"/>
        <v>#DIV/0!</v>
      </c>
      <c r="N583" s="18" t="str">
        <f t="shared" si="2"/>
        <v>#DIV/0!</v>
      </c>
      <c r="O583" s="12" t="str">
        <f t="shared" si="4"/>
        <v/>
      </c>
      <c r="P583" s="18" t="str">
        <f t="shared" si="3"/>
        <v>#DIV/0!</v>
      </c>
      <c r="Q583" s="12"/>
    </row>
    <row r="584">
      <c r="A584" s="1" t="s">
        <v>2136</v>
      </c>
      <c r="B584" s="7" t="s">
        <v>2137</v>
      </c>
      <c r="C584" s="2" t="s">
        <v>2138</v>
      </c>
      <c r="D584" s="1" t="s">
        <v>2139</v>
      </c>
      <c r="E584" s="16"/>
      <c r="F584" s="16"/>
      <c r="G584" s="16"/>
      <c r="H584" s="17"/>
      <c r="I584" s="12"/>
      <c r="J584" s="12"/>
      <c r="K584" s="12"/>
      <c r="L584" s="12"/>
      <c r="M584" s="18" t="str">
        <f t="shared" si="1"/>
        <v>#DIV/0!</v>
      </c>
      <c r="N584" s="18" t="str">
        <f t="shared" si="2"/>
        <v>#DIV/0!</v>
      </c>
      <c r="O584" s="12" t="str">
        <f t="shared" si="4"/>
        <v/>
      </c>
      <c r="P584" s="18" t="str">
        <f t="shared" si="3"/>
        <v>#DIV/0!</v>
      </c>
      <c r="Q584" s="12"/>
    </row>
    <row r="585">
      <c r="A585" s="1" t="s">
        <v>2140</v>
      </c>
      <c r="B585" s="7" t="s">
        <v>2141</v>
      </c>
      <c r="C585" s="2" t="s">
        <v>2142</v>
      </c>
      <c r="D585" s="1" t="s">
        <v>2143</v>
      </c>
      <c r="E585" s="16"/>
      <c r="F585" s="16"/>
      <c r="G585" s="16"/>
      <c r="H585" s="17"/>
      <c r="I585" s="12"/>
      <c r="J585" s="12"/>
      <c r="K585" s="12"/>
      <c r="L585" s="12"/>
      <c r="M585" s="18" t="str">
        <f t="shared" si="1"/>
        <v>#DIV/0!</v>
      </c>
      <c r="N585" s="18" t="str">
        <f t="shared" si="2"/>
        <v>#DIV/0!</v>
      </c>
      <c r="O585" s="12" t="str">
        <f t="shared" si="4"/>
        <v/>
      </c>
      <c r="P585" s="18" t="str">
        <f t="shared" si="3"/>
        <v>#DIV/0!</v>
      </c>
      <c r="Q585" s="12"/>
    </row>
    <row r="586">
      <c r="A586" s="1" t="s">
        <v>2144</v>
      </c>
      <c r="B586" s="7" t="s">
        <v>2145</v>
      </c>
      <c r="C586" s="2" t="s">
        <v>2146</v>
      </c>
      <c r="D586" s="7" t="s">
        <v>2147</v>
      </c>
      <c r="E586" s="16"/>
      <c r="F586" s="16"/>
      <c r="G586" s="16"/>
      <c r="H586" s="17"/>
      <c r="I586" s="12"/>
      <c r="J586" s="12"/>
      <c r="K586" s="12"/>
      <c r="L586" s="12"/>
      <c r="M586" s="18" t="str">
        <f t="shared" si="1"/>
        <v>#DIV/0!</v>
      </c>
      <c r="N586" s="18" t="str">
        <f t="shared" si="2"/>
        <v>#DIV/0!</v>
      </c>
      <c r="O586" s="12" t="str">
        <f t="shared" si="4"/>
        <v/>
      </c>
      <c r="P586" s="18" t="str">
        <f t="shared" si="3"/>
        <v>#DIV/0!</v>
      </c>
      <c r="Q586" s="12"/>
    </row>
    <row r="587">
      <c r="A587" s="1" t="s">
        <v>2148</v>
      </c>
      <c r="B587" s="7" t="s">
        <v>2149</v>
      </c>
      <c r="C587" s="2" t="s">
        <v>268</v>
      </c>
      <c r="D587" s="7" t="s">
        <v>137</v>
      </c>
      <c r="E587" s="16"/>
      <c r="F587" s="16"/>
      <c r="G587" s="16"/>
      <c r="H587" s="17"/>
      <c r="I587" s="12"/>
      <c r="J587" s="12"/>
      <c r="K587" s="12"/>
      <c r="L587" s="12"/>
      <c r="M587" s="18" t="str">
        <f t="shared" si="1"/>
        <v>#DIV/0!</v>
      </c>
      <c r="N587" s="18" t="str">
        <f t="shared" si="2"/>
        <v>#DIV/0!</v>
      </c>
      <c r="O587" s="12" t="str">
        <f t="shared" si="4"/>
        <v/>
      </c>
      <c r="P587" s="18" t="str">
        <f t="shared" si="3"/>
        <v>#DIV/0!</v>
      </c>
      <c r="Q587" s="12"/>
    </row>
    <row r="588">
      <c r="A588" s="1" t="s">
        <v>2150</v>
      </c>
      <c r="B588" s="7" t="s">
        <v>2151</v>
      </c>
      <c r="C588" s="2" t="s">
        <v>2152</v>
      </c>
      <c r="D588" s="1" t="s">
        <v>2153</v>
      </c>
      <c r="E588" s="16"/>
      <c r="F588" s="16"/>
      <c r="G588" s="16"/>
      <c r="H588" s="17"/>
      <c r="I588" s="12"/>
      <c r="J588" s="12"/>
      <c r="K588" s="12"/>
      <c r="L588" s="12"/>
      <c r="M588" s="18" t="str">
        <f t="shared" si="1"/>
        <v>#DIV/0!</v>
      </c>
      <c r="N588" s="18" t="str">
        <f t="shared" si="2"/>
        <v>#DIV/0!</v>
      </c>
      <c r="O588" s="12" t="str">
        <f t="shared" si="4"/>
        <v/>
      </c>
      <c r="P588" s="18" t="str">
        <f t="shared" si="3"/>
        <v>#DIV/0!</v>
      </c>
      <c r="Q588" s="12"/>
    </row>
    <row r="589">
      <c r="A589" s="1" t="s">
        <v>2154</v>
      </c>
      <c r="B589" s="7" t="s">
        <v>2155</v>
      </c>
      <c r="C589" s="2" t="s">
        <v>176</v>
      </c>
      <c r="D589" s="7" t="s">
        <v>177</v>
      </c>
      <c r="E589" s="16"/>
      <c r="F589" s="16"/>
      <c r="G589" s="16"/>
      <c r="H589" s="17"/>
      <c r="I589" s="12"/>
      <c r="J589" s="12"/>
      <c r="K589" s="12"/>
      <c r="L589" s="12"/>
      <c r="M589" s="18" t="str">
        <f t="shared" si="1"/>
        <v>#DIV/0!</v>
      </c>
      <c r="N589" s="18" t="str">
        <f t="shared" si="2"/>
        <v>#DIV/0!</v>
      </c>
      <c r="O589" s="12" t="str">
        <f t="shared" si="4"/>
        <v/>
      </c>
      <c r="P589" s="18" t="str">
        <f t="shared" si="3"/>
        <v>#DIV/0!</v>
      </c>
      <c r="Q589" s="12"/>
    </row>
    <row r="590">
      <c r="A590" s="1" t="s">
        <v>2156</v>
      </c>
      <c r="B590" s="7" t="s">
        <v>2157</v>
      </c>
      <c r="C590" s="2" t="s">
        <v>2158</v>
      </c>
      <c r="D590" s="7" t="s">
        <v>2159</v>
      </c>
      <c r="E590" s="16"/>
      <c r="F590" s="16"/>
      <c r="G590" s="16"/>
      <c r="H590" s="17"/>
      <c r="I590" s="12"/>
      <c r="J590" s="12"/>
      <c r="K590" s="12"/>
      <c r="L590" s="12"/>
      <c r="M590" s="18" t="str">
        <f t="shared" si="1"/>
        <v>#DIV/0!</v>
      </c>
      <c r="N590" s="18" t="str">
        <f t="shared" si="2"/>
        <v>#DIV/0!</v>
      </c>
      <c r="O590" s="12" t="str">
        <f t="shared" si="4"/>
        <v/>
      </c>
      <c r="P590" s="18" t="str">
        <f t="shared" si="3"/>
        <v>#DIV/0!</v>
      </c>
      <c r="Q590" s="12"/>
    </row>
    <row r="591">
      <c r="A591" s="1" t="s">
        <v>2160</v>
      </c>
      <c r="B591" s="7" t="s">
        <v>2161</v>
      </c>
      <c r="C591" s="2" t="s">
        <v>2162</v>
      </c>
      <c r="D591" s="1" t="s">
        <v>2163</v>
      </c>
      <c r="E591" s="16"/>
      <c r="F591" s="16"/>
      <c r="G591" s="16"/>
      <c r="H591" s="17"/>
      <c r="I591" s="12"/>
      <c r="J591" s="12"/>
      <c r="K591" s="12"/>
      <c r="L591" s="12"/>
      <c r="M591" s="18" t="str">
        <f t="shared" si="1"/>
        <v>#DIV/0!</v>
      </c>
      <c r="N591" s="18" t="str">
        <f t="shared" si="2"/>
        <v>#DIV/0!</v>
      </c>
      <c r="O591" s="12" t="str">
        <f t="shared" si="4"/>
        <v/>
      </c>
      <c r="P591" s="18" t="str">
        <f t="shared" si="3"/>
        <v>#DIV/0!</v>
      </c>
      <c r="Q591" s="12"/>
    </row>
    <row r="592">
      <c r="A592" s="1" t="s">
        <v>2164</v>
      </c>
      <c r="B592" s="7" t="s">
        <v>2165</v>
      </c>
      <c r="C592" s="2" t="s">
        <v>2166</v>
      </c>
      <c r="D592" s="1" t="s">
        <v>2167</v>
      </c>
      <c r="E592" s="16"/>
      <c r="F592" s="16"/>
      <c r="G592" s="16"/>
      <c r="H592" s="17"/>
      <c r="I592" s="12"/>
      <c r="J592" s="12"/>
      <c r="K592" s="12"/>
      <c r="L592" s="12"/>
      <c r="M592" s="18" t="str">
        <f t="shared" si="1"/>
        <v>#DIV/0!</v>
      </c>
      <c r="N592" s="18" t="str">
        <f t="shared" si="2"/>
        <v>#DIV/0!</v>
      </c>
      <c r="O592" s="12" t="str">
        <f t="shared" si="4"/>
        <v/>
      </c>
      <c r="P592" s="18" t="str">
        <f t="shared" si="3"/>
        <v>#DIV/0!</v>
      </c>
      <c r="Q592" s="12"/>
    </row>
    <row r="593">
      <c r="A593" s="1" t="s">
        <v>2168</v>
      </c>
      <c r="B593" s="7" t="s">
        <v>2169</v>
      </c>
      <c r="C593" s="2" t="s">
        <v>2170</v>
      </c>
      <c r="D593" s="1" t="s">
        <v>2171</v>
      </c>
      <c r="E593" s="16"/>
      <c r="F593" s="16"/>
      <c r="G593" s="16"/>
      <c r="H593" s="17"/>
      <c r="I593" s="12"/>
      <c r="J593" s="12"/>
      <c r="K593" s="12"/>
      <c r="L593" s="12"/>
      <c r="M593" s="18" t="str">
        <f t="shared" si="1"/>
        <v>#DIV/0!</v>
      </c>
      <c r="N593" s="18" t="str">
        <f t="shared" si="2"/>
        <v>#DIV/0!</v>
      </c>
      <c r="O593" s="12" t="str">
        <f t="shared" si="4"/>
        <v/>
      </c>
      <c r="P593" s="18" t="str">
        <f t="shared" si="3"/>
        <v>#DIV/0!</v>
      </c>
      <c r="Q593" s="12"/>
    </row>
    <row r="594">
      <c r="A594" s="1" t="s">
        <v>2172</v>
      </c>
      <c r="B594" s="7" t="s">
        <v>2173</v>
      </c>
      <c r="C594" s="2" t="s">
        <v>2174</v>
      </c>
      <c r="D594" s="1" t="s">
        <v>2175</v>
      </c>
      <c r="E594" s="16"/>
      <c r="F594" s="16"/>
      <c r="G594" s="16"/>
      <c r="H594" s="17"/>
      <c r="I594" s="12"/>
      <c r="J594" s="12"/>
      <c r="K594" s="12"/>
      <c r="L594" s="12"/>
      <c r="M594" s="18" t="str">
        <f t="shared" si="1"/>
        <v>#DIV/0!</v>
      </c>
      <c r="N594" s="18" t="str">
        <f t="shared" si="2"/>
        <v>#DIV/0!</v>
      </c>
      <c r="O594" s="12" t="str">
        <f t="shared" si="4"/>
        <v/>
      </c>
      <c r="P594" s="18" t="str">
        <f t="shared" si="3"/>
        <v>#DIV/0!</v>
      </c>
      <c r="Q594" s="12"/>
    </row>
    <row r="595">
      <c r="A595" s="1" t="s">
        <v>2176</v>
      </c>
      <c r="B595" s="7" t="s">
        <v>2177</v>
      </c>
      <c r="C595" s="2" t="s">
        <v>2178</v>
      </c>
      <c r="D595" s="7" t="s">
        <v>585</v>
      </c>
      <c r="E595" s="16"/>
      <c r="F595" s="16"/>
      <c r="G595" s="16"/>
      <c r="H595" s="17"/>
      <c r="I595" s="12"/>
      <c r="J595" s="12"/>
      <c r="K595" s="12"/>
      <c r="L595" s="12"/>
      <c r="M595" s="18" t="str">
        <f t="shared" si="1"/>
        <v>#DIV/0!</v>
      </c>
      <c r="N595" s="18" t="str">
        <f t="shared" si="2"/>
        <v>#DIV/0!</v>
      </c>
      <c r="O595" s="12" t="str">
        <f t="shared" si="4"/>
        <v/>
      </c>
      <c r="P595" s="18" t="str">
        <f t="shared" si="3"/>
        <v>#DIV/0!</v>
      </c>
      <c r="Q595" s="12"/>
    </row>
    <row r="596">
      <c r="A596" s="1" t="s">
        <v>2179</v>
      </c>
      <c r="B596" s="7" t="s">
        <v>2180</v>
      </c>
      <c r="C596" s="2" t="s">
        <v>2181</v>
      </c>
      <c r="D596" s="1" t="s">
        <v>2182</v>
      </c>
      <c r="E596" s="16"/>
      <c r="F596" s="16"/>
      <c r="G596" s="16"/>
      <c r="H596" s="17"/>
      <c r="I596" s="12"/>
      <c r="J596" s="12"/>
      <c r="K596" s="12"/>
      <c r="L596" s="12"/>
      <c r="M596" s="18" t="str">
        <f t="shared" si="1"/>
        <v>#DIV/0!</v>
      </c>
      <c r="N596" s="18" t="str">
        <f t="shared" si="2"/>
        <v>#DIV/0!</v>
      </c>
      <c r="O596" s="12" t="str">
        <f t="shared" si="4"/>
        <v/>
      </c>
      <c r="P596" s="18" t="str">
        <f t="shared" si="3"/>
        <v>#DIV/0!</v>
      </c>
      <c r="Q596" s="12"/>
    </row>
    <row r="597">
      <c r="A597" s="1" t="s">
        <v>2183</v>
      </c>
      <c r="B597" s="7" t="s">
        <v>2184</v>
      </c>
      <c r="C597" s="2" t="s">
        <v>2185</v>
      </c>
      <c r="D597" s="7" t="s">
        <v>2186</v>
      </c>
      <c r="E597" s="16"/>
      <c r="F597" s="16"/>
      <c r="G597" s="16"/>
      <c r="H597" s="17"/>
      <c r="I597" s="12"/>
      <c r="J597" s="12"/>
      <c r="K597" s="12"/>
      <c r="L597" s="12"/>
      <c r="M597" s="18" t="str">
        <f t="shared" si="1"/>
        <v>#DIV/0!</v>
      </c>
      <c r="N597" s="18" t="str">
        <f t="shared" si="2"/>
        <v>#DIV/0!</v>
      </c>
      <c r="O597" s="12" t="str">
        <f t="shared" si="4"/>
        <v/>
      </c>
      <c r="P597" s="18" t="str">
        <f t="shared" si="3"/>
        <v>#DIV/0!</v>
      </c>
      <c r="Q597" s="12"/>
    </row>
    <row r="598">
      <c r="A598" s="1" t="s">
        <v>2187</v>
      </c>
      <c r="B598" s="7" t="s">
        <v>2188</v>
      </c>
      <c r="C598" s="2" t="s">
        <v>2189</v>
      </c>
      <c r="D598" s="1" t="s">
        <v>2190</v>
      </c>
      <c r="E598" s="16"/>
      <c r="F598" s="16"/>
      <c r="G598" s="16"/>
      <c r="H598" s="17"/>
      <c r="I598" s="12"/>
      <c r="J598" s="12"/>
      <c r="K598" s="12"/>
      <c r="L598" s="12"/>
      <c r="M598" s="18" t="str">
        <f t="shared" si="1"/>
        <v>#DIV/0!</v>
      </c>
      <c r="N598" s="18" t="str">
        <f t="shared" si="2"/>
        <v>#DIV/0!</v>
      </c>
      <c r="O598" s="12" t="str">
        <f t="shared" si="4"/>
        <v/>
      </c>
      <c r="P598" s="18" t="str">
        <f t="shared" si="3"/>
        <v>#DIV/0!</v>
      </c>
      <c r="Q598" s="12"/>
    </row>
    <row r="599">
      <c r="A599" s="1" t="s">
        <v>2191</v>
      </c>
      <c r="B599" s="7" t="s">
        <v>2192</v>
      </c>
      <c r="C599" s="2" t="s">
        <v>2193</v>
      </c>
      <c r="D599" s="7" t="s">
        <v>205</v>
      </c>
      <c r="E599" s="16"/>
      <c r="F599" s="16"/>
      <c r="G599" s="16"/>
      <c r="H599" s="17"/>
      <c r="I599" s="12"/>
      <c r="J599" s="12"/>
      <c r="K599" s="12"/>
      <c r="L599" s="12"/>
      <c r="M599" s="18" t="str">
        <f t="shared" si="1"/>
        <v>#DIV/0!</v>
      </c>
      <c r="N599" s="18" t="str">
        <f t="shared" si="2"/>
        <v>#DIV/0!</v>
      </c>
      <c r="O599" s="12" t="str">
        <f t="shared" si="4"/>
        <v/>
      </c>
      <c r="P599" s="18" t="str">
        <f t="shared" si="3"/>
        <v>#DIV/0!</v>
      </c>
      <c r="Q599" s="12"/>
    </row>
    <row r="600">
      <c r="A600" s="1" t="s">
        <v>2194</v>
      </c>
      <c r="B600" s="7" t="s">
        <v>2195</v>
      </c>
      <c r="C600" s="2" t="s">
        <v>2196</v>
      </c>
      <c r="D600" s="1" t="s">
        <v>864</v>
      </c>
      <c r="E600" s="16"/>
      <c r="F600" s="16"/>
      <c r="G600" s="16"/>
      <c r="H600" s="17"/>
      <c r="I600" s="12"/>
      <c r="J600" s="12"/>
      <c r="K600" s="12"/>
      <c r="L600" s="12"/>
      <c r="M600" s="18" t="str">
        <f t="shared" si="1"/>
        <v>#DIV/0!</v>
      </c>
      <c r="N600" s="18" t="str">
        <f t="shared" si="2"/>
        <v>#DIV/0!</v>
      </c>
      <c r="O600" s="12" t="str">
        <f t="shared" si="4"/>
        <v/>
      </c>
      <c r="P600" s="18" t="str">
        <f t="shared" si="3"/>
        <v>#DIV/0!</v>
      </c>
      <c r="Q600" s="12"/>
    </row>
    <row r="601">
      <c r="A601" s="1" t="s">
        <v>2197</v>
      </c>
      <c r="B601" s="7" t="s">
        <v>2198</v>
      </c>
      <c r="C601" s="2" t="s">
        <v>2199</v>
      </c>
      <c r="D601" s="1" t="s">
        <v>2200</v>
      </c>
      <c r="E601" s="16"/>
      <c r="F601" s="16"/>
      <c r="G601" s="16"/>
      <c r="H601" s="17"/>
      <c r="I601" s="12"/>
      <c r="J601" s="12"/>
      <c r="K601" s="12"/>
      <c r="L601" s="12"/>
      <c r="M601" s="18" t="str">
        <f t="shared" si="1"/>
        <v>#DIV/0!</v>
      </c>
      <c r="N601" s="18" t="str">
        <f t="shared" si="2"/>
        <v>#DIV/0!</v>
      </c>
      <c r="O601" s="12" t="str">
        <f t="shared" si="4"/>
        <v/>
      </c>
      <c r="P601" s="18" t="str">
        <f t="shared" si="3"/>
        <v>#DIV/0!</v>
      </c>
      <c r="Q601" s="12"/>
    </row>
    <row r="602">
      <c r="A602" s="1" t="s">
        <v>2201</v>
      </c>
      <c r="B602" s="7" t="s">
        <v>2202</v>
      </c>
      <c r="C602" s="2" t="s">
        <v>2203</v>
      </c>
      <c r="D602" s="1" t="s">
        <v>2204</v>
      </c>
      <c r="E602" s="16"/>
      <c r="F602" s="16"/>
      <c r="G602" s="16"/>
      <c r="H602" s="17"/>
      <c r="I602" s="12"/>
      <c r="J602" s="12"/>
      <c r="K602" s="12"/>
      <c r="L602" s="12"/>
      <c r="M602" s="18" t="str">
        <f t="shared" si="1"/>
        <v>#DIV/0!</v>
      </c>
      <c r="N602" s="18" t="str">
        <f t="shared" si="2"/>
        <v>#DIV/0!</v>
      </c>
      <c r="O602" s="12" t="str">
        <f t="shared" si="4"/>
        <v/>
      </c>
      <c r="P602" s="18" t="str">
        <f t="shared" si="3"/>
        <v>#DIV/0!</v>
      </c>
      <c r="Q602" s="12"/>
    </row>
    <row r="603">
      <c r="A603" s="1" t="s">
        <v>2205</v>
      </c>
      <c r="B603" s="7" t="s">
        <v>2206</v>
      </c>
      <c r="C603" s="2" t="s">
        <v>2207</v>
      </c>
      <c r="D603" s="7" t="s">
        <v>2001</v>
      </c>
      <c r="E603" s="16"/>
      <c r="F603" s="16"/>
      <c r="G603" s="16"/>
      <c r="H603" s="17"/>
      <c r="I603" s="12"/>
      <c r="J603" s="12"/>
      <c r="K603" s="12"/>
      <c r="L603" s="12"/>
      <c r="M603" s="18" t="str">
        <f t="shared" si="1"/>
        <v>#DIV/0!</v>
      </c>
      <c r="N603" s="18" t="str">
        <f t="shared" si="2"/>
        <v>#DIV/0!</v>
      </c>
      <c r="O603" s="12" t="str">
        <f t="shared" si="4"/>
        <v/>
      </c>
      <c r="P603" s="18" t="str">
        <f t="shared" si="3"/>
        <v>#DIV/0!</v>
      </c>
      <c r="Q603" s="12"/>
    </row>
    <row r="604">
      <c r="A604" s="1" t="s">
        <v>2208</v>
      </c>
      <c r="B604" s="7" t="s">
        <v>2209</v>
      </c>
      <c r="C604" s="2" t="s">
        <v>2210</v>
      </c>
      <c r="D604" s="1" t="s">
        <v>2211</v>
      </c>
      <c r="E604" s="16"/>
      <c r="F604" s="16"/>
      <c r="G604" s="16"/>
      <c r="H604" s="17"/>
      <c r="I604" s="12"/>
      <c r="J604" s="12"/>
      <c r="K604" s="12"/>
      <c r="L604" s="12"/>
      <c r="M604" s="18" t="str">
        <f t="shared" si="1"/>
        <v>#DIV/0!</v>
      </c>
      <c r="N604" s="18" t="str">
        <f t="shared" si="2"/>
        <v>#DIV/0!</v>
      </c>
      <c r="O604" s="12" t="str">
        <f t="shared" si="4"/>
        <v/>
      </c>
      <c r="P604" s="18" t="str">
        <f t="shared" si="3"/>
        <v>#DIV/0!</v>
      </c>
      <c r="Q604" s="12"/>
    </row>
    <row r="605">
      <c r="A605" s="1" t="s">
        <v>2212</v>
      </c>
      <c r="B605" s="7" t="s">
        <v>2213</v>
      </c>
      <c r="C605" s="2" t="s">
        <v>2214</v>
      </c>
      <c r="D605" s="1" t="s">
        <v>872</v>
      </c>
      <c r="E605" s="16"/>
      <c r="F605" s="16"/>
      <c r="G605" s="16"/>
      <c r="H605" s="17"/>
      <c r="I605" s="12"/>
      <c r="J605" s="12"/>
      <c r="K605" s="12"/>
      <c r="L605" s="12"/>
      <c r="M605" s="18" t="str">
        <f t="shared" si="1"/>
        <v>#DIV/0!</v>
      </c>
      <c r="N605" s="18" t="str">
        <f t="shared" si="2"/>
        <v>#DIV/0!</v>
      </c>
      <c r="O605" s="12" t="str">
        <f t="shared" si="4"/>
        <v/>
      </c>
      <c r="P605" s="18" t="str">
        <f t="shared" si="3"/>
        <v>#DIV/0!</v>
      </c>
      <c r="Q605" s="12"/>
    </row>
    <row r="606">
      <c r="A606" s="1" t="s">
        <v>2215</v>
      </c>
      <c r="B606" s="7" t="s">
        <v>2216</v>
      </c>
      <c r="C606" s="2" t="s">
        <v>1485</v>
      </c>
      <c r="D606" s="7" t="s">
        <v>284</v>
      </c>
      <c r="E606" s="16"/>
      <c r="F606" s="16"/>
      <c r="G606" s="16"/>
      <c r="H606" s="17"/>
      <c r="I606" s="12"/>
      <c r="J606" s="12"/>
      <c r="K606" s="12"/>
      <c r="L606" s="12"/>
      <c r="M606" s="18" t="str">
        <f t="shared" si="1"/>
        <v>#DIV/0!</v>
      </c>
      <c r="N606" s="18" t="str">
        <f t="shared" si="2"/>
        <v>#DIV/0!</v>
      </c>
      <c r="O606" s="12" t="str">
        <f t="shared" si="4"/>
        <v/>
      </c>
      <c r="P606" s="18" t="str">
        <f t="shared" si="3"/>
        <v>#DIV/0!</v>
      </c>
      <c r="Q606" s="12"/>
    </row>
    <row r="607">
      <c r="A607" s="1" t="s">
        <v>2217</v>
      </c>
      <c r="B607" s="7" t="s">
        <v>2218</v>
      </c>
      <c r="C607" s="2" t="s">
        <v>2219</v>
      </c>
      <c r="D607" s="7" t="s">
        <v>2220</v>
      </c>
      <c r="E607" s="16"/>
      <c r="F607" s="16"/>
      <c r="G607" s="16"/>
      <c r="H607" s="17"/>
      <c r="I607" s="12"/>
      <c r="J607" s="12"/>
      <c r="K607" s="12"/>
      <c r="L607" s="12"/>
      <c r="M607" s="18" t="str">
        <f t="shared" si="1"/>
        <v>#DIV/0!</v>
      </c>
      <c r="N607" s="18" t="str">
        <f t="shared" si="2"/>
        <v>#DIV/0!</v>
      </c>
      <c r="O607" s="12" t="str">
        <f t="shared" si="4"/>
        <v/>
      </c>
      <c r="P607" s="18" t="str">
        <f t="shared" si="3"/>
        <v>#DIV/0!</v>
      </c>
      <c r="Q607" s="12"/>
    </row>
    <row r="608">
      <c r="A608" s="1" t="s">
        <v>2221</v>
      </c>
      <c r="B608" s="7" t="s">
        <v>2222</v>
      </c>
      <c r="C608" s="2" t="s">
        <v>2223</v>
      </c>
      <c r="D608" s="1" t="s">
        <v>2224</v>
      </c>
      <c r="E608" s="16"/>
      <c r="F608" s="16"/>
      <c r="G608" s="16"/>
      <c r="H608" s="17"/>
      <c r="I608" s="12"/>
      <c r="J608" s="12"/>
      <c r="K608" s="12"/>
      <c r="L608" s="12"/>
      <c r="M608" s="18" t="str">
        <f t="shared" si="1"/>
        <v>#DIV/0!</v>
      </c>
      <c r="N608" s="18" t="str">
        <f t="shared" si="2"/>
        <v>#DIV/0!</v>
      </c>
      <c r="O608" s="12" t="str">
        <f t="shared" si="4"/>
        <v/>
      </c>
      <c r="P608" s="18" t="str">
        <f t="shared" si="3"/>
        <v>#DIV/0!</v>
      </c>
      <c r="Q608" s="12"/>
    </row>
    <row r="609">
      <c r="A609" s="1" t="s">
        <v>2225</v>
      </c>
      <c r="B609" s="7" t="s">
        <v>2226</v>
      </c>
      <c r="C609" s="2" t="s">
        <v>2227</v>
      </c>
      <c r="D609" s="7" t="s">
        <v>2228</v>
      </c>
      <c r="E609" s="16"/>
      <c r="F609" s="16"/>
      <c r="G609" s="16"/>
      <c r="H609" s="17"/>
      <c r="I609" s="12"/>
      <c r="J609" s="12"/>
      <c r="K609" s="12"/>
      <c r="L609" s="12"/>
      <c r="M609" s="18" t="str">
        <f t="shared" si="1"/>
        <v>#DIV/0!</v>
      </c>
      <c r="N609" s="18" t="str">
        <f t="shared" si="2"/>
        <v>#DIV/0!</v>
      </c>
      <c r="O609" s="12" t="str">
        <f t="shared" si="4"/>
        <v/>
      </c>
      <c r="P609" s="18" t="str">
        <f t="shared" si="3"/>
        <v>#DIV/0!</v>
      </c>
      <c r="Q609" s="12"/>
    </row>
    <row r="610">
      <c r="A610" s="1" t="s">
        <v>2229</v>
      </c>
      <c r="B610" s="7" t="s">
        <v>2230</v>
      </c>
      <c r="C610" s="2" t="s">
        <v>2231</v>
      </c>
      <c r="D610" s="1" t="s">
        <v>2232</v>
      </c>
      <c r="E610" s="16"/>
      <c r="F610" s="16"/>
      <c r="G610" s="16"/>
      <c r="H610" s="17"/>
      <c r="I610" s="12"/>
      <c r="J610" s="12"/>
      <c r="K610" s="12"/>
      <c r="L610" s="12"/>
      <c r="M610" s="18" t="str">
        <f t="shared" si="1"/>
        <v>#DIV/0!</v>
      </c>
      <c r="N610" s="18" t="str">
        <f t="shared" si="2"/>
        <v>#DIV/0!</v>
      </c>
      <c r="O610" s="12" t="str">
        <f t="shared" si="4"/>
        <v/>
      </c>
      <c r="P610" s="18" t="str">
        <f t="shared" si="3"/>
        <v>#DIV/0!</v>
      </c>
      <c r="Q610" s="12"/>
    </row>
    <row r="611">
      <c r="A611" s="1" t="s">
        <v>2233</v>
      </c>
      <c r="B611" s="7" t="s">
        <v>2234</v>
      </c>
      <c r="C611" s="2" t="s">
        <v>2235</v>
      </c>
      <c r="D611" s="7" t="s">
        <v>2236</v>
      </c>
      <c r="E611" s="16"/>
      <c r="F611" s="16"/>
      <c r="G611" s="16"/>
      <c r="H611" s="17"/>
      <c r="I611" s="12"/>
      <c r="J611" s="12"/>
      <c r="K611" s="12"/>
      <c r="L611" s="12"/>
      <c r="M611" s="18" t="str">
        <f t="shared" si="1"/>
        <v>#DIV/0!</v>
      </c>
      <c r="N611" s="18" t="str">
        <f t="shared" si="2"/>
        <v>#DIV/0!</v>
      </c>
      <c r="O611" s="12" t="str">
        <f t="shared" si="4"/>
        <v/>
      </c>
      <c r="P611" s="18" t="str">
        <f t="shared" si="3"/>
        <v>#DIV/0!</v>
      </c>
      <c r="Q611" s="12"/>
    </row>
    <row r="612">
      <c r="A612" s="1" t="s">
        <v>2237</v>
      </c>
      <c r="B612" s="7" t="s">
        <v>2238</v>
      </c>
      <c r="C612" s="2" t="s">
        <v>268</v>
      </c>
      <c r="D612" s="7" t="s">
        <v>137</v>
      </c>
      <c r="E612" s="16"/>
      <c r="F612" s="16"/>
      <c r="G612" s="16"/>
      <c r="H612" s="17"/>
      <c r="I612" s="12"/>
      <c r="J612" s="12"/>
      <c r="K612" s="12"/>
      <c r="L612" s="12"/>
      <c r="M612" s="18" t="str">
        <f t="shared" si="1"/>
        <v>#DIV/0!</v>
      </c>
      <c r="N612" s="18" t="str">
        <f t="shared" si="2"/>
        <v>#DIV/0!</v>
      </c>
      <c r="O612" s="12" t="str">
        <f t="shared" si="4"/>
        <v/>
      </c>
      <c r="P612" s="18" t="str">
        <f t="shared" si="3"/>
        <v>#DIV/0!</v>
      </c>
      <c r="Q612" s="12"/>
    </row>
    <row r="613">
      <c r="A613" s="1" t="s">
        <v>2239</v>
      </c>
      <c r="B613" s="7" t="s">
        <v>2240</v>
      </c>
      <c r="C613" s="2" t="s">
        <v>2241</v>
      </c>
      <c r="D613" s="1" t="s">
        <v>2242</v>
      </c>
      <c r="E613" s="16"/>
      <c r="F613" s="16"/>
      <c r="G613" s="16"/>
      <c r="H613" s="17"/>
      <c r="I613" s="12"/>
      <c r="J613" s="12"/>
      <c r="K613" s="12"/>
      <c r="L613" s="12"/>
      <c r="M613" s="18" t="str">
        <f t="shared" si="1"/>
        <v>#DIV/0!</v>
      </c>
      <c r="N613" s="18" t="str">
        <f t="shared" si="2"/>
        <v>#DIV/0!</v>
      </c>
      <c r="O613" s="12" t="str">
        <f t="shared" si="4"/>
        <v/>
      </c>
      <c r="P613" s="18" t="str">
        <f t="shared" si="3"/>
        <v>#DIV/0!</v>
      </c>
      <c r="Q613" s="12"/>
    </row>
    <row r="614">
      <c r="A614" s="1" t="s">
        <v>2243</v>
      </c>
      <c r="B614" s="7" t="s">
        <v>2244</v>
      </c>
      <c r="C614" s="2" t="s">
        <v>2245</v>
      </c>
      <c r="D614" s="7" t="s">
        <v>2246</v>
      </c>
      <c r="E614" s="16"/>
      <c r="F614" s="16"/>
      <c r="G614" s="16"/>
      <c r="H614" s="17"/>
      <c r="I614" s="12"/>
      <c r="J614" s="12"/>
      <c r="K614" s="12"/>
      <c r="L614" s="12"/>
      <c r="M614" s="18" t="str">
        <f t="shared" si="1"/>
        <v>#DIV/0!</v>
      </c>
      <c r="N614" s="18" t="str">
        <f t="shared" si="2"/>
        <v>#DIV/0!</v>
      </c>
      <c r="O614" s="12" t="str">
        <f t="shared" si="4"/>
        <v/>
      </c>
      <c r="P614" s="18" t="str">
        <f t="shared" si="3"/>
        <v>#DIV/0!</v>
      </c>
      <c r="Q614" s="12"/>
    </row>
    <row r="615">
      <c r="A615" s="1" t="s">
        <v>2247</v>
      </c>
      <c r="B615" s="7" t="s">
        <v>2248</v>
      </c>
      <c r="C615" s="2" t="s">
        <v>681</v>
      </c>
      <c r="D615" s="7" t="s">
        <v>445</v>
      </c>
      <c r="E615" s="16"/>
      <c r="F615" s="16"/>
      <c r="G615" s="16"/>
      <c r="H615" s="17"/>
      <c r="I615" s="12"/>
      <c r="J615" s="12"/>
      <c r="K615" s="12"/>
      <c r="L615" s="12"/>
      <c r="M615" s="18" t="str">
        <f t="shared" si="1"/>
        <v>#DIV/0!</v>
      </c>
      <c r="N615" s="18" t="str">
        <f t="shared" si="2"/>
        <v>#DIV/0!</v>
      </c>
      <c r="O615" s="12" t="str">
        <f t="shared" si="4"/>
        <v/>
      </c>
      <c r="P615" s="18" t="str">
        <f t="shared" si="3"/>
        <v>#DIV/0!</v>
      </c>
      <c r="Q615" s="12"/>
    </row>
    <row r="616">
      <c r="A616" s="1" t="s">
        <v>2249</v>
      </c>
      <c r="B616" s="7" t="s">
        <v>2250</v>
      </c>
      <c r="C616" s="2" t="s">
        <v>843</v>
      </c>
      <c r="D616" s="7" t="s">
        <v>844</v>
      </c>
      <c r="E616" s="16"/>
      <c r="F616" s="16"/>
      <c r="G616" s="16"/>
      <c r="H616" s="17"/>
      <c r="I616" s="12"/>
      <c r="J616" s="12"/>
      <c r="K616" s="12"/>
      <c r="L616" s="12"/>
      <c r="M616" s="18" t="str">
        <f t="shared" si="1"/>
        <v>#DIV/0!</v>
      </c>
      <c r="N616" s="18" t="str">
        <f t="shared" si="2"/>
        <v>#DIV/0!</v>
      </c>
      <c r="O616" s="12" t="str">
        <f t="shared" si="4"/>
        <v/>
      </c>
      <c r="P616" s="18" t="str">
        <f t="shared" si="3"/>
        <v>#DIV/0!</v>
      </c>
      <c r="Q616" s="12"/>
    </row>
    <row r="617">
      <c r="A617" s="1" t="s">
        <v>2251</v>
      </c>
      <c r="B617" s="7" t="s">
        <v>2252</v>
      </c>
      <c r="C617" s="2" t="s">
        <v>2253</v>
      </c>
      <c r="D617" s="1" t="s">
        <v>2254</v>
      </c>
      <c r="E617" s="16"/>
      <c r="F617" s="16"/>
      <c r="G617" s="16"/>
      <c r="H617" s="17"/>
      <c r="I617" s="12"/>
      <c r="J617" s="12"/>
      <c r="K617" s="12"/>
      <c r="L617" s="12"/>
      <c r="M617" s="18" t="str">
        <f t="shared" si="1"/>
        <v>#DIV/0!</v>
      </c>
      <c r="N617" s="18" t="str">
        <f t="shared" si="2"/>
        <v>#DIV/0!</v>
      </c>
      <c r="O617" s="12" t="str">
        <f t="shared" si="4"/>
        <v/>
      </c>
      <c r="P617" s="18" t="str">
        <f t="shared" si="3"/>
        <v>#DIV/0!</v>
      </c>
      <c r="Q617" s="12"/>
    </row>
    <row r="618">
      <c r="A618" s="1" t="s">
        <v>2255</v>
      </c>
      <c r="B618" s="7" t="s">
        <v>2256</v>
      </c>
      <c r="C618" s="2" t="s">
        <v>2257</v>
      </c>
      <c r="D618" s="1" t="s">
        <v>2258</v>
      </c>
      <c r="E618" s="16"/>
      <c r="F618" s="16"/>
      <c r="G618" s="16"/>
      <c r="H618" s="17"/>
      <c r="I618" s="12"/>
      <c r="J618" s="12"/>
      <c r="K618" s="12"/>
      <c r="L618" s="12"/>
      <c r="M618" s="18" t="str">
        <f t="shared" si="1"/>
        <v>#DIV/0!</v>
      </c>
      <c r="N618" s="18" t="str">
        <f t="shared" si="2"/>
        <v>#DIV/0!</v>
      </c>
      <c r="O618" s="12" t="str">
        <f t="shared" si="4"/>
        <v/>
      </c>
      <c r="P618" s="18" t="str">
        <f t="shared" si="3"/>
        <v>#DIV/0!</v>
      </c>
      <c r="Q618" s="12"/>
    </row>
    <row r="619">
      <c r="A619" s="1" t="s">
        <v>2259</v>
      </c>
      <c r="B619" s="7" t="s">
        <v>2260</v>
      </c>
      <c r="C619" s="2" t="s">
        <v>2261</v>
      </c>
      <c r="D619" s="1" t="s">
        <v>2262</v>
      </c>
      <c r="E619" s="16"/>
      <c r="F619" s="16"/>
      <c r="G619" s="16"/>
      <c r="H619" s="17"/>
      <c r="I619" s="12"/>
      <c r="J619" s="12"/>
      <c r="K619" s="12"/>
      <c r="L619" s="12"/>
      <c r="M619" s="18" t="str">
        <f t="shared" si="1"/>
        <v>#DIV/0!</v>
      </c>
      <c r="N619" s="18" t="str">
        <f t="shared" si="2"/>
        <v>#DIV/0!</v>
      </c>
      <c r="O619" s="12" t="str">
        <f t="shared" si="4"/>
        <v/>
      </c>
      <c r="P619" s="18" t="str">
        <f t="shared" si="3"/>
        <v>#DIV/0!</v>
      </c>
      <c r="Q619" s="12"/>
    </row>
    <row r="620">
      <c r="A620" s="1" t="s">
        <v>2263</v>
      </c>
      <c r="B620" s="7" t="s">
        <v>2264</v>
      </c>
      <c r="C620" s="2" t="s">
        <v>1154</v>
      </c>
      <c r="D620" s="7" t="s">
        <v>1155</v>
      </c>
      <c r="E620" s="16"/>
      <c r="F620" s="16"/>
      <c r="G620" s="16"/>
      <c r="H620" s="17"/>
      <c r="I620" s="12"/>
      <c r="J620" s="12"/>
      <c r="K620" s="12"/>
      <c r="L620" s="12"/>
      <c r="M620" s="18" t="str">
        <f t="shared" si="1"/>
        <v>#DIV/0!</v>
      </c>
      <c r="N620" s="18" t="str">
        <f t="shared" si="2"/>
        <v>#DIV/0!</v>
      </c>
      <c r="O620" s="12" t="str">
        <f t="shared" si="4"/>
        <v/>
      </c>
      <c r="P620" s="18" t="str">
        <f t="shared" si="3"/>
        <v>#DIV/0!</v>
      </c>
      <c r="Q620" s="12"/>
    </row>
    <row r="621">
      <c r="A621" s="1" t="s">
        <v>2265</v>
      </c>
      <c r="B621" s="7" t="s">
        <v>2266</v>
      </c>
      <c r="C621" s="2" t="s">
        <v>1924</v>
      </c>
      <c r="D621" s="7" t="s">
        <v>1925</v>
      </c>
      <c r="E621" s="16"/>
      <c r="F621" s="16"/>
      <c r="G621" s="16"/>
      <c r="H621" s="17"/>
      <c r="I621" s="12"/>
      <c r="J621" s="12"/>
      <c r="K621" s="12"/>
      <c r="L621" s="12"/>
      <c r="M621" s="18" t="str">
        <f t="shared" si="1"/>
        <v>#DIV/0!</v>
      </c>
      <c r="N621" s="18" t="str">
        <f t="shared" si="2"/>
        <v>#DIV/0!</v>
      </c>
      <c r="O621" s="12" t="str">
        <f t="shared" si="4"/>
        <v/>
      </c>
      <c r="P621" s="18" t="str">
        <f t="shared" si="3"/>
        <v>#DIV/0!</v>
      </c>
      <c r="Q621" s="12"/>
    </row>
    <row r="622">
      <c r="A622" s="1" t="s">
        <v>2267</v>
      </c>
      <c r="B622" s="7" t="s">
        <v>2268</v>
      </c>
      <c r="C622" s="2" t="s">
        <v>268</v>
      </c>
      <c r="D622" s="7" t="s">
        <v>137</v>
      </c>
      <c r="E622" s="16"/>
      <c r="F622" s="16"/>
      <c r="G622" s="16"/>
      <c r="H622" s="17"/>
      <c r="I622" s="12"/>
      <c r="J622" s="12"/>
      <c r="K622" s="12"/>
      <c r="L622" s="12"/>
      <c r="M622" s="18" t="str">
        <f t="shared" si="1"/>
        <v>#DIV/0!</v>
      </c>
      <c r="N622" s="18" t="str">
        <f t="shared" si="2"/>
        <v>#DIV/0!</v>
      </c>
      <c r="O622" s="12" t="str">
        <f t="shared" si="4"/>
        <v/>
      </c>
      <c r="P622" s="18" t="str">
        <f t="shared" si="3"/>
        <v>#DIV/0!</v>
      </c>
      <c r="Q622" s="12"/>
    </row>
    <row r="623">
      <c r="A623" s="1" t="s">
        <v>2269</v>
      </c>
      <c r="B623" s="7" t="s">
        <v>2270</v>
      </c>
      <c r="C623" s="2" t="s">
        <v>2271</v>
      </c>
      <c r="D623" s="1" t="s">
        <v>2272</v>
      </c>
      <c r="E623" s="16"/>
      <c r="F623" s="16"/>
      <c r="G623" s="16"/>
      <c r="H623" s="17"/>
      <c r="I623" s="12"/>
      <c r="J623" s="12"/>
      <c r="K623" s="12"/>
      <c r="L623" s="12"/>
      <c r="M623" s="18" t="str">
        <f t="shared" si="1"/>
        <v>#DIV/0!</v>
      </c>
      <c r="N623" s="18" t="str">
        <f t="shared" si="2"/>
        <v>#DIV/0!</v>
      </c>
      <c r="O623" s="12" t="str">
        <f t="shared" si="4"/>
        <v/>
      </c>
      <c r="P623" s="18" t="str">
        <f t="shared" si="3"/>
        <v>#DIV/0!</v>
      </c>
      <c r="Q623" s="12"/>
    </row>
    <row r="624">
      <c r="A624" s="1" t="s">
        <v>2273</v>
      </c>
      <c r="B624" s="7" t="s">
        <v>2274</v>
      </c>
      <c r="C624" s="2" t="s">
        <v>2275</v>
      </c>
      <c r="D624" s="1" t="s">
        <v>2276</v>
      </c>
      <c r="E624" s="16"/>
      <c r="F624" s="16"/>
      <c r="G624" s="16"/>
      <c r="H624" s="17"/>
      <c r="I624" s="12"/>
      <c r="J624" s="12"/>
      <c r="K624" s="12"/>
      <c r="L624" s="12"/>
      <c r="M624" s="18" t="str">
        <f t="shared" si="1"/>
        <v>#DIV/0!</v>
      </c>
      <c r="N624" s="18" t="str">
        <f t="shared" si="2"/>
        <v>#DIV/0!</v>
      </c>
      <c r="O624" s="12" t="str">
        <f t="shared" si="4"/>
        <v/>
      </c>
      <c r="P624" s="18" t="str">
        <f t="shared" si="3"/>
        <v>#DIV/0!</v>
      </c>
      <c r="Q624" s="12"/>
    </row>
    <row r="625">
      <c r="A625" s="1" t="s">
        <v>2277</v>
      </c>
      <c r="B625" s="7" t="s">
        <v>2278</v>
      </c>
      <c r="C625" s="2" t="s">
        <v>863</v>
      </c>
      <c r="D625" s="1" t="s">
        <v>864</v>
      </c>
      <c r="E625" s="16"/>
      <c r="F625" s="16"/>
      <c r="G625" s="16"/>
      <c r="H625" s="17"/>
      <c r="I625" s="12"/>
      <c r="J625" s="12"/>
      <c r="K625" s="12"/>
      <c r="L625" s="12"/>
      <c r="M625" s="18" t="str">
        <f t="shared" si="1"/>
        <v>#DIV/0!</v>
      </c>
      <c r="N625" s="18" t="str">
        <f t="shared" si="2"/>
        <v>#DIV/0!</v>
      </c>
      <c r="O625" s="12" t="str">
        <f t="shared" si="4"/>
        <v/>
      </c>
      <c r="P625" s="18" t="str">
        <f t="shared" si="3"/>
        <v>#DIV/0!</v>
      </c>
      <c r="Q625" s="12"/>
    </row>
    <row r="626">
      <c r="A626" s="1" t="s">
        <v>2279</v>
      </c>
      <c r="B626" s="7" t="s">
        <v>2280</v>
      </c>
      <c r="C626" s="2" t="s">
        <v>2281</v>
      </c>
      <c r="D626" s="1" t="s">
        <v>2282</v>
      </c>
      <c r="E626" s="16"/>
      <c r="F626" s="16"/>
      <c r="G626" s="16"/>
      <c r="H626" s="17"/>
      <c r="I626" s="12"/>
      <c r="J626" s="12"/>
      <c r="K626" s="12"/>
      <c r="L626" s="12"/>
      <c r="M626" s="18" t="str">
        <f t="shared" si="1"/>
        <v>#DIV/0!</v>
      </c>
      <c r="N626" s="18" t="str">
        <f t="shared" si="2"/>
        <v>#DIV/0!</v>
      </c>
      <c r="O626" s="12" t="str">
        <f t="shared" si="4"/>
        <v/>
      </c>
      <c r="P626" s="18" t="str">
        <f t="shared" si="3"/>
        <v>#DIV/0!</v>
      </c>
      <c r="Q626" s="12"/>
    </row>
    <row r="627">
      <c r="A627" s="1" t="s">
        <v>2283</v>
      </c>
      <c r="B627" s="7" t="s">
        <v>2284</v>
      </c>
      <c r="C627" s="13" t="s">
        <v>2285</v>
      </c>
      <c r="D627" s="7" t="s">
        <v>2286</v>
      </c>
      <c r="E627" s="16"/>
      <c r="F627" s="16"/>
      <c r="G627" s="16"/>
      <c r="H627" s="17"/>
      <c r="I627" s="12"/>
      <c r="J627" s="12"/>
      <c r="K627" s="12"/>
      <c r="L627" s="12"/>
      <c r="M627" s="18" t="str">
        <f t="shared" si="1"/>
        <v>#DIV/0!</v>
      </c>
      <c r="N627" s="18" t="str">
        <f t="shared" si="2"/>
        <v>#DIV/0!</v>
      </c>
      <c r="O627" s="12" t="str">
        <f t="shared" si="4"/>
        <v/>
      </c>
      <c r="P627" s="18" t="str">
        <f t="shared" si="3"/>
        <v>#DIV/0!</v>
      </c>
      <c r="Q627" s="12"/>
    </row>
    <row r="628">
      <c r="A628" s="1" t="s">
        <v>2287</v>
      </c>
      <c r="B628" s="7" t="s">
        <v>2288</v>
      </c>
      <c r="C628" s="2" t="s">
        <v>2289</v>
      </c>
      <c r="D628" s="7" t="s">
        <v>1263</v>
      </c>
      <c r="E628" s="16"/>
      <c r="F628" s="16"/>
      <c r="G628" s="16"/>
      <c r="H628" s="17"/>
      <c r="I628" s="12"/>
      <c r="J628" s="12"/>
      <c r="K628" s="12"/>
      <c r="L628" s="12"/>
      <c r="M628" s="18" t="str">
        <f t="shared" si="1"/>
        <v>#DIV/0!</v>
      </c>
      <c r="N628" s="18" t="str">
        <f t="shared" si="2"/>
        <v>#DIV/0!</v>
      </c>
      <c r="O628" s="12" t="str">
        <f t="shared" si="4"/>
        <v/>
      </c>
      <c r="P628" s="18" t="str">
        <f t="shared" si="3"/>
        <v>#DIV/0!</v>
      </c>
      <c r="Q628" s="12"/>
    </row>
    <row r="629">
      <c r="A629" s="1" t="s">
        <v>2290</v>
      </c>
      <c r="B629" s="7" t="s">
        <v>2291</v>
      </c>
      <c r="C629" s="2" t="s">
        <v>2292</v>
      </c>
      <c r="D629" s="1" t="s">
        <v>2293</v>
      </c>
      <c r="E629" s="16"/>
      <c r="F629" s="16"/>
      <c r="G629" s="16"/>
      <c r="H629" s="17"/>
      <c r="I629" s="12"/>
      <c r="J629" s="12"/>
      <c r="K629" s="12"/>
      <c r="L629" s="12"/>
      <c r="M629" s="18" t="str">
        <f t="shared" si="1"/>
        <v>#DIV/0!</v>
      </c>
      <c r="N629" s="18" t="str">
        <f t="shared" si="2"/>
        <v>#DIV/0!</v>
      </c>
      <c r="O629" s="12" t="str">
        <f t="shared" si="4"/>
        <v/>
      </c>
      <c r="P629" s="18" t="str">
        <f t="shared" si="3"/>
        <v>#DIV/0!</v>
      </c>
      <c r="Q629" s="12"/>
    </row>
    <row r="630">
      <c r="A630" s="1" t="s">
        <v>2294</v>
      </c>
      <c r="B630" s="7" t="s">
        <v>2295</v>
      </c>
      <c r="C630" s="2" t="s">
        <v>2296</v>
      </c>
      <c r="D630" s="7" t="s">
        <v>261</v>
      </c>
      <c r="E630" s="16"/>
      <c r="F630" s="16"/>
      <c r="G630" s="16"/>
      <c r="H630" s="17"/>
      <c r="I630" s="12"/>
      <c r="J630" s="12"/>
      <c r="K630" s="12"/>
      <c r="L630" s="12"/>
      <c r="M630" s="18" t="str">
        <f t="shared" si="1"/>
        <v>#DIV/0!</v>
      </c>
      <c r="N630" s="18" t="str">
        <f t="shared" si="2"/>
        <v>#DIV/0!</v>
      </c>
      <c r="O630" s="12" t="str">
        <f t="shared" si="4"/>
        <v/>
      </c>
      <c r="P630" s="18" t="str">
        <f t="shared" si="3"/>
        <v>#DIV/0!</v>
      </c>
      <c r="Q630" s="12"/>
    </row>
    <row r="631">
      <c r="A631" s="1" t="s">
        <v>2297</v>
      </c>
      <c r="B631" s="7" t="s">
        <v>2298</v>
      </c>
      <c r="C631" s="2" t="s">
        <v>2299</v>
      </c>
      <c r="D631" s="1" t="s">
        <v>2300</v>
      </c>
      <c r="E631" s="16"/>
      <c r="F631" s="16"/>
      <c r="G631" s="16"/>
      <c r="H631" s="17"/>
      <c r="I631" s="12"/>
      <c r="J631" s="12"/>
      <c r="K631" s="12"/>
      <c r="L631" s="12"/>
      <c r="M631" s="18" t="str">
        <f t="shared" si="1"/>
        <v>#DIV/0!</v>
      </c>
      <c r="N631" s="18" t="str">
        <f t="shared" si="2"/>
        <v>#DIV/0!</v>
      </c>
      <c r="O631" s="12" t="str">
        <f t="shared" si="4"/>
        <v/>
      </c>
      <c r="P631" s="18" t="str">
        <f t="shared" si="3"/>
        <v>#DIV/0!</v>
      </c>
      <c r="Q631" s="12"/>
    </row>
    <row r="632">
      <c r="A632" s="1" t="s">
        <v>2301</v>
      </c>
      <c r="B632" s="7" t="s">
        <v>2302</v>
      </c>
      <c r="C632" s="2" t="s">
        <v>2303</v>
      </c>
      <c r="D632" s="1" t="s">
        <v>2304</v>
      </c>
      <c r="E632" s="16"/>
      <c r="F632" s="16"/>
      <c r="G632" s="16"/>
      <c r="H632" s="17"/>
      <c r="I632" s="12"/>
      <c r="J632" s="12"/>
      <c r="K632" s="12"/>
      <c r="L632" s="12"/>
      <c r="M632" s="18" t="str">
        <f t="shared" si="1"/>
        <v>#DIV/0!</v>
      </c>
      <c r="N632" s="18" t="str">
        <f t="shared" si="2"/>
        <v>#DIV/0!</v>
      </c>
      <c r="O632" s="12" t="str">
        <f t="shared" si="4"/>
        <v/>
      </c>
      <c r="P632" s="18" t="str">
        <f t="shared" si="3"/>
        <v>#DIV/0!</v>
      </c>
      <c r="Q632" s="12"/>
    </row>
    <row r="633">
      <c r="A633" s="1" t="s">
        <v>2305</v>
      </c>
      <c r="B633" s="7" t="s">
        <v>2306</v>
      </c>
      <c r="C633" s="2" t="s">
        <v>2307</v>
      </c>
      <c r="D633" s="7" t="s">
        <v>2308</v>
      </c>
      <c r="E633" s="16"/>
      <c r="F633" s="16"/>
      <c r="G633" s="16"/>
      <c r="H633" s="17"/>
      <c r="I633" s="12"/>
      <c r="J633" s="12"/>
      <c r="K633" s="12"/>
      <c r="L633" s="12"/>
      <c r="M633" s="18" t="str">
        <f t="shared" si="1"/>
        <v>#DIV/0!</v>
      </c>
      <c r="N633" s="18" t="str">
        <f t="shared" si="2"/>
        <v>#DIV/0!</v>
      </c>
      <c r="O633" s="12" t="str">
        <f t="shared" si="4"/>
        <v/>
      </c>
      <c r="P633" s="18" t="str">
        <f t="shared" si="3"/>
        <v>#DIV/0!</v>
      </c>
      <c r="Q633" s="12"/>
    </row>
    <row r="634">
      <c r="A634" s="1" t="s">
        <v>2309</v>
      </c>
      <c r="B634" s="7" t="s">
        <v>2310</v>
      </c>
      <c r="C634" s="2" t="s">
        <v>2311</v>
      </c>
      <c r="D634" s="1" t="s">
        <v>2312</v>
      </c>
      <c r="E634" s="16"/>
      <c r="F634" s="16"/>
      <c r="G634" s="16"/>
      <c r="H634" s="17"/>
      <c r="I634" s="12"/>
      <c r="J634" s="12"/>
      <c r="K634" s="12"/>
      <c r="L634" s="12"/>
      <c r="M634" s="18" t="str">
        <f t="shared" si="1"/>
        <v>#DIV/0!</v>
      </c>
      <c r="N634" s="18" t="str">
        <f t="shared" si="2"/>
        <v>#DIV/0!</v>
      </c>
      <c r="O634" s="12" t="str">
        <f t="shared" si="4"/>
        <v/>
      </c>
      <c r="P634" s="18" t="str">
        <f t="shared" si="3"/>
        <v>#DIV/0!</v>
      </c>
      <c r="Q634" s="12"/>
    </row>
    <row r="635">
      <c r="A635" s="1" t="s">
        <v>2313</v>
      </c>
      <c r="B635" s="7" t="s">
        <v>2314</v>
      </c>
      <c r="C635" s="2" t="s">
        <v>2315</v>
      </c>
      <c r="D635" s="1" t="s">
        <v>2316</v>
      </c>
      <c r="E635" s="16"/>
      <c r="F635" s="16"/>
      <c r="G635" s="16"/>
      <c r="H635" s="17"/>
      <c r="I635" s="12"/>
      <c r="J635" s="12"/>
      <c r="K635" s="12"/>
      <c r="L635" s="12"/>
      <c r="M635" s="18" t="str">
        <f t="shared" si="1"/>
        <v>#DIV/0!</v>
      </c>
      <c r="N635" s="18" t="str">
        <f t="shared" si="2"/>
        <v>#DIV/0!</v>
      </c>
      <c r="O635" s="12" t="str">
        <f t="shared" si="4"/>
        <v/>
      </c>
      <c r="P635" s="18" t="str">
        <f t="shared" si="3"/>
        <v>#DIV/0!</v>
      </c>
      <c r="Q635" s="12"/>
    </row>
    <row r="636">
      <c r="A636" s="1" t="s">
        <v>2317</v>
      </c>
      <c r="B636" s="7" t="s">
        <v>2318</v>
      </c>
      <c r="C636" s="2" t="s">
        <v>1777</v>
      </c>
      <c r="D636" s="7" t="s">
        <v>296</v>
      </c>
      <c r="E636" s="16"/>
      <c r="F636" s="16"/>
      <c r="G636" s="16"/>
      <c r="H636" s="17"/>
      <c r="I636" s="12"/>
      <c r="J636" s="12"/>
      <c r="K636" s="12"/>
      <c r="L636" s="12"/>
      <c r="M636" s="18" t="str">
        <f t="shared" si="1"/>
        <v>#DIV/0!</v>
      </c>
      <c r="N636" s="18" t="str">
        <f t="shared" si="2"/>
        <v>#DIV/0!</v>
      </c>
      <c r="O636" s="12" t="str">
        <f t="shared" si="4"/>
        <v/>
      </c>
      <c r="P636" s="18" t="str">
        <f t="shared" si="3"/>
        <v>#DIV/0!</v>
      </c>
      <c r="Q636" s="12"/>
    </row>
    <row r="637">
      <c r="A637" s="1" t="s">
        <v>2319</v>
      </c>
      <c r="B637" s="7" t="s">
        <v>2320</v>
      </c>
      <c r="C637" s="2" t="s">
        <v>1059</v>
      </c>
      <c r="D637" s="1" t="s">
        <v>864</v>
      </c>
      <c r="E637" s="16"/>
      <c r="F637" s="16"/>
      <c r="G637" s="16"/>
      <c r="H637" s="17"/>
      <c r="I637" s="12"/>
      <c r="J637" s="12"/>
      <c r="K637" s="12"/>
      <c r="L637" s="12"/>
      <c r="M637" s="18" t="str">
        <f t="shared" si="1"/>
        <v>#DIV/0!</v>
      </c>
      <c r="N637" s="18" t="str">
        <f t="shared" si="2"/>
        <v>#DIV/0!</v>
      </c>
      <c r="O637" s="12" t="str">
        <f t="shared" si="4"/>
        <v/>
      </c>
      <c r="P637" s="18" t="str">
        <f t="shared" si="3"/>
        <v>#DIV/0!</v>
      </c>
      <c r="Q637" s="12"/>
    </row>
    <row r="638">
      <c r="A638" s="1" t="s">
        <v>2321</v>
      </c>
      <c r="B638" s="7" t="s">
        <v>2322</v>
      </c>
      <c r="C638" s="2" t="s">
        <v>2323</v>
      </c>
      <c r="D638" s="1" t="s">
        <v>2324</v>
      </c>
      <c r="E638" s="16"/>
      <c r="F638" s="16"/>
      <c r="G638" s="16"/>
      <c r="H638" s="17"/>
      <c r="I638" s="12"/>
      <c r="J638" s="12"/>
      <c r="K638" s="12"/>
      <c r="L638" s="12"/>
      <c r="M638" s="18" t="str">
        <f t="shared" si="1"/>
        <v>#DIV/0!</v>
      </c>
      <c r="N638" s="18" t="str">
        <f t="shared" si="2"/>
        <v>#DIV/0!</v>
      </c>
      <c r="O638" s="12" t="str">
        <f t="shared" si="4"/>
        <v/>
      </c>
      <c r="P638" s="18" t="str">
        <f t="shared" si="3"/>
        <v>#DIV/0!</v>
      </c>
      <c r="Q638" s="12"/>
    </row>
    <row r="639">
      <c r="A639" s="1" t="s">
        <v>2325</v>
      </c>
      <c r="B639" s="7" t="s">
        <v>2326</v>
      </c>
      <c r="C639" s="2" t="s">
        <v>172</v>
      </c>
      <c r="D639" s="7" t="s">
        <v>173</v>
      </c>
      <c r="E639" s="16"/>
      <c r="F639" s="16"/>
      <c r="G639" s="16"/>
      <c r="H639" s="17"/>
      <c r="I639" s="12"/>
      <c r="J639" s="12"/>
      <c r="K639" s="12"/>
      <c r="L639" s="12"/>
      <c r="M639" s="18" t="str">
        <f t="shared" si="1"/>
        <v>#DIV/0!</v>
      </c>
      <c r="N639" s="18" t="str">
        <f t="shared" si="2"/>
        <v>#DIV/0!</v>
      </c>
      <c r="O639" s="12" t="str">
        <f t="shared" si="4"/>
        <v/>
      </c>
      <c r="P639" s="18" t="str">
        <f t="shared" si="3"/>
        <v>#DIV/0!</v>
      </c>
      <c r="Q639" s="12"/>
    </row>
    <row r="640">
      <c r="A640" s="1" t="s">
        <v>2327</v>
      </c>
      <c r="B640" s="7" t="s">
        <v>2328</v>
      </c>
      <c r="C640" s="2" t="s">
        <v>2329</v>
      </c>
      <c r="D640" s="1" t="s">
        <v>2330</v>
      </c>
      <c r="E640" s="16"/>
      <c r="F640" s="16"/>
      <c r="G640" s="16"/>
      <c r="H640" s="17"/>
      <c r="I640" s="12"/>
      <c r="J640" s="12"/>
      <c r="K640" s="12"/>
      <c r="L640" s="12"/>
      <c r="M640" s="18" t="str">
        <f t="shared" si="1"/>
        <v>#DIV/0!</v>
      </c>
      <c r="N640" s="18" t="str">
        <f t="shared" si="2"/>
        <v>#DIV/0!</v>
      </c>
      <c r="O640" s="12" t="str">
        <f t="shared" si="4"/>
        <v/>
      </c>
      <c r="P640" s="18" t="str">
        <f t="shared" si="3"/>
        <v>#DIV/0!</v>
      </c>
      <c r="Q640" s="12"/>
    </row>
    <row r="641">
      <c r="A641" s="1" t="s">
        <v>2331</v>
      </c>
      <c r="B641" s="7" t="s">
        <v>2332</v>
      </c>
      <c r="C641" s="2" t="s">
        <v>2333</v>
      </c>
      <c r="D641" s="1" t="s">
        <v>2334</v>
      </c>
      <c r="E641" s="16"/>
      <c r="F641" s="16"/>
      <c r="G641" s="16"/>
      <c r="H641" s="17"/>
      <c r="I641" s="12"/>
      <c r="J641" s="12"/>
      <c r="K641" s="12"/>
      <c r="L641" s="12"/>
      <c r="M641" s="18" t="str">
        <f t="shared" si="1"/>
        <v>#DIV/0!</v>
      </c>
      <c r="N641" s="18" t="str">
        <f t="shared" si="2"/>
        <v>#DIV/0!</v>
      </c>
      <c r="O641" s="12" t="str">
        <f t="shared" si="4"/>
        <v/>
      </c>
      <c r="P641" s="18" t="str">
        <f t="shared" si="3"/>
        <v>#DIV/0!</v>
      </c>
      <c r="Q641" s="12"/>
    </row>
    <row r="642">
      <c r="A642" s="1" t="s">
        <v>2335</v>
      </c>
      <c r="B642" s="7" t="s">
        <v>2336</v>
      </c>
      <c r="C642" s="2" t="s">
        <v>2337</v>
      </c>
      <c r="D642" s="1" t="s">
        <v>2338</v>
      </c>
      <c r="E642" s="16"/>
      <c r="F642" s="16"/>
      <c r="G642" s="16"/>
      <c r="H642" s="17"/>
      <c r="I642" s="12"/>
      <c r="J642" s="12"/>
      <c r="K642" s="12"/>
      <c r="L642" s="12"/>
      <c r="M642" s="18" t="str">
        <f t="shared" si="1"/>
        <v>#DIV/0!</v>
      </c>
      <c r="N642" s="18" t="str">
        <f t="shared" si="2"/>
        <v>#DIV/0!</v>
      </c>
      <c r="O642" s="12" t="str">
        <f t="shared" si="4"/>
        <v/>
      </c>
      <c r="P642" s="18" t="str">
        <f t="shared" si="3"/>
        <v>#DIV/0!</v>
      </c>
      <c r="Q642" s="12"/>
    </row>
    <row r="643">
      <c r="A643" s="1" t="s">
        <v>2339</v>
      </c>
      <c r="B643" s="7" t="s">
        <v>2340</v>
      </c>
      <c r="C643" s="2" t="s">
        <v>2341</v>
      </c>
      <c r="D643" s="1" t="s">
        <v>2342</v>
      </c>
      <c r="E643" s="16"/>
      <c r="F643" s="16"/>
      <c r="G643" s="16"/>
      <c r="H643" s="17"/>
      <c r="I643" s="12"/>
      <c r="J643" s="12"/>
      <c r="K643" s="12"/>
      <c r="L643" s="12"/>
      <c r="M643" s="18" t="str">
        <f t="shared" si="1"/>
        <v>#DIV/0!</v>
      </c>
      <c r="N643" s="18" t="str">
        <f t="shared" si="2"/>
        <v>#DIV/0!</v>
      </c>
      <c r="O643" s="12" t="str">
        <f t="shared" si="4"/>
        <v/>
      </c>
      <c r="P643" s="18" t="str">
        <f t="shared" si="3"/>
        <v>#DIV/0!</v>
      </c>
      <c r="Q643" s="12"/>
    </row>
    <row r="644">
      <c r="A644" s="1" t="s">
        <v>2343</v>
      </c>
      <c r="B644" s="7" t="s">
        <v>2344</v>
      </c>
      <c r="C644" s="2" t="s">
        <v>2345</v>
      </c>
      <c r="D644" s="7" t="s">
        <v>2346</v>
      </c>
      <c r="E644" s="16"/>
      <c r="F644" s="16"/>
      <c r="G644" s="16"/>
      <c r="H644" s="17"/>
      <c r="I644" s="12"/>
      <c r="J644" s="12"/>
      <c r="K644" s="12"/>
      <c r="L644" s="12"/>
      <c r="M644" s="18" t="str">
        <f t="shared" si="1"/>
        <v>#DIV/0!</v>
      </c>
      <c r="N644" s="18" t="str">
        <f t="shared" si="2"/>
        <v>#DIV/0!</v>
      </c>
      <c r="O644" s="12" t="str">
        <f t="shared" si="4"/>
        <v/>
      </c>
      <c r="P644" s="18" t="str">
        <f t="shared" si="3"/>
        <v>#DIV/0!</v>
      </c>
      <c r="Q644" s="12"/>
    </row>
    <row r="645">
      <c r="A645" s="1" t="s">
        <v>2347</v>
      </c>
      <c r="B645" s="7" t="s">
        <v>2348</v>
      </c>
      <c r="C645" s="2" t="s">
        <v>2349</v>
      </c>
      <c r="D645" s="1" t="s">
        <v>2350</v>
      </c>
      <c r="E645" s="16"/>
      <c r="F645" s="16"/>
      <c r="G645" s="16"/>
      <c r="H645" s="17"/>
      <c r="I645" s="12"/>
      <c r="J645" s="12"/>
      <c r="K645" s="12"/>
      <c r="L645" s="12"/>
      <c r="M645" s="18" t="str">
        <f t="shared" si="1"/>
        <v>#DIV/0!</v>
      </c>
      <c r="N645" s="18" t="str">
        <f t="shared" si="2"/>
        <v>#DIV/0!</v>
      </c>
      <c r="O645" s="12" t="str">
        <f t="shared" si="4"/>
        <v/>
      </c>
      <c r="P645" s="18" t="str">
        <f t="shared" si="3"/>
        <v>#DIV/0!</v>
      </c>
      <c r="Q645" s="12"/>
    </row>
    <row r="646">
      <c r="A646" s="1" t="s">
        <v>2351</v>
      </c>
      <c r="B646" s="7" t="s">
        <v>2352</v>
      </c>
      <c r="C646" s="2" t="s">
        <v>2353</v>
      </c>
      <c r="D646" s="1" t="s">
        <v>2354</v>
      </c>
      <c r="E646" s="16"/>
      <c r="F646" s="16"/>
      <c r="G646" s="16"/>
      <c r="H646" s="17"/>
      <c r="I646" s="12"/>
      <c r="J646" s="12"/>
      <c r="K646" s="12"/>
      <c r="L646" s="12"/>
      <c r="M646" s="18" t="str">
        <f t="shared" si="1"/>
        <v>#DIV/0!</v>
      </c>
      <c r="N646" s="18" t="str">
        <f t="shared" si="2"/>
        <v>#DIV/0!</v>
      </c>
      <c r="O646" s="12" t="str">
        <f t="shared" si="4"/>
        <v/>
      </c>
      <c r="P646" s="18" t="str">
        <f t="shared" si="3"/>
        <v>#DIV/0!</v>
      </c>
      <c r="Q646" s="12"/>
    </row>
    <row r="647">
      <c r="A647" s="1" t="s">
        <v>2355</v>
      </c>
      <c r="B647" s="7" t="s">
        <v>2356</v>
      </c>
      <c r="C647" s="2" t="s">
        <v>2357</v>
      </c>
      <c r="D647" s="1" t="s">
        <v>2358</v>
      </c>
      <c r="E647" s="16"/>
      <c r="F647" s="16"/>
      <c r="G647" s="16"/>
      <c r="H647" s="17"/>
      <c r="I647" s="12"/>
      <c r="J647" s="12"/>
      <c r="K647" s="12"/>
      <c r="L647" s="12"/>
      <c r="M647" s="18" t="str">
        <f t="shared" si="1"/>
        <v>#DIV/0!</v>
      </c>
      <c r="N647" s="18" t="str">
        <f t="shared" si="2"/>
        <v>#DIV/0!</v>
      </c>
      <c r="O647" s="12" t="str">
        <f t="shared" si="4"/>
        <v/>
      </c>
      <c r="P647" s="18" t="str">
        <f t="shared" si="3"/>
        <v>#DIV/0!</v>
      </c>
      <c r="Q647" s="12"/>
    </row>
    <row r="648">
      <c r="A648" s="1" t="s">
        <v>2359</v>
      </c>
      <c r="B648" s="7" t="s">
        <v>2360</v>
      </c>
      <c r="C648" s="2" t="s">
        <v>2361</v>
      </c>
      <c r="D648" s="1" t="s">
        <v>2362</v>
      </c>
      <c r="E648" s="16"/>
      <c r="F648" s="16"/>
      <c r="G648" s="16"/>
      <c r="H648" s="17"/>
      <c r="I648" s="12"/>
      <c r="J648" s="12"/>
      <c r="K648" s="12"/>
      <c r="L648" s="12"/>
      <c r="M648" s="18" t="str">
        <f t="shared" si="1"/>
        <v>#DIV/0!</v>
      </c>
      <c r="N648" s="18" t="str">
        <f t="shared" si="2"/>
        <v>#DIV/0!</v>
      </c>
      <c r="O648" s="12" t="str">
        <f t="shared" si="4"/>
        <v/>
      </c>
      <c r="P648" s="18" t="str">
        <f t="shared" si="3"/>
        <v>#DIV/0!</v>
      </c>
      <c r="Q648" s="12"/>
    </row>
    <row r="649">
      <c r="A649" s="1" t="s">
        <v>2363</v>
      </c>
      <c r="B649" s="7" t="s">
        <v>2364</v>
      </c>
      <c r="C649" s="2" t="s">
        <v>2365</v>
      </c>
      <c r="D649" s="1" t="s">
        <v>2366</v>
      </c>
      <c r="E649" s="16"/>
      <c r="F649" s="16"/>
      <c r="G649" s="16"/>
      <c r="H649" s="17"/>
      <c r="I649" s="12"/>
      <c r="J649" s="12"/>
      <c r="K649" s="12"/>
      <c r="L649" s="12"/>
      <c r="M649" s="18" t="str">
        <f t="shared" si="1"/>
        <v>#DIV/0!</v>
      </c>
      <c r="N649" s="18" t="str">
        <f t="shared" si="2"/>
        <v>#DIV/0!</v>
      </c>
      <c r="O649" s="12" t="str">
        <f t="shared" si="4"/>
        <v/>
      </c>
      <c r="P649" s="18" t="str">
        <f t="shared" si="3"/>
        <v>#DIV/0!</v>
      </c>
      <c r="Q649" s="12"/>
    </row>
    <row r="650">
      <c r="A650" s="1" t="s">
        <v>2367</v>
      </c>
      <c r="B650" s="7" t="s">
        <v>2368</v>
      </c>
      <c r="C650" s="2" t="s">
        <v>2369</v>
      </c>
      <c r="D650" s="7" t="s">
        <v>2370</v>
      </c>
      <c r="E650" s="16"/>
      <c r="F650" s="16"/>
      <c r="G650" s="16"/>
      <c r="H650" s="17"/>
      <c r="I650" s="12"/>
      <c r="J650" s="12"/>
      <c r="K650" s="12"/>
      <c r="L650" s="12"/>
      <c r="M650" s="18" t="str">
        <f t="shared" si="1"/>
        <v>#DIV/0!</v>
      </c>
      <c r="N650" s="18" t="str">
        <f t="shared" si="2"/>
        <v>#DIV/0!</v>
      </c>
      <c r="O650" s="12" t="str">
        <f t="shared" si="4"/>
        <v/>
      </c>
      <c r="P650" s="18" t="str">
        <f t="shared" si="3"/>
        <v>#DIV/0!</v>
      </c>
      <c r="Q650" s="12"/>
    </row>
    <row r="651">
      <c r="A651" s="1" t="s">
        <v>2371</v>
      </c>
      <c r="B651" s="7" t="s">
        <v>2372</v>
      </c>
      <c r="C651" s="2" t="s">
        <v>2373</v>
      </c>
      <c r="D651" s="7" t="s">
        <v>2374</v>
      </c>
      <c r="E651" s="16"/>
      <c r="F651" s="16"/>
      <c r="G651" s="16"/>
      <c r="H651" s="17"/>
      <c r="I651" s="12"/>
      <c r="J651" s="12"/>
      <c r="K651" s="12"/>
      <c r="L651" s="12"/>
      <c r="M651" s="18" t="str">
        <f t="shared" si="1"/>
        <v>#DIV/0!</v>
      </c>
      <c r="N651" s="18" t="str">
        <f t="shared" si="2"/>
        <v>#DIV/0!</v>
      </c>
      <c r="O651" s="12" t="str">
        <f t="shared" si="4"/>
        <v/>
      </c>
      <c r="P651" s="18" t="str">
        <f t="shared" si="3"/>
        <v>#DIV/0!</v>
      </c>
      <c r="Q651" s="12"/>
    </row>
    <row r="652">
      <c r="A652" s="1" t="s">
        <v>2375</v>
      </c>
      <c r="B652" s="7" t="s">
        <v>2376</v>
      </c>
      <c r="C652" s="2" t="s">
        <v>2377</v>
      </c>
      <c r="D652" s="7" t="s">
        <v>2378</v>
      </c>
      <c r="E652" s="16"/>
      <c r="F652" s="16"/>
      <c r="G652" s="16"/>
      <c r="H652" s="17"/>
      <c r="I652" s="12"/>
      <c r="J652" s="12"/>
      <c r="K652" s="12"/>
      <c r="L652" s="12"/>
      <c r="M652" s="18" t="str">
        <f t="shared" si="1"/>
        <v>#DIV/0!</v>
      </c>
      <c r="N652" s="18" t="str">
        <f t="shared" si="2"/>
        <v>#DIV/0!</v>
      </c>
      <c r="O652" s="12" t="str">
        <f t="shared" si="4"/>
        <v/>
      </c>
      <c r="P652" s="18" t="str">
        <f t="shared" si="3"/>
        <v>#DIV/0!</v>
      </c>
      <c r="Q652" s="12"/>
    </row>
    <row r="653">
      <c r="A653" s="1" t="s">
        <v>2379</v>
      </c>
      <c r="B653" s="7" t="s">
        <v>2380</v>
      </c>
      <c r="C653" s="2" t="s">
        <v>2381</v>
      </c>
      <c r="D653" s="1" t="s">
        <v>2382</v>
      </c>
      <c r="E653" s="16"/>
      <c r="F653" s="16"/>
      <c r="G653" s="16"/>
      <c r="H653" s="17"/>
      <c r="I653" s="12"/>
      <c r="J653" s="12"/>
      <c r="K653" s="12"/>
      <c r="L653" s="12"/>
      <c r="M653" s="18" t="str">
        <f t="shared" si="1"/>
        <v>#DIV/0!</v>
      </c>
      <c r="N653" s="18" t="str">
        <f t="shared" si="2"/>
        <v>#DIV/0!</v>
      </c>
      <c r="O653" s="12" t="str">
        <f t="shared" si="4"/>
        <v/>
      </c>
      <c r="P653" s="18" t="str">
        <f t="shared" si="3"/>
        <v>#DIV/0!</v>
      </c>
      <c r="Q653" s="12"/>
    </row>
    <row r="654">
      <c r="A654" s="1" t="s">
        <v>2383</v>
      </c>
      <c r="B654" s="7" t="s">
        <v>2384</v>
      </c>
      <c r="C654" s="2" t="s">
        <v>863</v>
      </c>
      <c r="D654" s="1" t="s">
        <v>864</v>
      </c>
      <c r="E654" s="16"/>
      <c r="F654" s="16"/>
      <c r="G654" s="16"/>
      <c r="H654" s="17"/>
      <c r="I654" s="12"/>
      <c r="J654" s="12"/>
      <c r="K654" s="12"/>
      <c r="L654" s="12"/>
      <c r="M654" s="18" t="str">
        <f t="shared" si="1"/>
        <v>#DIV/0!</v>
      </c>
      <c r="N654" s="18" t="str">
        <f t="shared" si="2"/>
        <v>#DIV/0!</v>
      </c>
      <c r="O654" s="12" t="str">
        <f t="shared" si="4"/>
        <v/>
      </c>
      <c r="P654" s="18" t="str">
        <f t="shared" si="3"/>
        <v>#DIV/0!</v>
      </c>
      <c r="Q654" s="12"/>
    </row>
    <row r="655">
      <c r="A655" s="1" t="s">
        <v>2385</v>
      </c>
      <c r="B655" s="7" t="s">
        <v>2386</v>
      </c>
      <c r="C655" s="2" t="s">
        <v>991</v>
      </c>
      <c r="D655" s="7" t="s">
        <v>113</v>
      </c>
      <c r="E655" s="16"/>
      <c r="F655" s="16"/>
      <c r="G655" s="16"/>
      <c r="H655" s="17"/>
      <c r="I655" s="12"/>
      <c r="J655" s="12"/>
      <c r="K655" s="12"/>
      <c r="L655" s="12"/>
      <c r="M655" s="18" t="str">
        <f t="shared" si="1"/>
        <v>#DIV/0!</v>
      </c>
      <c r="N655" s="18" t="str">
        <f t="shared" si="2"/>
        <v>#DIV/0!</v>
      </c>
      <c r="O655" s="12" t="str">
        <f t="shared" si="4"/>
        <v/>
      </c>
      <c r="P655" s="18" t="str">
        <f t="shared" si="3"/>
        <v>#DIV/0!</v>
      </c>
      <c r="Q655" s="12"/>
    </row>
    <row r="656">
      <c r="A656" s="1" t="s">
        <v>2387</v>
      </c>
      <c r="B656" s="7" t="s">
        <v>2388</v>
      </c>
      <c r="C656" s="2" t="s">
        <v>2389</v>
      </c>
      <c r="D656" s="1" t="s">
        <v>2390</v>
      </c>
      <c r="E656" s="16"/>
      <c r="F656" s="16"/>
      <c r="G656" s="16"/>
      <c r="H656" s="17"/>
      <c r="I656" s="12"/>
      <c r="J656" s="12"/>
      <c r="K656" s="12"/>
      <c r="L656" s="12"/>
      <c r="M656" s="18" t="str">
        <f t="shared" si="1"/>
        <v>#DIV/0!</v>
      </c>
      <c r="N656" s="18" t="str">
        <f t="shared" si="2"/>
        <v>#DIV/0!</v>
      </c>
      <c r="O656" s="12" t="str">
        <f t="shared" si="4"/>
        <v/>
      </c>
      <c r="P656" s="18" t="str">
        <f t="shared" si="3"/>
        <v>#DIV/0!</v>
      </c>
      <c r="Q656" s="12"/>
    </row>
    <row r="657">
      <c r="A657" s="1" t="s">
        <v>2391</v>
      </c>
      <c r="B657" s="7" t="s">
        <v>2392</v>
      </c>
      <c r="C657" s="2" t="s">
        <v>2393</v>
      </c>
      <c r="D657" s="1" t="s">
        <v>2394</v>
      </c>
      <c r="E657" s="16"/>
      <c r="F657" s="16"/>
      <c r="G657" s="16"/>
      <c r="H657" s="17"/>
      <c r="I657" s="12"/>
      <c r="J657" s="12"/>
      <c r="K657" s="12"/>
      <c r="L657" s="12"/>
      <c r="M657" s="18" t="str">
        <f t="shared" si="1"/>
        <v>#DIV/0!</v>
      </c>
      <c r="N657" s="18" t="str">
        <f t="shared" si="2"/>
        <v>#DIV/0!</v>
      </c>
      <c r="O657" s="12" t="str">
        <f t="shared" si="4"/>
        <v/>
      </c>
      <c r="P657" s="18" t="str">
        <f t="shared" si="3"/>
        <v>#DIV/0!</v>
      </c>
      <c r="Q657" s="12"/>
    </row>
    <row r="658">
      <c r="A658" s="1" t="s">
        <v>2395</v>
      </c>
      <c r="B658" s="7" t="s">
        <v>2396</v>
      </c>
      <c r="C658" s="2" t="s">
        <v>2397</v>
      </c>
      <c r="D658" s="1" t="s">
        <v>2398</v>
      </c>
      <c r="E658" s="16"/>
      <c r="F658" s="16"/>
      <c r="G658" s="16"/>
      <c r="H658" s="17"/>
      <c r="I658" s="12"/>
      <c r="J658" s="12"/>
      <c r="K658" s="12"/>
      <c r="L658" s="12"/>
      <c r="M658" s="18" t="str">
        <f t="shared" si="1"/>
        <v>#DIV/0!</v>
      </c>
      <c r="N658" s="18" t="str">
        <f t="shared" si="2"/>
        <v>#DIV/0!</v>
      </c>
      <c r="O658" s="12" t="str">
        <f t="shared" si="4"/>
        <v/>
      </c>
      <c r="P658" s="18" t="str">
        <f t="shared" si="3"/>
        <v>#DIV/0!</v>
      </c>
      <c r="Q658" s="12"/>
    </row>
    <row r="659">
      <c r="A659" s="1" t="s">
        <v>2399</v>
      </c>
      <c r="B659" s="7" t="s">
        <v>2400</v>
      </c>
      <c r="C659" s="2" t="s">
        <v>991</v>
      </c>
      <c r="D659" s="7" t="s">
        <v>113</v>
      </c>
      <c r="E659" s="16"/>
      <c r="F659" s="16"/>
      <c r="G659" s="16"/>
      <c r="H659" s="17"/>
      <c r="I659" s="12"/>
      <c r="J659" s="12"/>
      <c r="K659" s="12"/>
      <c r="L659" s="12"/>
      <c r="M659" s="18" t="str">
        <f t="shared" si="1"/>
        <v>#DIV/0!</v>
      </c>
      <c r="N659" s="18" t="str">
        <f t="shared" si="2"/>
        <v>#DIV/0!</v>
      </c>
      <c r="O659" s="12" t="str">
        <f t="shared" si="4"/>
        <v/>
      </c>
      <c r="P659" s="18" t="str">
        <f t="shared" si="3"/>
        <v>#DIV/0!</v>
      </c>
      <c r="Q659" s="12"/>
    </row>
    <row r="660">
      <c r="A660" s="1" t="s">
        <v>2401</v>
      </c>
      <c r="B660" s="7" t="s">
        <v>2402</v>
      </c>
      <c r="C660" s="2" t="s">
        <v>2403</v>
      </c>
      <c r="D660" s="1" t="s">
        <v>2404</v>
      </c>
      <c r="E660" s="16"/>
      <c r="F660" s="16"/>
      <c r="G660" s="16"/>
      <c r="H660" s="17"/>
      <c r="I660" s="12"/>
      <c r="J660" s="12"/>
      <c r="K660" s="12"/>
      <c r="L660" s="12"/>
      <c r="M660" s="18" t="str">
        <f t="shared" si="1"/>
        <v>#DIV/0!</v>
      </c>
      <c r="N660" s="18" t="str">
        <f t="shared" si="2"/>
        <v>#DIV/0!</v>
      </c>
      <c r="O660" s="12" t="str">
        <f t="shared" si="4"/>
        <v/>
      </c>
      <c r="P660" s="18" t="str">
        <f t="shared" si="3"/>
        <v>#DIV/0!</v>
      </c>
      <c r="Q660" s="12"/>
    </row>
    <row r="661">
      <c r="A661" s="1" t="s">
        <v>2405</v>
      </c>
      <c r="B661" s="7" t="s">
        <v>2406</v>
      </c>
      <c r="C661" s="2" t="s">
        <v>268</v>
      </c>
      <c r="D661" s="7" t="s">
        <v>137</v>
      </c>
      <c r="E661" s="16"/>
      <c r="F661" s="16"/>
      <c r="G661" s="16"/>
      <c r="H661" s="17"/>
      <c r="I661" s="12"/>
      <c r="J661" s="12"/>
      <c r="K661" s="12"/>
      <c r="L661" s="12"/>
      <c r="M661" s="18" t="str">
        <f t="shared" si="1"/>
        <v>#DIV/0!</v>
      </c>
      <c r="N661" s="18" t="str">
        <f t="shared" si="2"/>
        <v>#DIV/0!</v>
      </c>
      <c r="O661" s="12" t="str">
        <f t="shared" si="4"/>
        <v/>
      </c>
      <c r="P661" s="18" t="str">
        <f t="shared" si="3"/>
        <v>#DIV/0!</v>
      </c>
      <c r="Q661" s="12"/>
    </row>
    <row r="662">
      <c r="A662" s="1" t="s">
        <v>2407</v>
      </c>
      <c r="B662" s="7" t="s">
        <v>2408</v>
      </c>
      <c r="C662" s="2" t="s">
        <v>2409</v>
      </c>
      <c r="D662" s="7" t="s">
        <v>2410</v>
      </c>
      <c r="E662" s="16"/>
      <c r="F662" s="16"/>
      <c r="G662" s="16"/>
      <c r="H662" s="17"/>
      <c r="I662" s="12"/>
      <c r="J662" s="12"/>
      <c r="K662" s="12"/>
      <c r="L662" s="12"/>
      <c r="M662" s="18" t="str">
        <f t="shared" si="1"/>
        <v>#DIV/0!</v>
      </c>
      <c r="N662" s="18" t="str">
        <f t="shared" si="2"/>
        <v>#DIV/0!</v>
      </c>
      <c r="O662" s="12" t="str">
        <f t="shared" si="4"/>
        <v/>
      </c>
      <c r="P662" s="18" t="str">
        <f t="shared" si="3"/>
        <v>#DIV/0!</v>
      </c>
      <c r="Q662" s="12"/>
    </row>
    <row r="663">
      <c r="A663" s="1" t="s">
        <v>2411</v>
      </c>
      <c r="B663" s="7" t="s">
        <v>2412</v>
      </c>
      <c r="C663" s="2" t="s">
        <v>2413</v>
      </c>
      <c r="D663" s="7" t="s">
        <v>2414</v>
      </c>
      <c r="E663" s="16"/>
      <c r="F663" s="16"/>
      <c r="G663" s="16"/>
      <c r="H663" s="17"/>
      <c r="I663" s="12"/>
      <c r="J663" s="12"/>
      <c r="K663" s="12"/>
      <c r="L663" s="12"/>
      <c r="M663" s="18" t="str">
        <f t="shared" si="1"/>
        <v>#DIV/0!</v>
      </c>
      <c r="N663" s="18" t="str">
        <f t="shared" si="2"/>
        <v>#DIV/0!</v>
      </c>
      <c r="O663" s="12" t="str">
        <f t="shared" si="4"/>
        <v/>
      </c>
      <c r="P663" s="18" t="str">
        <f t="shared" si="3"/>
        <v>#DIV/0!</v>
      </c>
      <c r="Q663" s="12"/>
    </row>
    <row r="664">
      <c r="A664" s="1" t="s">
        <v>2415</v>
      </c>
      <c r="B664" s="7" t="s">
        <v>2416</v>
      </c>
      <c r="C664" s="2" t="s">
        <v>2417</v>
      </c>
      <c r="D664" s="7" t="s">
        <v>2418</v>
      </c>
      <c r="E664" s="16"/>
      <c r="F664" s="16"/>
      <c r="G664" s="16"/>
      <c r="H664" s="17"/>
      <c r="I664" s="12"/>
      <c r="J664" s="12"/>
      <c r="K664" s="12"/>
      <c r="L664" s="12"/>
      <c r="M664" s="18" t="str">
        <f t="shared" si="1"/>
        <v>#DIV/0!</v>
      </c>
      <c r="N664" s="18" t="str">
        <f t="shared" si="2"/>
        <v>#DIV/0!</v>
      </c>
      <c r="O664" s="12" t="str">
        <f t="shared" si="4"/>
        <v/>
      </c>
      <c r="P664" s="18" t="str">
        <f t="shared" si="3"/>
        <v>#DIV/0!</v>
      </c>
      <c r="Q664" s="12"/>
    </row>
    <row r="665">
      <c r="A665" s="1" t="s">
        <v>2419</v>
      </c>
      <c r="B665" s="7" t="s">
        <v>2420</v>
      </c>
      <c r="C665" s="2" t="s">
        <v>1416</v>
      </c>
      <c r="D665" s="1" t="s">
        <v>864</v>
      </c>
      <c r="E665" s="16"/>
      <c r="F665" s="16"/>
      <c r="G665" s="16"/>
      <c r="H665" s="17"/>
      <c r="I665" s="12"/>
      <c r="J665" s="12"/>
      <c r="K665" s="12"/>
      <c r="L665" s="12"/>
      <c r="M665" s="18" t="str">
        <f t="shared" si="1"/>
        <v>#DIV/0!</v>
      </c>
      <c r="N665" s="18" t="str">
        <f t="shared" si="2"/>
        <v>#DIV/0!</v>
      </c>
      <c r="O665" s="12" t="str">
        <f t="shared" si="4"/>
        <v/>
      </c>
      <c r="P665" s="18" t="str">
        <f t="shared" si="3"/>
        <v>#DIV/0!</v>
      </c>
      <c r="Q665" s="12"/>
    </row>
    <row r="666">
      <c r="A666" s="1" t="s">
        <v>2421</v>
      </c>
      <c r="B666" s="7" t="s">
        <v>2422</v>
      </c>
      <c r="C666" s="2" t="s">
        <v>2423</v>
      </c>
      <c r="D666" s="7" t="s">
        <v>2424</v>
      </c>
      <c r="E666" s="16"/>
      <c r="F666" s="16"/>
      <c r="G666" s="16"/>
      <c r="H666" s="17"/>
      <c r="I666" s="12"/>
      <c r="J666" s="12"/>
      <c r="K666" s="12"/>
      <c r="L666" s="12"/>
      <c r="M666" s="18" t="str">
        <f t="shared" si="1"/>
        <v>#DIV/0!</v>
      </c>
      <c r="N666" s="18" t="str">
        <f t="shared" si="2"/>
        <v>#DIV/0!</v>
      </c>
      <c r="O666" s="12" t="str">
        <f t="shared" si="4"/>
        <v/>
      </c>
      <c r="P666" s="18" t="str">
        <f t="shared" si="3"/>
        <v>#DIV/0!</v>
      </c>
      <c r="Q666" s="12"/>
    </row>
    <row r="667">
      <c r="A667" s="1" t="s">
        <v>2425</v>
      </c>
      <c r="B667" s="7" t="s">
        <v>2426</v>
      </c>
      <c r="C667" s="2" t="s">
        <v>2427</v>
      </c>
      <c r="D667" s="1" t="s">
        <v>2428</v>
      </c>
      <c r="E667" s="16"/>
      <c r="F667" s="16"/>
      <c r="G667" s="16"/>
      <c r="H667" s="17"/>
      <c r="I667" s="12"/>
      <c r="J667" s="12"/>
      <c r="K667" s="12"/>
      <c r="L667" s="12"/>
      <c r="M667" s="18" t="str">
        <f t="shared" si="1"/>
        <v>#DIV/0!</v>
      </c>
      <c r="N667" s="18" t="str">
        <f t="shared" si="2"/>
        <v>#DIV/0!</v>
      </c>
      <c r="O667" s="12" t="str">
        <f t="shared" si="4"/>
        <v/>
      </c>
      <c r="P667" s="18" t="str">
        <f t="shared" si="3"/>
        <v>#DIV/0!</v>
      </c>
      <c r="Q667" s="12"/>
    </row>
    <row r="668">
      <c r="A668" s="1" t="s">
        <v>2429</v>
      </c>
      <c r="B668" s="7" t="s">
        <v>2430</v>
      </c>
      <c r="C668" s="2" t="s">
        <v>2431</v>
      </c>
      <c r="D668" s="1" t="s">
        <v>2432</v>
      </c>
      <c r="E668" s="16"/>
      <c r="F668" s="16"/>
      <c r="G668" s="16"/>
      <c r="H668" s="17"/>
      <c r="I668" s="12"/>
      <c r="J668" s="12"/>
      <c r="K668" s="12"/>
      <c r="L668" s="12"/>
      <c r="M668" s="18" t="str">
        <f t="shared" si="1"/>
        <v>#DIV/0!</v>
      </c>
      <c r="N668" s="18" t="str">
        <f t="shared" si="2"/>
        <v>#DIV/0!</v>
      </c>
      <c r="O668" s="12" t="str">
        <f t="shared" si="4"/>
        <v/>
      </c>
      <c r="P668" s="18" t="str">
        <f t="shared" si="3"/>
        <v>#DIV/0!</v>
      </c>
      <c r="Q668" s="12"/>
    </row>
    <row r="669">
      <c r="A669" s="1" t="s">
        <v>2433</v>
      </c>
      <c r="B669" s="7" t="s">
        <v>2434</v>
      </c>
      <c r="C669" s="2" t="s">
        <v>1416</v>
      </c>
      <c r="D669" s="1" t="s">
        <v>864</v>
      </c>
      <c r="E669" s="16"/>
      <c r="F669" s="16"/>
      <c r="G669" s="16"/>
      <c r="H669" s="17"/>
      <c r="I669" s="12"/>
      <c r="J669" s="12"/>
      <c r="K669" s="12"/>
      <c r="L669" s="12"/>
      <c r="M669" s="18" t="str">
        <f t="shared" si="1"/>
        <v>#DIV/0!</v>
      </c>
      <c r="N669" s="18" t="str">
        <f t="shared" si="2"/>
        <v>#DIV/0!</v>
      </c>
      <c r="O669" s="12" t="str">
        <f t="shared" si="4"/>
        <v/>
      </c>
      <c r="P669" s="18" t="str">
        <f t="shared" si="3"/>
        <v>#DIV/0!</v>
      </c>
      <c r="Q669" s="12"/>
    </row>
    <row r="670">
      <c r="A670" s="1" t="s">
        <v>2435</v>
      </c>
      <c r="B670" s="7" t="s">
        <v>2436</v>
      </c>
      <c r="C670" s="2" t="s">
        <v>2437</v>
      </c>
      <c r="D670" s="1" t="s">
        <v>2438</v>
      </c>
      <c r="E670" s="16"/>
      <c r="F670" s="16"/>
      <c r="G670" s="16"/>
      <c r="H670" s="17"/>
      <c r="I670" s="12"/>
      <c r="J670" s="12"/>
      <c r="K670" s="12"/>
      <c r="L670" s="12"/>
      <c r="M670" s="18" t="str">
        <f t="shared" si="1"/>
        <v>#DIV/0!</v>
      </c>
      <c r="N670" s="18" t="str">
        <f t="shared" si="2"/>
        <v>#DIV/0!</v>
      </c>
      <c r="O670" s="12" t="str">
        <f t="shared" si="4"/>
        <v/>
      </c>
      <c r="P670" s="18" t="str">
        <f t="shared" si="3"/>
        <v>#DIV/0!</v>
      </c>
      <c r="Q670" s="12"/>
    </row>
    <row r="671">
      <c r="A671" s="1" t="s">
        <v>2439</v>
      </c>
      <c r="B671" s="7" t="s">
        <v>2440</v>
      </c>
      <c r="C671" s="2" t="s">
        <v>681</v>
      </c>
      <c r="D671" s="7" t="s">
        <v>445</v>
      </c>
      <c r="E671" s="16"/>
      <c r="F671" s="16"/>
      <c r="G671" s="16"/>
      <c r="H671" s="17"/>
      <c r="I671" s="12"/>
      <c r="J671" s="12"/>
      <c r="K671" s="12"/>
      <c r="L671" s="12"/>
      <c r="M671" s="18" t="str">
        <f t="shared" si="1"/>
        <v>#DIV/0!</v>
      </c>
      <c r="N671" s="18" t="str">
        <f t="shared" si="2"/>
        <v>#DIV/0!</v>
      </c>
      <c r="O671" s="12" t="str">
        <f t="shared" si="4"/>
        <v/>
      </c>
      <c r="P671" s="18" t="str">
        <f t="shared" si="3"/>
        <v>#DIV/0!</v>
      </c>
      <c r="Q671" s="12"/>
    </row>
    <row r="672">
      <c r="A672" s="1" t="s">
        <v>2441</v>
      </c>
      <c r="B672" s="7" t="s">
        <v>2442</v>
      </c>
      <c r="C672" s="2" t="s">
        <v>2443</v>
      </c>
      <c r="D672" s="1" t="s">
        <v>2444</v>
      </c>
      <c r="E672" s="16"/>
      <c r="F672" s="16"/>
      <c r="G672" s="16"/>
      <c r="H672" s="17"/>
      <c r="I672" s="12"/>
      <c r="J672" s="12"/>
      <c r="K672" s="12"/>
      <c r="L672" s="12"/>
      <c r="M672" s="18" t="str">
        <f t="shared" si="1"/>
        <v>#DIV/0!</v>
      </c>
      <c r="N672" s="18" t="str">
        <f t="shared" si="2"/>
        <v>#DIV/0!</v>
      </c>
      <c r="O672" s="12" t="str">
        <f t="shared" si="4"/>
        <v/>
      </c>
      <c r="P672" s="18" t="str">
        <f t="shared" si="3"/>
        <v>#DIV/0!</v>
      </c>
      <c r="Q672" s="12"/>
    </row>
    <row r="673">
      <c r="A673" s="1" t="s">
        <v>2445</v>
      </c>
      <c r="B673" s="7" t="s">
        <v>2446</v>
      </c>
      <c r="C673" s="2" t="s">
        <v>2447</v>
      </c>
      <c r="D673" s="1" t="s">
        <v>2448</v>
      </c>
      <c r="E673" s="16"/>
      <c r="F673" s="16"/>
      <c r="G673" s="16"/>
      <c r="H673" s="17"/>
      <c r="I673" s="12"/>
      <c r="J673" s="12"/>
      <c r="K673" s="12"/>
      <c r="L673" s="12"/>
      <c r="M673" s="18" t="str">
        <f t="shared" si="1"/>
        <v>#DIV/0!</v>
      </c>
      <c r="N673" s="18" t="str">
        <f t="shared" si="2"/>
        <v>#DIV/0!</v>
      </c>
      <c r="O673" s="12" t="str">
        <f t="shared" si="4"/>
        <v/>
      </c>
      <c r="P673" s="18" t="str">
        <f t="shared" si="3"/>
        <v>#DIV/0!</v>
      </c>
      <c r="Q673" s="12"/>
    </row>
    <row r="674">
      <c r="A674" s="1" t="s">
        <v>2449</v>
      </c>
      <c r="B674" s="7" t="s">
        <v>2450</v>
      </c>
      <c r="C674" s="2" t="s">
        <v>2451</v>
      </c>
      <c r="D674" s="1" t="s">
        <v>2452</v>
      </c>
      <c r="E674" s="16"/>
      <c r="F674" s="16"/>
      <c r="G674" s="16"/>
      <c r="H674" s="17"/>
      <c r="I674" s="12"/>
      <c r="J674" s="12"/>
      <c r="K674" s="12"/>
      <c r="L674" s="12"/>
      <c r="M674" s="18" t="str">
        <f t="shared" si="1"/>
        <v>#DIV/0!</v>
      </c>
      <c r="N674" s="18" t="str">
        <f t="shared" si="2"/>
        <v>#DIV/0!</v>
      </c>
      <c r="O674" s="12" t="str">
        <f t="shared" si="4"/>
        <v/>
      </c>
      <c r="P674" s="18" t="str">
        <f t="shared" si="3"/>
        <v>#DIV/0!</v>
      </c>
      <c r="Q674" s="12"/>
    </row>
    <row r="675">
      <c r="A675" s="1" t="s">
        <v>2453</v>
      </c>
      <c r="B675" s="7" t="s">
        <v>2454</v>
      </c>
      <c r="C675" s="2" t="s">
        <v>2455</v>
      </c>
      <c r="D675" s="1" t="s">
        <v>2456</v>
      </c>
      <c r="E675" s="16"/>
      <c r="F675" s="16"/>
      <c r="G675" s="16"/>
      <c r="H675" s="17"/>
      <c r="I675" s="12"/>
      <c r="J675" s="12"/>
      <c r="K675" s="12"/>
      <c r="L675" s="12"/>
      <c r="M675" s="18" t="str">
        <f t="shared" si="1"/>
        <v>#DIV/0!</v>
      </c>
      <c r="N675" s="18" t="str">
        <f t="shared" si="2"/>
        <v>#DIV/0!</v>
      </c>
      <c r="O675" s="12" t="str">
        <f t="shared" si="4"/>
        <v/>
      </c>
      <c r="P675" s="18" t="str">
        <f t="shared" si="3"/>
        <v>#DIV/0!</v>
      </c>
      <c r="Q675" s="12"/>
    </row>
    <row r="676">
      <c r="A676" s="1" t="s">
        <v>2457</v>
      </c>
      <c r="B676" s="7" t="s">
        <v>2458</v>
      </c>
      <c r="C676" s="2" t="s">
        <v>2459</v>
      </c>
      <c r="D676" s="1" t="s">
        <v>2460</v>
      </c>
      <c r="E676" s="16"/>
      <c r="F676" s="16"/>
      <c r="G676" s="16"/>
      <c r="H676" s="17"/>
      <c r="I676" s="12"/>
      <c r="J676" s="12"/>
      <c r="K676" s="12"/>
      <c r="L676" s="12"/>
      <c r="M676" s="18" t="str">
        <f t="shared" si="1"/>
        <v>#DIV/0!</v>
      </c>
      <c r="N676" s="18" t="str">
        <f t="shared" si="2"/>
        <v>#DIV/0!</v>
      </c>
      <c r="O676" s="12" t="str">
        <f t="shared" si="4"/>
        <v/>
      </c>
      <c r="P676" s="18" t="str">
        <f t="shared" si="3"/>
        <v>#DIV/0!</v>
      </c>
      <c r="Q676" s="12"/>
    </row>
    <row r="677">
      <c r="A677" s="1" t="s">
        <v>2461</v>
      </c>
      <c r="B677" s="7" t="s">
        <v>2462</v>
      </c>
      <c r="C677" s="2" t="s">
        <v>2463</v>
      </c>
      <c r="D677" s="1" t="s">
        <v>2464</v>
      </c>
      <c r="E677" s="16"/>
      <c r="F677" s="16"/>
      <c r="G677" s="16"/>
      <c r="H677" s="17"/>
      <c r="I677" s="12"/>
      <c r="J677" s="12"/>
      <c r="K677" s="12"/>
      <c r="L677" s="12"/>
      <c r="M677" s="18" t="str">
        <f t="shared" si="1"/>
        <v>#DIV/0!</v>
      </c>
      <c r="N677" s="18" t="str">
        <f t="shared" si="2"/>
        <v>#DIV/0!</v>
      </c>
      <c r="O677" s="12" t="str">
        <f t="shared" si="4"/>
        <v/>
      </c>
      <c r="P677" s="18" t="str">
        <f t="shared" si="3"/>
        <v>#DIV/0!</v>
      </c>
      <c r="Q677" s="12"/>
    </row>
    <row r="678">
      <c r="A678" s="1" t="s">
        <v>2465</v>
      </c>
      <c r="B678" s="7" t="s">
        <v>2466</v>
      </c>
      <c r="C678" s="2" t="s">
        <v>2467</v>
      </c>
      <c r="D678" s="1" t="s">
        <v>2468</v>
      </c>
      <c r="E678" s="16"/>
      <c r="F678" s="16"/>
      <c r="G678" s="16"/>
      <c r="H678" s="17"/>
      <c r="I678" s="12"/>
      <c r="J678" s="12"/>
      <c r="K678" s="12"/>
      <c r="L678" s="12"/>
      <c r="M678" s="18" t="str">
        <f t="shared" si="1"/>
        <v>#DIV/0!</v>
      </c>
      <c r="N678" s="18" t="str">
        <f t="shared" si="2"/>
        <v>#DIV/0!</v>
      </c>
      <c r="O678" s="12" t="str">
        <f t="shared" si="4"/>
        <v/>
      </c>
      <c r="P678" s="18" t="str">
        <f t="shared" si="3"/>
        <v>#DIV/0!</v>
      </c>
      <c r="Q678" s="12"/>
    </row>
    <row r="679">
      <c r="A679" s="1" t="s">
        <v>2469</v>
      </c>
      <c r="B679" s="7" t="s">
        <v>2470</v>
      </c>
      <c r="C679" s="2" t="s">
        <v>2471</v>
      </c>
      <c r="D679" s="1" t="s">
        <v>2472</v>
      </c>
      <c r="E679" s="16"/>
      <c r="F679" s="16"/>
      <c r="G679" s="16"/>
      <c r="H679" s="17"/>
      <c r="I679" s="12"/>
      <c r="J679" s="12"/>
      <c r="K679" s="12"/>
      <c r="L679" s="12"/>
      <c r="M679" s="18" t="str">
        <f t="shared" si="1"/>
        <v>#DIV/0!</v>
      </c>
      <c r="N679" s="18" t="str">
        <f t="shared" si="2"/>
        <v>#DIV/0!</v>
      </c>
      <c r="O679" s="12" t="str">
        <f t="shared" si="4"/>
        <v/>
      </c>
      <c r="P679" s="18" t="str">
        <f t="shared" si="3"/>
        <v>#DIV/0!</v>
      </c>
      <c r="Q679" s="12"/>
    </row>
    <row r="680">
      <c r="A680" s="1" t="s">
        <v>2473</v>
      </c>
      <c r="B680" s="7" t="s">
        <v>2474</v>
      </c>
      <c r="C680" s="2" t="s">
        <v>2475</v>
      </c>
      <c r="D680" s="7" t="s">
        <v>2476</v>
      </c>
      <c r="E680" s="16"/>
      <c r="F680" s="16"/>
      <c r="G680" s="16"/>
      <c r="H680" s="17"/>
      <c r="I680" s="12"/>
      <c r="J680" s="12"/>
      <c r="K680" s="12"/>
      <c r="L680" s="12"/>
      <c r="M680" s="18" t="str">
        <f t="shared" si="1"/>
        <v>#DIV/0!</v>
      </c>
      <c r="N680" s="18" t="str">
        <f t="shared" si="2"/>
        <v>#DIV/0!</v>
      </c>
      <c r="O680" s="12" t="str">
        <f t="shared" si="4"/>
        <v/>
      </c>
      <c r="P680" s="18" t="str">
        <f t="shared" si="3"/>
        <v>#DIV/0!</v>
      </c>
      <c r="Q680" s="12"/>
    </row>
    <row r="681">
      <c r="A681" s="1" t="s">
        <v>2477</v>
      </c>
      <c r="B681" s="7" t="s">
        <v>2478</v>
      </c>
      <c r="C681" s="2" t="s">
        <v>2479</v>
      </c>
      <c r="D681" s="1" t="s">
        <v>2480</v>
      </c>
      <c r="E681" s="16"/>
      <c r="F681" s="16"/>
      <c r="G681" s="16"/>
      <c r="H681" s="17"/>
      <c r="I681" s="12"/>
      <c r="J681" s="12"/>
      <c r="K681" s="12"/>
      <c r="L681" s="12"/>
      <c r="M681" s="18" t="str">
        <f t="shared" si="1"/>
        <v>#DIV/0!</v>
      </c>
      <c r="N681" s="18" t="str">
        <f t="shared" si="2"/>
        <v>#DIV/0!</v>
      </c>
      <c r="O681" s="12" t="str">
        <f t="shared" si="4"/>
        <v/>
      </c>
      <c r="P681" s="18" t="str">
        <f t="shared" si="3"/>
        <v>#DIV/0!</v>
      </c>
      <c r="Q681" s="12"/>
    </row>
    <row r="682">
      <c r="A682" s="1" t="s">
        <v>2481</v>
      </c>
      <c r="B682" s="7" t="s">
        <v>2482</v>
      </c>
      <c r="C682" s="2" t="s">
        <v>172</v>
      </c>
      <c r="D682" s="7" t="s">
        <v>173</v>
      </c>
      <c r="E682" s="16"/>
      <c r="F682" s="16"/>
      <c r="G682" s="16"/>
      <c r="H682" s="17"/>
      <c r="I682" s="12"/>
      <c r="J682" s="12"/>
      <c r="K682" s="12"/>
      <c r="L682" s="12"/>
      <c r="M682" s="18" t="str">
        <f t="shared" si="1"/>
        <v>#DIV/0!</v>
      </c>
      <c r="N682" s="18" t="str">
        <f t="shared" si="2"/>
        <v>#DIV/0!</v>
      </c>
      <c r="O682" s="12" t="str">
        <f t="shared" si="4"/>
        <v/>
      </c>
      <c r="P682" s="18" t="str">
        <f t="shared" si="3"/>
        <v>#DIV/0!</v>
      </c>
      <c r="Q682" s="12"/>
    </row>
    <row r="683">
      <c r="A683" s="1" t="s">
        <v>2483</v>
      </c>
      <c r="B683" s="7" t="s">
        <v>2484</v>
      </c>
      <c r="C683" s="2" t="s">
        <v>2485</v>
      </c>
      <c r="D683" s="1" t="s">
        <v>2486</v>
      </c>
      <c r="E683" s="16"/>
      <c r="F683" s="16"/>
      <c r="G683" s="16"/>
      <c r="H683" s="17"/>
      <c r="I683" s="12"/>
      <c r="J683" s="12"/>
      <c r="K683" s="12"/>
      <c r="L683" s="12"/>
      <c r="M683" s="18" t="str">
        <f t="shared" si="1"/>
        <v>#DIV/0!</v>
      </c>
      <c r="N683" s="18" t="str">
        <f t="shared" si="2"/>
        <v>#DIV/0!</v>
      </c>
      <c r="O683" s="12" t="str">
        <f t="shared" si="4"/>
        <v/>
      </c>
      <c r="P683" s="18" t="str">
        <f t="shared" si="3"/>
        <v>#DIV/0!</v>
      </c>
      <c r="Q683" s="12"/>
    </row>
    <row r="684">
      <c r="A684" s="1" t="s">
        <v>2487</v>
      </c>
      <c r="B684" s="7" t="s">
        <v>2488</v>
      </c>
      <c r="C684" s="2" t="s">
        <v>2489</v>
      </c>
      <c r="D684" s="1" t="s">
        <v>2490</v>
      </c>
      <c r="E684" s="16"/>
      <c r="F684" s="16"/>
      <c r="G684" s="16"/>
      <c r="H684" s="17"/>
      <c r="I684" s="12"/>
      <c r="J684" s="12"/>
      <c r="K684" s="12"/>
      <c r="L684" s="12"/>
      <c r="M684" s="18" t="str">
        <f t="shared" si="1"/>
        <v>#DIV/0!</v>
      </c>
      <c r="N684" s="18" t="str">
        <f t="shared" si="2"/>
        <v>#DIV/0!</v>
      </c>
      <c r="O684" s="12" t="str">
        <f t="shared" si="4"/>
        <v/>
      </c>
      <c r="P684" s="18" t="str">
        <f t="shared" si="3"/>
        <v>#DIV/0!</v>
      </c>
      <c r="Q684" s="12"/>
    </row>
    <row r="685">
      <c r="A685" s="1" t="s">
        <v>2491</v>
      </c>
      <c r="B685" s="7" t="s">
        <v>2492</v>
      </c>
      <c r="C685" s="2" t="s">
        <v>2493</v>
      </c>
      <c r="D685" s="1" t="s">
        <v>2494</v>
      </c>
      <c r="E685" s="16"/>
      <c r="F685" s="16"/>
      <c r="G685" s="16"/>
      <c r="H685" s="17"/>
      <c r="I685" s="12"/>
      <c r="J685" s="12"/>
      <c r="K685" s="12"/>
      <c r="L685" s="12"/>
      <c r="M685" s="18" t="str">
        <f t="shared" si="1"/>
        <v>#DIV/0!</v>
      </c>
      <c r="N685" s="18" t="str">
        <f t="shared" si="2"/>
        <v>#DIV/0!</v>
      </c>
      <c r="O685" s="12" t="str">
        <f t="shared" si="4"/>
        <v/>
      </c>
      <c r="P685" s="18" t="str">
        <f t="shared" si="3"/>
        <v>#DIV/0!</v>
      </c>
      <c r="Q685" s="12"/>
    </row>
    <row r="686">
      <c r="A686" s="1" t="s">
        <v>2495</v>
      </c>
      <c r="B686" s="7" t="s">
        <v>2496</v>
      </c>
      <c r="C686" s="2" t="s">
        <v>2497</v>
      </c>
      <c r="D686" s="1" t="s">
        <v>2486</v>
      </c>
      <c r="E686" s="16"/>
      <c r="F686" s="16"/>
      <c r="G686" s="16"/>
      <c r="H686" s="17"/>
      <c r="I686" s="12"/>
      <c r="J686" s="12"/>
      <c r="K686" s="12"/>
      <c r="L686" s="12"/>
      <c r="M686" s="18" t="str">
        <f t="shared" si="1"/>
        <v>#DIV/0!</v>
      </c>
      <c r="N686" s="18" t="str">
        <f t="shared" si="2"/>
        <v>#DIV/0!</v>
      </c>
      <c r="O686" s="12" t="str">
        <f t="shared" si="4"/>
        <v/>
      </c>
      <c r="P686" s="18" t="str">
        <f t="shared" si="3"/>
        <v>#DIV/0!</v>
      </c>
      <c r="Q686" s="12"/>
    </row>
    <row r="687">
      <c r="A687" s="1" t="s">
        <v>2498</v>
      </c>
      <c r="B687" s="7" t="s">
        <v>2499</v>
      </c>
      <c r="C687" s="2" t="s">
        <v>1485</v>
      </c>
      <c r="D687" s="7" t="s">
        <v>284</v>
      </c>
      <c r="E687" s="16"/>
      <c r="F687" s="16"/>
      <c r="G687" s="16"/>
      <c r="H687" s="17"/>
      <c r="I687" s="12"/>
      <c r="J687" s="12"/>
      <c r="K687" s="12"/>
      <c r="L687" s="12"/>
      <c r="M687" s="18" t="str">
        <f t="shared" si="1"/>
        <v>#DIV/0!</v>
      </c>
      <c r="N687" s="18" t="str">
        <f t="shared" si="2"/>
        <v>#DIV/0!</v>
      </c>
      <c r="O687" s="12" t="str">
        <f t="shared" si="4"/>
        <v/>
      </c>
      <c r="P687" s="18" t="str">
        <f t="shared" si="3"/>
        <v>#DIV/0!</v>
      </c>
      <c r="Q687" s="12"/>
    </row>
    <row r="688">
      <c r="A688" s="1" t="s">
        <v>2500</v>
      </c>
      <c r="B688" s="7" t="s">
        <v>2501</v>
      </c>
      <c r="C688" s="2" t="s">
        <v>2502</v>
      </c>
      <c r="D688" s="1" t="s">
        <v>2503</v>
      </c>
      <c r="E688" s="16"/>
      <c r="F688" s="16"/>
      <c r="G688" s="16"/>
      <c r="H688" s="17"/>
      <c r="I688" s="12"/>
      <c r="J688" s="12"/>
      <c r="K688" s="12"/>
      <c r="L688" s="12"/>
      <c r="M688" s="18" t="str">
        <f t="shared" si="1"/>
        <v>#DIV/0!</v>
      </c>
      <c r="N688" s="18" t="str">
        <f t="shared" si="2"/>
        <v>#DIV/0!</v>
      </c>
      <c r="O688" s="12" t="str">
        <f t="shared" si="4"/>
        <v/>
      </c>
      <c r="P688" s="18" t="str">
        <f t="shared" si="3"/>
        <v>#DIV/0!</v>
      </c>
      <c r="Q688" s="12"/>
    </row>
    <row r="689">
      <c r="A689" s="1" t="s">
        <v>2504</v>
      </c>
      <c r="B689" s="7" t="s">
        <v>2505</v>
      </c>
      <c r="C689" s="2" t="s">
        <v>2506</v>
      </c>
      <c r="D689" s="1" t="s">
        <v>2507</v>
      </c>
      <c r="E689" s="16"/>
      <c r="F689" s="16"/>
      <c r="G689" s="16"/>
      <c r="H689" s="17"/>
      <c r="I689" s="12"/>
      <c r="J689" s="12"/>
      <c r="K689" s="12"/>
      <c r="L689" s="12"/>
      <c r="M689" s="18" t="str">
        <f t="shared" si="1"/>
        <v>#DIV/0!</v>
      </c>
      <c r="N689" s="18" t="str">
        <f t="shared" si="2"/>
        <v>#DIV/0!</v>
      </c>
      <c r="O689" s="12" t="str">
        <f t="shared" si="4"/>
        <v/>
      </c>
      <c r="P689" s="18" t="str">
        <f t="shared" si="3"/>
        <v>#DIV/0!</v>
      </c>
      <c r="Q689" s="12"/>
    </row>
    <row r="690">
      <c r="A690" s="1" t="s">
        <v>2508</v>
      </c>
      <c r="B690" s="7" t="s">
        <v>2509</v>
      </c>
      <c r="C690" s="2" t="s">
        <v>2510</v>
      </c>
      <c r="D690" s="7" t="s">
        <v>2511</v>
      </c>
      <c r="E690" s="16"/>
      <c r="F690" s="16"/>
      <c r="G690" s="16"/>
      <c r="H690" s="17"/>
      <c r="I690" s="12"/>
      <c r="J690" s="12"/>
      <c r="K690" s="12"/>
      <c r="L690" s="12"/>
      <c r="M690" s="18" t="str">
        <f t="shared" si="1"/>
        <v>#DIV/0!</v>
      </c>
      <c r="N690" s="18" t="str">
        <f t="shared" si="2"/>
        <v>#DIV/0!</v>
      </c>
      <c r="O690" s="12" t="str">
        <f t="shared" si="4"/>
        <v/>
      </c>
      <c r="P690" s="18" t="str">
        <f t="shared" si="3"/>
        <v>#DIV/0!</v>
      </c>
      <c r="Q690" s="12"/>
    </row>
    <row r="691">
      <c r="A691" s="1" t="s">
        <v>2512</v>
      </c>
      <c r="B691" s="7" t="s">
        <v>2513</v>
      </c>
      <c r="C691" s="2" t="s">
        <v>2514</v>
      </c>
      <c r="D691" s="1" t="s">
        <v>2515</v>
      </c>
      <c r="E691" s="16"/>
      <c r="F691" s="16"/>
      <c r="G691" s="16"/>
      <c r="H691" s="17"/>
      <c r="I691" s="12"/>
      <c r="J691" s="12"/>
      <c r="K691" s="12"/>
      <c r="L691" s="12"/>
      <c r="M691" s="18" t="str">
        <f t="shared" si="1"/>
        <v>#DIV/0!</v>
      </c>
      <c r="N691" s="18" t="str">
        <f t="shared" si="2"/>
        <v>#DIV/0!</v>
      </c>
      <c r="O691" s="12" t="str">
        <f t="shared" si="4"/>
        <v/>
      </c>
      <c r="P691" s="18" t="str">
        <f t="shared" si="3"/>
        <v>#DIV/0!</v>
      </c>
      <c r="Q691" s="12"/>
    </row>
    <row r="692">
      <c r="A692" s="1" t="s">
        <v>2516</v>
      </c>
      <c r="B692" s="7" t="s">
        <v>2517</v>
      </c>
      <c r="C692" s="2" t="s">
        <v>2518</v>
      </c>
      <c r="D692" s="7" t="s">
        <v>185</v>
      </c>
      <c r="E692" s="16"/>
      <c r="F692" s="16"/>
      <c r="G692" s="16"/>
      <c r="H692" s="17"/>
      <c r="I692" s="12"/>
      <c r="J692" s="12"/>
      <c r="K692" s="12"/>
      <c r="L692" s="12"/>
      <c r="M692" s="18" t="str">
        <f t="shared" si="1"/>
        <v>#DIV/0!</v>
      </c>
      <c r="N692" s="18" t="str">
        <f t="shared" si="2"/>
        <v>#DIV/0!</v>
      </c>
      <c r="O692" s="12" t="str">
        <f t="shared" si="4"/>
        <v/>
      </c>
      <c r="P692" s="18" t="str">
        <f t="shared" si="3"/>
        <v>#DIV/0!</v>
      </c>
      <c r="Q692" s="12"/>
    </row>
    <row r="693">
      <c r="A693" s="1" t="s">
        <v>2519</v>
      </c>
      <c r="B693" s="7" t="s">
        <v>2520</v>
      </c>
      <c r="C693" s="2" t="s">
        <v>2521</v>
      </c>
      <c r="D693" s="1" t="s">
        <v>2522</v>
      </c>
      <c r="E693" s="16"/>
      <c r="F693" s="16"/>
      <c r="G693" s="16"/>
      <c r="H693" s="17"/>
      <c r="I693" s="12"/>
      <c r="J693" s="12"/>
      <c r="K693" s="12"/>
      <c r="L693" s="12"/>
      <c r="M693" s="18" t="str">
        <f t="shared" si="1"/>
        <v>#DIV/0!</v>
      </c>
      <c r="N693" s="18" t="str">
        <f t="shared" si="2"/>
        <v>#DIV/0!</v>
      </c>
      <c r="O693" s="12" t="str">
        <f t="shared" si="4"/>
        <v/>
      </c>
      <c r="P693" s="18" t="str">
        <f t="shared" si="3"/>
        <v>#DIV/0!</v>
      </c>
      <c r="Q693" s="12"/>
    </row>
    <row r="694">
      <c r="A694" s="1" t="s">
        <v>2523</v>
      </c>
      <c r="B694" s="7" t="s">
        <v>2524</v>
      </c>
      <c r="C694" s="2" t="s">
        <v>2525</v>
      </c>
      <c r="D694" s="7" t="s">
        <v>205</v>
      </c>
      <c r="E694" s="16"/>
      <c r="F694" s="16"/>
      <c r="G694" s="16"/>
      <c r="H694" s="17"/>
      <c r="I694" s="12"/>
      <c r="J694" s="12"/>
      <c r="K694" s="12"/>
      <c r="L694" s="12"/>
      <c r="M694" s="18" t="str">
        <f t="shared" si="1"/>
        <v>#DIV/0!</v>
      </c>
      <c r="N694" s="18" t="str">
        <f t="shared" si="2"/>
        <v>#DIV/0!</v>
      </c>
      <c r="O694" s="12" t="str">
        <f t="shared" si="4"/>
        <v/>
      </c>
      <c r="P694" s="18" t="str">
        <f t="shared" si="3"/>
        <v>#DIV/0!</v>
      </c>
      <c r="Q694" s="12"/>
    </row>
    <row r="695">
      <c r="A695" s="1" t="s">
        <v>2526</v>
      </c>
      <c r="B695" s="7" t="s">
        <v>2527</v>
      </c>
      <c r="C695" s="2" t="s">
        <v>2528</v>
      </c>
      <c r="D695" s="1" t="s">
        <v>2529</v>
      </c>
      <c r="E695" s="16"/>
      <c r="F695" s="16"/>
      <c r="G695" s="16"/>
      <c r="H695" s="17"/>
      <c r="I695" s="12"/>
      <c r="J695" s="12"/>
      <c r="K695" s="12"/>
      <c r="L695" s="12"/>
      <c r="M695" s="18" t="str">
        <f t="shared" si="1"/>
        <v>#DIV/0!</v>
      </c>
      <c r="N695" s="18" t="str">
        <f t="shared" si="2"/>
        <v>#DIV/0!</v>
      </c>
      <c r="O695" s="12" t="str">
        <f t="shared" si="4"/>
        <v/>
      </c>
      <c r="P695" s="18" t="str">
        <f t="shared" si="3"/>
        <v>#DIV/0!</v>
      </c>
      <c r="Q695" s="12"/>
    </row>
    <row r="696">
      <c r="A696" s="1" t="s">
        <v>2530</v>
      </c>
      <c r="B696" s="7" t="s">
        <v>2531</v>
      </c>
      <c r="C696" s="2" t="s">
        <v>260</v>
      </c>
      <c r="D696" s="7" t="s">
        <v>261</v>
      </c>
      <c r="E696" s="16"/>
      <c r="F696" s="16"/>
      <c r="G696" s="16"/>
      <c r="H696" s="17"/>
      <c r="I696" s="12"/>
      <c r="J696" s="12"/>
      <c r="K696" s="12"/>
      <c r="L696" s="12"/>
      <c r="M696" s="18" t="str">
        <f t="shared" si="1"/>
        <v>#DIV/0!</v>
      </c>
      <c r="N696" s="18" t="str">
        <f t="shared" si="2"/>
        <v>#DIV/0!</v>
      </c>
      <c r="O696" s="12" t="str">
        <f t="shared" si="4"/>
        <v/>
      </c>
      <c r="P696" s="18" t="str">
        <f t="shared" si="3"/>
        <v>#DIV/0!</v>
      </c>
      <c r="Q696" s="12"/>
    </row>
    <row r="697">
      <c r="A697" s="1" t="s">
        <v>2532</v>
      </c>
      <c r="B697" s="7" t="s">
        <v>2533</v>
      </c>
      <c r="C697" s="2" t="s">
        <v>2534</v>
      </c>
      <c r="D697" s="1" t="s">
        <v>2535</v>
      </c>
      <c r="E697" s="16"/>
      <c r="F697" s="16"/>
      <c r="G697" s="16"/>
      <c r="H697" s="17"/>
      <c r="I697" s="12"/>
      <c r="J697" s="12"/>
      <c r="K697" s="12"/>
      <c r="L697" s="12"/>
      <c r="M697" s="18" t="str">
        <f t="shared" si="1"/>
        <v>#DIV/0!</v>
      </c>
      <c r="N697" s="18" t="str">
        <f t="shared" si="2"/>
        <v>#DIV/0!</v>
      </c>
      <c r="O697" s="12" t="str">
        <f t="shared" si="4"/>
        <v/>
      </c>
      <c r="P697" s="18" t="str">
        <f t="shared" si="3"/>
        <v>#DIV/0!</v>
      </c>
      <c r="Q697" s="12"/>
    </row>
    <row r="698">
      <c r="A698" s="1" t="s">
        <v>2536</v>
      </c>
      <c r="B698" s="7" t="s">
        <v>2537</v>
      </c>
      <c r="C698" s="2" t="s">
        <v>508</v>
      </c>
      <c r="D698" s="7" t="s">
        <v>509</v>
      </c>
      <c r="E698" s="16"/>
      <c r="F698" s="16"/>
      <c r="G698" s="16"/>
      <c r="H698" s="17"/>
      <c r="I698" s="12"/>
      <c r="J698" s="12"/>
      <c r="K698" s="12"/>
      <c r="L698" s="12"/>
      <c r="M698" s="18" t="str">
        <f t="shared" si="1"/>
        <v>#DIV/0!</v>
      </c>
      <c r="N698" s="18" t="str">
        <f t="shared" si="2"/>
        <v>#DIV/0!</v>
      </c>
      <c r="O698" s="12" t="str">
        <f t="shared" si="4"/>
        <v/>
      </c>
      <c r="P698" s="18" t="str">
        <f t="shared" si="3"/>
        <v>#DIV/0!</v>
      </c>
      <c r="Q698" s="12"/>
    </row>
    <row r="699">
      <c r="A699" s="1" t="s">
        <v>2538</v>
      </c>
      <c r="B699" s="7" t="s">
        <v>2539</v>
      </c>
      <c r="C699" s="2" t="s">
        <v>2540</v>
      </c>
      <c r="D699" s="1" t="s">
        <v>2541</v>
      </c>
      <c r="E699" s="16"/>
      <c r="F699" s="16"/>
      <c r="G699" s="16"/>
      <c r="H699" s="17"/>
      <c r="I699" s="12"/>
      <c r="J699" s="12"/>
      <c r="K699" s="12"/>
      <c r="L699" s="12"/>
      <c r="M699" s="18" t="str">
        <f t="shared" si="1"/>
        <v>#DIV/0!</v>
      </c>
      <c r="N699" s="18" t="str">
        <f t="shared" si="2"/>
        <v>#DIV/0!</v>
      </c>
      <c r="O699" s="12" t="str">
        <f t="shared" si="4"/>
        <v/>
      </c>
      <c r="P699" s="18" t="str">
        <f t="shared" si="3"/>
        <v>#DIV/0!</v>
      </c>
      <c r="Q699" s="12"/>
    </row>
    <row r="700">
      <c r="A700" s="1" t="s">
        <v>2542</v>
      </c>
      <c r="B700" s="7" t="s">
        <v>2543</v>
      </c>
      <c r="C700" s="2" t="s">
        <v>477</v>
      </c>
      <c r="D700" s="7" t="s">
        <v>478</v>
      </c>
      <c r="E700" s="16"/>
      <c r="F700" s="16"/>
      <c r="G700" s="16"/>
      <c r="H700" s="17"/>
      <c r="I700" s="12"/>
      <c r="J700" s="12"/>
      <c r="K700" s="12"/>
      <c r="L700" s="12"/>
      <c r="M700" s="18" t="str">
        <f t="shared" si="1"/>
        <v>#DIV/0!</v>
      </c>
      <c r="N700" s="18" t="str">
        <f t="shared" si="2"/>
        <v>#DIV/0!</v>
      </c>
      <c r="O700" s="12" t="str">
        <f t="shared" si="4"/>
        <v/>
      </c>
      <c r="P700" s="18" t="str">
        <f t="shared" si="3"/>
        <v>#DIV/0!</v>
      </c>
      <c r="Q700" s="12"/>
    </row>
    <row r="701">
      <c r="A701" s="1" t="s">
        <v>2544</v>
      </c>
      <c r="B701" s="7" t="s">
        <v>2545</v>
      </c>
      <c r="C701" s="2" t="s">
        <v>2546</v>
      </c>
      <c r="D701" s="7" t="s">
        <v>49</v>
      </c>
      <c r="E701" s="16"/>
      <c r="F701" s="16"/>
      <c r="G701" s="16"/>
      <c r="H701" s="17"/>
      <c r="I701" s="12"/>
      <c r="J701" s="12"/>
      <c r="K701" s="12"/>
      <c r="L701" s="12"/>
      <c r="M701" s="18" t="str">
        <f t="shared" si="1"/>
        <v>#DIV/0!</v>
      </c>
      <c r="N701" s="18" t="str">
        <f t="shared" si="2"/>
        <v>#DIV/0!</v>
      </c>
      <c r="O701" s="12" t="str">
        <f t="shared" si="4"/>
        <v/>
      </c>
      <c r="P701" s="18" t="str">
        <f t="shared" si="3"/>
        <v>#DIV/0!</v>
      </c>
      <c r="Q701" s="12"/>
    </row>
    <row r="702">
      <c r="A702" s="1" t="s">
        <v>2547</v>
      </c>
      <c r="B702" s="7" t="s">
        <v>2548</v>
      </c>
      <c r="C702" s="2" t="s">
        <v>2549</v>
      </c>
      <c r="D702" s="1" t="s">
        <v>2550</v>
      </c>
      <c r="E702" s="16"/>
      <c r="F702" s="16"/>
      <c r="G702" s="16"/>
      <c r="H702" s="17"/>
      <c r="I702" s="12"/>
      <c r="J702" s="12"/>
      <c r="K702" s="12"/>
      <c r="L702" s="12"/>
      <c r="M702" s="18" t="str">
        <f t="shared" si="1"/>
        <v>#DIV/0!</v>
      </c>
      <c r="N702" s="18" t="str">
        <f t="shared" si="2"/>
        <v>#DIV/0!</v>
      </c>
      <c r="O702" s="12" t="str">
        <f t="shared" si="4"/>
        <v/>
      </c>
      <c r="P702" s="18" t="str">
        <f t="shared" si="3"/>
        <v>#DIV/0!</v>
      </c>
      <c r="Q702" s="12"/>
    </row>
    <row r="703">
      <c r="A703" s="1" t="s">
        <v>2551</v>
      </c>
      <c r="B703" s="7" t="s">
        <v>2552</v>
      </c>
      <c r="C703" s="2" t="s">
        <v>843</v>
      </c>
      <c r="D703" s="7" t="s">
        <v>844</v>
      </c>
      <c r="E703" s="16"/>
      <c r="F703" s="16"/>
      <c r="G703" s="16"/>
      <c r="H703" s="17"/>
      <c r="I703" s="12"/>
      <c r="J703" s="12"/>
      <c r="K703" s="12"/>
      <c r="L703" s="12"/>
      <c r="M703" s="18" t="str">
        <f t="shared" si="1"/>
        <v>#DIV/0!</v>
      </c>
      <c r="N703" s="18" t="str">
        <f t="shared" si="2"/>
        <v>#DIV/0!</v>
      </c>
      <c r="O703" s="12" t="str">
        <f t="shared" si="4"/>
        <v/>
      </c>
      <c r="P703" s="18" t="str">
        <f t="shared" si="3"/>
        <v>#DIV/0!</v>
      </c>
      <c r="Q703" s="12"/>
    </row>
    <row r="704">
      <c r="A704" s="1" t="s">
        <v>2553</v>
      </c>
      <c r="B704" s="7" t="s">
        <v>2554</v>
      </c>
      <c r="C704" s="2" t="s">
        <v>2555</v>
      </c>
      <c r="D704" s="7" t="s">
        <v>137</v>
      </c>
      <c r="E704" s="16"/>
      <c r="F704" s="16"/>
      <c r="G704" s="16"/>
      <c r="H704" s="17"/>
      <c r="I704" s="12"/>
      <c r="J704" s="12"/>
      <c r="K704" s="12"/>
      <c r="L704" s="12"/>
      <c r="M704" s="18" t="str">
        <f t="shared" si="1"/>
        <v>#DIV/0!</v>
      </c>
      <c r="N704" s="18" t="str">
        <f t="shared" si="2"/>
        <v>#DIV/0!</v>
      </c>
      <c r="O704" s="12" t="str">
        <f t="shared" si="4"/>
        <v/>
      </c>
      <c r="P704" s="18" t="str">
        <f t="shared" si="3"/>
        <v>#DIV/0!</v>
      </c>
      <c r="Q704" s="12"/>
    </row>
    <row r="705">
      <c r="A705" s="1" t="s">
        <v>2556</v>
      </c>
      <c r="B705" s="7" t="s">
        <v>2557</v>
      </c>
      <c r="C705" s="2" t="s">
        <v>2558</v>
      </c>
      <c r="D705" s="7" t="s">
        <v>2559</v>
      </c>
      <c r="E705" s="16"/>
      <c r="F705" s="16"/>
      <c r="G705" s="16"/>
      <c r="H705" s="17"/>
      <c r="I705" s="12"/>
      <c r="J705" s="12"/>
      <c r="K705" s="12"/>
      <c r="L705" s="12"/>
      <c r="M705" s="18" t="str">
        <f t="shared" si="1"/>
        <v>#DIV/0!</v>
      </c>
      <c r="N705" s="18" t="str">
        <f t="shared" si="2"/>
        <v>#DIV/0!</v>
      </c>
      <c r="O705" s="12" t="str">
        <f t="shared" si="4"/>
        <v/>
      </c>
      <c r="P705" s="18" t="str">
        <f t="shared" si="3"/>
        <v>#DIV/0!</v>
      </c>
      <c r="Q705" s="12"/>
    </row>
    <row r="706">
      <c r="A706" s="1" t="s">
        <v>2560</v>
      </c>
      <c r="B706" s="7" t="s">
        <v>2561</v>
      </c>
      <c r="C706" s="2" t="s">
        <v>2373</v>
      </c>
      <c r="D706" s="7" t="s">
        <v>2374</v>
      </c>
      <c r="E706" s="16"/>
      <c r="F706" s="16"/>
      <c r="G706" s="16"/>
      <c r="H706" s="17"/>
      <c r="I706" s="12"/>
      <c r="J706" s="12"/>
      <c r="K706" s="12"/>
      <c r="L706" s="12"/>
      <c r="M706" s="18" t="str">
        <f t="shared" si="1"/>
        <v>#DIV/0!</v>
      </c>
      <c r="N706" s="18" t="str">
        <f t="shared" si="2"/>
        <v>#DIV/0!</v>
      </c>
      <c r="O706" s="12" t="str">
        <f t="shared" si="4"/>
        <v/>
      </c>
      <c r="P706" s="18" t="str">
        <f t="shared" si="3"/>
        <v>#DIV/0!</v>
      </c>
      <c r="Q706" s="12"/>
    </row>
    <row r="707">
      <c r="A707" s="1" t="s">
        <v>2562</v>
      </c>
      <c r="B707" s="7" t="s">
        <v>2563</v>
      </c>
      <c r="C707" s="2" t="s">
        <v>2564</v>
      </c>
      <c r="D707" s="7" t="s">
        <v>1014</v>
      </c>
      <c r="E707" s="16"/>
      <c r="F707" s="16"/>
      <c r="G707" s="16"/>
      <c r="H707" s="17"/>
      <c r="I707" s="12"/>
      <c r="J707" s="12"/>
      <c r="K707" s="12"/>
      <c r="L707" s="12"/>
      <c r="M707" s="18" t="str">
        <f t="shared" si="1"/>
        <v>#DIV/0!</v>
      </c>
      <c r="N707" s="18" t="str">
        <f t="shared" si="2"/>
        <v>#DIV/0!</v>
      </c>
      <c r="O707" s="12" t="str">
        <f t="shared" si="4"/>
        <v/>
      </c>
      <c r="P707" s="18" t="str">
        <f t="shared" si="3"/>
        <v>#DIV/0!</v>
      </c>
      <c r="Q707" s="12"/>
    </row>
    <row r="708">
      <c r="A708" s="1" t="s">
        <v>2565</v>
      </c>
      <c r="B708" s="7" t="s">
        <v>2566</v>
      </c>
      <c r="C708" s="2" t="s">
        <v>2567</v>
      </c>
      <c r="D708" s="1" t="s">
        <v>2568</v>
      </c>
      <c r="E708" s="16"/>
      <c r="F708" s="16"/>
      <c r="G708" s="16"/>
      <c r="H708" s="17"/>
      <c r="I708" s="12"/>
      <c r="J708" s="12"/>
      <c r="K708" s="12"/>
      <c r="L708" s="12"/>
      <c r="M708" s="18" t="str">
        <f t="shared" si="1"/>
        <v>#DIV/0!</v>
      </c>
      <c r="N708" s="18" t="str">
        <f t="shared" si="2"/>
        <v>#DIV/0!</v>
      </c>
      <c r="O708" s="12" t="str">
        <f t="shared" si="4"/>
        <v/>
      </c>
      <c r="P708" s="18" t="str">
        <f t="shared" si="3"/>
        <v>#DIV/0!</v>
      </c>
      <c r="Q708" s="12"/>
    </row>
    <row r="709">
      <c r="A709" s="1" t="s">
        <v>2569</v>
      </c>
      <c r="B709" s="7" t="s">
        <v>2570</v>
      </c>
      <c r="C709" s="2" t="s">
        <v>2571</v>
      </c>
      <c r="D709" s="1" t="s">
        <v>2572</v>
      </c>
      <c r="E709" s="16"/>
      <c r="F709" s="16"/>
      <c r="G709" s="16"/>
      <c r="H709" s="17"/>
      <c r="I709" s="12"/>
      <c r="J709" s="12"/>
      <c r="K709" s="12"/>
      <c r="L709" s="12"/>
      <c r="M709" s="18" t="str">
        <f t="shared" si="1"/>
        <v>#DIV/0!</v>
      </c>
      <c r="N709" s="18" t="str">
        <f t="shared" si="2"/>
        <v>#DIV/0!</v>
      </c>
      <c r="O709" s="12" t="str">
        <f t="shared" si="4"/>
        <v/>
      </c>
      <c r="P709" s="18" t="str">
        <f t="shared" si="3"/>
        <v>#DIV/0!</v>
      </c>
      <c r="Q709" s="12"/>
    </row>
    <row r="710">
      <c r="A710" s="1" t="s">
        <v>2573</v>
      </c>
      <c r="B710" s="7" t="s">
        <v>2574</v>
      </c>
      <c r="C710" s="2" t="s">
        <v>2575</v>
      </c>
      <c r="D710" s="1" t="s">
        <v>2576</v>
      </c>
      <c r="E710" s="16"/>
      <c r="F710" s="16"/>
      <c r="G710" s="16"/>
      <c r="H710" s="17"/>
      <c r="I710" s="12"/>
      <c r="J710" s="12"/>
      <c r="K710" s="12"/>
      <c r="L710" s="12"/>
      <c r="M710" s="18" t="str">
        <f t="shared" si="1"/>
        <v>#DIV/0!</v>
      </c>
      <c r="N710" s="18" t="str">
        <f t="shared" si="2"/>
        <v>#DIV/0!</v>
      </c>
      <c r="O710" s="12" t="str">
        <f t="shared" si="4"/>
        <v/>
      </c>
      <c r="P710" s="18" t="str">
        <f t="shared" si="3"/>
        <v>#DIV/0!</v>
      </c>
      <c r="Q710" s="12"/>
    </row>
    <row r="711">
      <c r="A711" s="1" t="s">
        <v>2577</v>
      </c>
      <c r="B711" s="7" t="s">
        <v>2578</v>
      </c>
      <c r="C711" s="2" t="s">
        <v>2579</v>
      </c>
      <c r="D711" s="1" t="s">
        <v>2580</v>
      </c>
      <c r="E711" s="16"/>
      <c r="F711" s="16"/>
      <c r="G711" s="16"/>
      <c r="H711" s="17"/>
      <c r="I711" s="12"/>
      <c r="J711" s="12"/>
      <c r="K711" s="12"/>
      <c r="L711" s="12"/>
      <c r="M711" s="18" t="str">
        <f t="shared" si="1"/>
        <v>#DIV/0!</v>
      </c>
      <c r="N711" s="18" t="str">
        <f t="shared" si="2"/>
        <v>#DIV/0!</v>
      </c>
      <c r="O711" s="12" t="str">
        <f t="shared" si="4"/>
        <v/>
      </c>
      <c r="P711" s="18" t="str">
        <f t="shared" si="3"/>
        <v>#DIV/0!</v>
      </c>
      <c r="Q711" s="12"/>
    </row>
    <row r="712">
      <c r="A712" s="1" t="s">
        <v>2581</v>
      </c>
      <c r="B712" s="7" t="s">
        <v>2582</v>
      </c>
      <c r="C712" s="2" t="s">
        <v>2583</v>
      </c>
      <c r="D712" s="1" t="s">
        <v>2584</v>
      </c>
      <c r="E712" s="16"/>
      <c r="F712" s="16"/>
      <c r="G712" s="16"/>
      <c r="H712" s="17"/>
      <c r="I712" s="12"/>
      <c r="J712" s="12"/>
      <c r="K712" s="12"/>
      <c r="L712" s="12"/>
      <c r="M712" s="18" t="str">
        <f t="shared" si="1"/>
        <v>#DIV/0!</v>
      </c>
      <c r="N712" s="18" t="str">
        <f t="shared" si="2"/>
        <v>#DIV/0!</v>
      </c>
      <c r="O712" s="12" t="str">
        <f t="shared" si="4"/>
        <v/>
      </c>
      <c r="P712" s="18" t="str">
        <f t="shared" si="3"/>
        <v>#DIV/0!</v>
      </c>
      <c r="Q712" s="12"/>
    </row>
    <row r="713">
      <c r="A713" s="1" t="s">
        <v>2585</v>
      </c>
      <c r="B713" s="7" t="s">
        <v>2586</v>
      </c>
      <c r="C713" s="2" t="s">
        <v>316</v>
      </c>
      <c r="D713" s="7" t="s">
        <v>77</v>
      </c>
      <c r="E713" s="16"/>
      <c r="F713" s="16"/>
      <c r="G713" s="16"/>
      <c r="H713" s="17"/>
      <c r="I713" s="12"/>
      <c r="J713" s="12"/>
      <c r="K713" s="12"/>
      <c r="L713" s="12"/>
      <c r="M713" s="18" t="str">
        <f t="shared" si="1"/>
        <v>#DIV/0!</v>
      </c>
      <c r="N713" s="18" t="str">
        <f t="shared" si="2"/>
        <v>#DIV/0!</v>
      </c>
      <c r="O713" s="12" t="str">
        <f t="shared" si="4"/>
        <v/>
      </c>
      <c r="P713" s="18" t="str">
        <f t="shared" si="3"/>
        <v>#DIV/0!</v>
      </c>
      <c r="Q713" s="12"/>
    </row>
    <row r="714">
      <c r="A714" s="1" t="s">
        <v>2587</v>
      </c>
      <c r="B714" s="7" t="s">
        <v>2588</v>
      </c>
      <c r="C714" s="2" t="s">
        <v>2589</v>
      </c>
      <c r="D714" s="7" t="s">
        <v>2236</v>
      </c>
      <c r="E714" s="16"/>
      <c r="F714" s="16"/>
      <c r="G714" s="16"/>
      <c r="H714" s="17"/>
      <c r="I714" s="12"/>
      <c r="J714" s="12"/>
      <c r="K714" s="12"/>
      <c r="L714" s="12"/>
      <c r="M714" s="18" t="str">
        <f t="shared" si="1"/>
        <v>#DIV/0!</v>
      </c>
      <c r="N714" s="18" t="str">
        <f t="shared" si="2"/>
        <v>#DIV/0!</v>
      </c>
      <c r="O714" s="12" t="str">
        <f t="shared" si="4"/>
        <v/>
      </c>
      <c r="P714" s="18" t="str">
        <f t="shared" si="3"/>
        <v>#DIV/0!</v>
      </c>
      <c r="Q714" s="12"/>
    </row>
    <row r="715">
      <c r="A715" s="1" t="s">
        <v>2590</v>
      </c>
      <c r="B715" s="7" t="s">
        <v>2591</v>
      </c>
      <c r="C715" s="2" t="s">
        <v>584</v>
      </c>
      <c r="D715" s="7" t="s">
        <v>585</v>
      </c>
      <c r="E715" s="16"/>
      <c r="F715" s="16"/>
      <c r="G715" s="16"/>
      <c r="H715" s="17"/>
      <c r="I715" s="12"/>
      <c r="J715" s="12"/>
      <c r="K715" s="12"/>
      <c r="L715" s="12"/>
      <c r="M715" s="18" t="str">
        <f t="shared" si="1"/>
        <v>#DIV/0!</v>
      </c>
      <c r="N715" s="18" t="str">
        <f t="shared" si="2"/>
        <v>#DIV/0!</v>
      </c>
      <c r="O715" s="12" t="str">
        <f t="shared" si="4"/>
        <v/>
      </c>
      <c r="P715" s="18" t="str">
        <f t="shared" si="3"/>
        <v>#DIV/0!</v>
      </c>
      <c r="Q715" s="12"/>
    </row>
    <row r="716">
      <c r="A716" s="1" t="s">
        <v>2592</v>
      </c>
      <c r="B716" s="7" t="s">
        <v>2593</v>
      </c>
      <c r="C716" s="2" t="s">
        <v>2594</v>
      </c>
      <c r="D716" s="7" t="s">
        <v>1105</v>
      </c>
      <c r="E716" s="16"/>
      <c r="F716" s="16"/>
      <c r="G716" s="16"/>
      <c r="H716" s="17"/>
      <c r="I716" s="12"/>
      <c r="J716" s="12"/>
      <c r="K716" s="12"/>
      <c r="L716" s="12"/>
      <c r="M716" s="18" t="str">
        <f t="shared" si="1"/>
        <v>#DIV/0!</v>
      </c>
      <c r="N716" s="18" t="str">
        <f t="shared" si="2"/>
        <v>#DIV/0!</v>
      </c>
      <c r="O716" s="12" t="str">
        <f t="shared" si="4"/>
        <v/>
      </c>
      <c r="P716" s="18" t="str">
        <f t="shared" si="3"/>
        <v>#DIV/0!</v>
      </c>
      <c r="Q716" s="12"/>
    </row>
    <row r="717">
      <c r="A717" s="1" t="s">
        <v>2595</v>
      </c>
      <c r="B717" s="7" t="s">
        <v>2596</v>
      </c>
      <c r="C717" s="2" t="s">
        <v>2597</v>
      </c>
      <c r="D717" s="7" t="s">
        <v>2598</v>
      </c>
      <c r="E717" s="16"/>
      <c r="F717" s="16"/>
      <c r="G717" s="16"/>
      <c r="H717" s="17"/>
      <c r="I717" s="12"/>
      <c r="J717" s="12"/>
      <c r="K717" s="12"/>
      <c r="L717" s="12"/>
      <c r="M717" s="18" t="str">
        <f t="shared" si="1"/>
        <v>#DIV/0!</v>
      </c>
      <c r="N717" s="18" t="str">
        <f t="shared" si="2"/>
        <v>#DIV/0!</v>
      </c>
      <c r="O717" s="12" t="str">
        <f t="shared" si="4"/>
        <v/>
      </c>
      <c r="P717" s="18" t="str">
        <f t="shared" si="3"/>
        <v>#DIV/0!</v>
      </c>
      <c r="Q717" s="12"/>
    </row>
    <row r="718">
      <c r="A718" s="1" t="s">
        <v>2599</v>
      </c>
      <c r="B718" s="7" t="s">
        <v>2600</v>
      </c>
      <c r="C718" s="2" t="s">
        <v>136</v>
      </c>
      <c r="D718" s="7" t="s">
        <v>137</v>
      </c>
      <c r="E718" s="16"/>
      <c r="F718" s="16"/>
      <c r="G718" s="16"/>
      <c r="H718" s="17"/>
      <c r="I718" s="12"/>
      <c r="J718" s="12"/>
      <c r="K718" s="12"/>
      <c r="L718" s="12"/>
      <c r="M718" s="18" t="str">
        <f t="shared" si="1"/>
        <v>#DIV/0!</v>
      </c>
      <c r="N718" s="18" t="str">
        <f t="shared" si="2"/>
        <v>#DIV/0!</v>
      </c>
      <c r="O718" s="12" t="str">
        <f t="shared" si="4"/>
        <v/>
      </c>
      <c r="P718" s="18" t="str">
        <f t="shared" si="3"/>
        <v>#DIV/0!</v>
      </c>
      <c r="Q718" s="12"/>
    </row>
    <row r="719">
      <c r="A719" s="1" t="s">
        <v>2601</v>
      </c>
      <c r="B719" s="7" t="s">
        <v>2602</v>
      </c>
      <c r="C719" s="2" t="s">
        <v>2603</v>
      </c>
      <c r="D719" s="1" t="s">
        <v>2604</v>
      </c>
      <c r="E719" s="16"/>
      <c r="F719" s="16"/>
      <c r="G719" s="16"/>
      <c r="H719" s="17"/>
      <c r="I719" s="12"/>
      <c r="J719" s="12"/>
      <c r="K719" s="12"/>
      <c r="L719" s="12"/>
      <c r="M719" s="18" t="str">
        <f t="shared" si="1"/>
        <v>#DIV/0!</v>
      </c>
      <c r="N719" s="18" t="str">
        <f t="shared" si="2"/>
        <v>#DIV/0!</v>
      </c>
      <c r="O719" s="12" t="str">
        <f t="shared" si="4"/>
        <v/>
      </c>
      <c r="P719" s="18" t="str">
        <f t="shared" si="3"/>
        <v>#DIV/0!</v>
      </c>
      <c r="Q719" s="12"/>
    </row>
    <row r="720">
      <c r="A720" s="1" t="s">
        <v>2605</v>
      </c>
      <c r="B720" s="7" t="s">
        <v>2606</v>
      </c>
      <c r="C720" s="2" t="s">
        <v>2607</v>
      </c>
      <c r="D720" s="7" t="s">
        <v>2608</v>
      </c>
      <c r="E720" s="16"/>
      <c r="F720" s="16"/>
      <c r="G720" s="16"/>
      <c r="H720" s="17"/>
      <c r="I720" s="12"/>
      <c r="J720" s="12"/>
      <c r="K720" s="12"/>
      <c r="L720" s="12"/>
      <c r="M720" s="18" t="str">
        <f t="shared" si="1"/>
        <v>#DIV/0!</v>
      </c>
      <c r="N720" s="18" t="str">
        <f t="shared" si="2"/>
        <v>#DIV/0!</v>
      </c>
      <c r="O720" s="12" t="str">
        <f t="shared" si="4"/>
        <v/>
      </c>
      <c r="P720" s="18" t="str">
        <f t="shared" si="3"/>
        <v>#DIV/0!</v>
      </c>
      <c r="Q720" s="12"/>
    </row>
    <row r="721">
      <c r="A721" s="1" t="s">
        <v>2609</v>
      </c>
      <c r="B721" s="7" t="s">
        <v>2610</v>
      </c>
      <c r="C721" s="2" t="s">
        <v>2611</v>
      </c>
      <c r="D721" s="7" t="s">
        <v>2612</v>
      </c>
      <c r="E721" s="16"/>
      <c r="F721" s="16"/>
      <c r="G721" s="16"/>
      <c r="H721" s="17"/>
      <c r="I721" s="12"/>
      <c r="J721" s="12"/>
      <c r="K721" s="12"/>
      <c r="L721" s="12"/>
      <c r="M721" s="18" t="str">
        <f t="shared" si="1"/>
        <v>#DIV/0!</v>
      </c>
      <c r="N721" s="18" t="str">
        <f t="shared" si="2"/>
        <v>#DIV/0!</v>
      </c>
      <c r="O721" s="12" t="str">
        <f t="shared" si="4"/>
        <v/>
      </c>
      <c r="P721" s="18" t="str">
        <f t="shared" si="3"/>
        <v>#DIV/0!</v>
      </c>
      <c r="Q721" s="12"/>
    </row>
    <row r="722">
      <c r="A722" s="1" t="s">
        <v>2613</v>
      </c>
      <c r="B722" s="7" t="s">
        <v>2614</v>
      </c>
      <c r="C722" s="2" t="s">
        <v>2615</v>
      </c>
      <c r="D722" s="1" t="s">
        <v>2616</v>
      </c>
      <c r="E722" s="16"/>
      <c r="F722" s="16"/>
      <c r="G722" s="16"/>
      <c r="H722" s="17"/>
      <c r="I722" s="12"/>
      <c r="J722" s="12"/>
      <c r="K722" s="12"/>
      <c r="L722" s="12"/>
      <c r="M722" s="18" t="str">
        <f t="shared" si="1"/>
        <v>#DIV/0!</v>
      </c>
      <c r="N722" s="18" t="str">
        <f t="shared" si="2"/>
        <v>#DIV/0!</v>
      </c>
      <c r="O722" s="12" t="str">
        <f t="shared" si="4"/>
        <v/>
      </c>
      <c r="P722" s="18" t="str">
        <f t="shared" si="3"/>
        <v>#DIV/0!</v>
      </c>
      <c r="Q722" s="12"/>
    </row>
    <row r="723">
      <c r="A723" s="1" t="s">
        <v>2617</v>
      </c>
      <c r="B723" s="7" t="s">
        <v>2618</v>
      </c>
      <c r="C723" s="2" t="s">
        <v>2619</v>
      </c>
      <c r="D723" s="1" t="s">
        <v>2620</v>
      </c>
      <c r="E723" s="16"/>
      <c r="F723" s="16"/>
      <c r="G723" s="16"/>
      <c r="H723" s="17"/>
      <c r="I723" s="12"/>
      <c r="J723" s="12"/>
      <c r="K723" s="12"/>
      <c r="L723" s="12"/>
      <c r="M723" s="18" t="str">
        <f t="shared" si="1"/>
        <v>#DIV/0!</v>
      </c>
      <c r="N723" s="18" t="str">
        <f t="shared" si="2"/>
        <v>#DIV/0!</v>
      </c>
      <c r="O723" s="12" t="str">
        <f t="shared" si="4"/>
        <v/>
      </c>
      <c r="P723" s="18" t="str">
        <f t="shared" si="3"/>
        <v>#DIV/0!</v>
      </c>
      <c r="Q723" s="12"/>
    </row>
    <row r="724">
      <c r="A724" s="1" t="s">
        <v>2621</v>
      </c>
      <c r="B724" s="7" t="s">
        <v>2622</v>
      </c>
      <c r="C724" s="2" t="s">
        <v>2623</v>
      </c>
      <c r="D724" s="7" t="s">
        <v>41</v>
      </c>
      <c r="E724" s="16"/>
      <c r="F724" s="16"/>
      <c r="G724" s="16"/>
      <c r="H724" s="17"/>
      <c r="I724" s="12"/>
      <c r="J724" s="12"/>
      <c r="K724" s="12"/>
      <c r="L724" s="12"/>
      <c r="M724" s="18" t="str">
        <f t="shared" si="1"/>
        <v>#DIV/0!</v>
      </c>
      <c r="N724" s="18" t="str">
        <f t="shared" si="2"/>
        <v>#DIV/0!</v>
      </c>
      <c r="O724" s="12" t="str">
        <f t="shared" si="4"/>
        <v/>
      </c>
      <c r="P724" s="18" t="str">
        <f t="shared" si="3"/>
        <v>#DIV/0!</v>
      </c>
      <c r="Q724" s="12"/>
    </row>
    <row r="725">
      <c r="A725" s="1" t="s">
        <v>2624</v>
      </c>
      <c r="B725" s="7" t="s">
        <v>2625</v>
      </c>
      <c r="C725" s="2" t="s">
        <v>2626</v>
      </c>
      <c r="D725" s="1" t="s">
        <v>2627</v>
      </c>
      <c r="E725" s="16"/>
      <c r="F725" s="16"/>
      <c r="G725" s="16"/>
      <c r="H725" s="17"/>
      <c r="I725" s="12"/>
      <c r="J725" s="12"/>
      <c r="K725" s="12"/>
      <c r="L725" s="12"/>
      <c r="M725" s="18" t="str">
        <f t="shared" si="1"/>
        <v>#DIV/0!</v>
      </c>
      <c r="N725" s="18" t="str">
        <f t="shared" si="2"/>
        <v>#DIV/0!</v>
      </c>
      <c r="O725" s="12" t="str">
        <f t="shared" si="4"/>
        <v/>
      </c>
      <c r="P725" s="18" t="str">
        <f t="shared" si="3"/>
        <v>#DIV/0!</v>
      </c>
      <c r="Q725" s="12"/>
    </row>
    <row r="726">
      <c r="A726" s="1" t="s">
        <v>2628</v>
      </c>
      <c r="B726" s="7" t="s">
        <v>2629</v>
      </c>
      <c r="C726" s="2" t="s">
        <v>2630</v>
      </c>
      <c r="D726" s="1" t="s">
        <v>2631</v>
      </c>
      <c r="E726" s="16"/>
      <c r="F726" s="16"/>
      <c r="G726" s="16"/>
      <c r="H726" s="17"/>
      <c r="I726" s="12"/>
      <c r="J726" s="12"/>
      <c r="K726" s="12"/>
      <c r="L726" s="12"/>
      <c r="M726" s="18" t="str">
        <f t="shared" si="1"/>
        <v>#DIV/0!</v>
      </c>
      <c r="N726" s="18" t="str">
        <f t="shared" si="2"/>
        <v>#DIV/0!</v>
      </c>
      <c r="O726" s="12" t="str">
        <f t="shared" si="4"/>
        <v/>
      </c>
      <c r="P726" s="18" t="str">
        <f t="shared" si="3"/>
        <v>#DIV/0!</v>
      </c>
      <c r="Q726" s="12"/>
    </row>
    <row r="727">
      <c r="A727" s="1" t="s">
        <v>2632</v>
      </c>
      <c r="B727" s="7" t="s">
        <v>2633</v>
      </c>
      <c r="C727" s="2" t="s">
        <v>2634</v>
      </c>
      <c r="D727" s="7" t="s">
        <v>2635</v>
      </c>
      <c r="E727" s="16"/>
      <c r="F727" s="16"/>
      <c r="G727" s="16"/>
      <c r="H727" s="17"/>
      <c r="I727" s="12"/>
      <c r="J727" s="12"/>
      <c r="K727" s="12"/>
      <c r="L727" s="12"/>
      <c r="M727" s="18" t="str">
        <f t="shared" si="1"/>
        <v>#DIV/0!</v>
      </c>
      <c r="N727" s="18" t="str">
        <f t="shared" si="2"/>
        <v>#DIV/0!</v>
      </c>
      <c r="O727" s="12" t="str">
        <f t="shared" si="4"/>
        <v/>
      </c>
      <c r="P727" s="18" t="str">
        <f t="shared" si="3"/>
        <v>#DIV/0!</v>
      </c>
      <c r="Q727" s="12"/>
    </row>
    <row r="728">
      <c r="A728" s="1" t="s">
        <v>2636</v>
      </c>
      <c r="B728" s="7" t="s">
        <v>2637</v>
      </c>
      <c r="C728" s="2" t="s">
        <v>2638</v>
      </c>
      <c r="D728" s="7" t="s">
        <v>2639</v>
      </c>
      <c r="E728" s="16"/>
      <c r="F728" s="16"/>
      <c r="G728" s="16"/>
      <c r="H728" s="17"/>
      <c r="I728" s="12"/>
      <c r="J728" s="12"/>
      <c r="K728" s="12"/>
      <c r="L728" s="12"/>
      <c r="M728" s="18" t="str">
        <f t="shared" si="1"/>
        <v>#DIV/0!</v>
      </c>
      <c r="N728" s="18" t="str">
        <f t="shared" si="2"/>
        <v>#DIV/0!</v>
      </c>
      <c r="O728" s="12" t="str">
        <f t="shared" si="4"/>
        <v/>
      </c>
      <c r="P728" s="18" t="str">
        <f t="shared" si="3"/>
        <v>#DIV/0!</v>
      </c>
      <c r="Q728" s="12"/>
    </row>
    <row r="729">
      <c r="A729" s="1" t="s">
        <v>2640</v>
      </c>
      <c r="B729" s="7" t="s">
        <v>2641</v>
      </c>
      <c r="C729" s="2" t="s">
        <v>2642</v>
      </c>
      <c r="D729" s="1" t="s">
        <v>908</v>
      </c>
      <c r="E729" s="16"/>
      <c r="F729" s="16"/>
      <c r="G729" s="16"/>
      <c r="H729" s="17"/>
      <c r="I729" s="12"/>
      <c r="J729" s="12"/>
      <c r="K729" s="12"/>
      <c r="L729" s="12"/>
      <c r="M729" s="18" t="str">
        <f t="shared" si="1"/>
        <v>#DIV/0!</v>
      </c>
      <c r="N729" s="18" t="str">
        <f t="shared" si="2"/>
        <v>#DIV/0!</v>
      </c>
      <c r="O729" s="12" t="str">
        <f t="shared" si="4"/>
        <v/>
      </c>
      <c r="P729" s="18" t="str">
        <f t="shared" si="3"/>
        <v>#DIV/0!</v>
      </c>
      <c r="Q729" s="12"/>
    </row>
    <row r="730">
      <c r="A730" s="1" t="s">
        <v>2643</v>
      </c>
      <c r="B730" s="7" t="s">
        <v>2644</v>
      </c>
      <c r="C730" s="2" t="s">
        <v>2645</v>
      </c>
      <c r="D730" s="1" t="s">
        <v>2646</v>
      </c>
      <c r="E730" s="16"/>
      <c r="F730" s="16"/>
      <c r="G730" s="16"/>
      <c r="H730" s="17"/>
      <c r="I730" s="12"/>
      <c r="J730" s="12"/>
      <c r="K730" s="12"/>
      <c r="L730" s="12"/>
      <c r="M730" s="18" t="str">
        <f t="shared" si="1"/>
        <v>#DIV/0!</v>
      </c>
      <c r="N730" s="18" t="str">
        <f t="shared" si="2"/>
        <v>#DIV/0!</v>
      </c>
      <c r="O730" s="12" t="str">
        <f t="shared" si="4"/>
        <v/>
      </c>
      <c r="P730" s="18" t="str">
        <f t="shared" si="3"/>
        <v>#DIV/0!</v>
      </c>
      <c r="Q730" s="12"/>
    </row>
    <row r="731">
      <c r="A731" s="1" t="s">
        <v>2647</v>
      </c>
      <c r="B731" s="7" t="s">
        <v>2648</v>
      </c>
      <c r="C731" s="2" t="s">
        <v>2649</v>
      </c>
      <c r="D731" s="1" t="s">
        <v>2650</v>
      </c>
      <c r="E731" s="16"/>
      <c r="F731" s="16"/>
      <c r="G731" s="16"/>
      <c r="H731" s="17"/>
      <c r="I731" s="12"/>
      <c r="J731" s="12"/>
      <c r="K731" s="12"/>
      <c r="L731" s="12"/>
      <c r="M731" s="18" t="str">
        <f t="shared" si="1"/>
        <v>#DIV/0!</v>
      </c>
      <c r="N731" s="18" t="str">
        <f t="shared" si="2"/>
        <v>#DIV/0!</v>
      </c>
      <c r="O731" s="12" t="str">
        <f t="shared" si="4"/>
        <v/>
      </c>
      <c r="P731" s="18" t="str">
        <f t="shared" si="3"/>
        <v>#DIV/0!</v>
      </c>
      <c r="Q731" s="12"/>
    </row>
    <row r="732">
      <c r="A732" s="1" t="s">
        <v>2651</v>
      </c>
      <c r="B732" s="7" t="s">
        <v>2652</v>
      </c>
      <c r="C732" s="2" t="s">
        <v>2653</v>
      </c>
      <c r="D732" s="1" t="s">
        <v>2654</v>
      </c>
      <c r="E732" s="16"/>
      <c r="F732" s="16"/>
      <c r="G732" s="16"/>
      <c r="H732" s="17"/>
      <c r="I732" s="12"/>
      <c r="J732" s="12"/>
      <c r="K732" s="12"/>
      <c r="L732" s="12"/>
      <c r="M732" s="18" t="str">
        <f t="shared" si="1"/>
        <v>#DIV/0!</v>
      </c>
      <c r="N732" s="18" t="str">
        <f t="shared" si="2"/>
        <v>#DIV/0!</v>
      </c>
      <c r="O732" s="12" t="str">
        <f t="shared" si="4"/>
        <v/>
      </c>
      <c r="P732" s="18" t="str">
        <f t="shared" si="3"/>
        <v>#DIV/0!</v>
      </c>
      <c r="Q732" s="12"/>
    </row>
    <row r="733">
      <c r="A733" s="1" t="s">
        <v>2655</v>
      </c>
      <c r="B733" s="7" t="s">
        <v>2656</v>
      </c>
      <c r="C733" s="2" t="s">
        <v>1013</v>
      </c>
      <c r="D733" s="7" t="s">
        <v>1014</v>
      </c>
      <c r="E733" s="16"/>
      <c r="F733" s="16"/>
      <c r="G733" s="16"/>
      <c r="H733" s="17"/>
      <c r="I733" s="12"/>
      <c r="J733" s="12"/>
      <c r="K733" s="12"/>
      <c r="L733" s="12"/>
      <c r="M733" s="18" t="str">
        <f t="shared" si="1"/>
        <v>#DIV/0!</v>
      </c>
      <c r="N733" s="18" t="str">
        <f t="shared" si="2"/>
        <v>#DIV/0!</v>
      </c>
      <c r="O733" s="12" t="str">
        <f t="shared" si="4"/>
        <v/>
      </c>
      <c r="P733" s="18" t="str">
        <f t="shared" si="3"/>
        <v>#DIV/0!</v>
      </c>
      <c r="Q733" s="12"/>
    </row>
    <row r="734">
      <c r="A734" s="1" t="s">
        <v>2657</v>
      </c>
      <c r="B734" s="7" t="s">
        <v>2658</v>
      </c>
      <c r="C734" s="2" t="s">
        <v>1416</v>
      </c>
      <c r="D734" s="1" t="s">
        <v>864</v>
      </c>
      <c r="E734" s="16"/>
      <c r="F734" s="16"/>
      <c r="G734" s="16"/>
      <c r="H734" s="17"/>
      <c r="I734" s="12"/>
      <c r="J734" s="12"/>
      <c r="K734" s="12"/>
      <c r="L734" s="12"/>
      <c r="M734" s="18" t="str">
        <f t="shared" si="1"/>
        <v>#DIV/0!</v>
      </c>
      <c r="N734" s="18" t="str">
        <f t="shared" si="2"/>
        <v>#DIV/0!</v>
      </c>
      <c r="O734" s="12" t="str">
        <f t="shared" si="4"/>
        <v/>
      </c>
      <c r="P734" s="18" t="str">
        <f t="shared" si="3"/>
        <v>#DIV/0!</v>
      </c>
      <c r="Q734" s="12"/>
    </row>
    <row r="735">
      <c r="A735" s="1" t="s">
        <v>2659</v>
      </c>
      <c r="B735" s="7" t="s">
        <v>2660</v>
      </c>
      <c r="C735" s="2" t="s">
        <v>2661</v>
      </c>
      <c r="D735" s="1" t="s">
        <v>2662</v>
      </c>
      <c r="E735" s="16"/>
      <c r="F735" s="16"/>
      <c r="G735" s="16"/>
      <c r="H735" s="17"/>
      <c r="I735" s="12"/>
      <c r="J735" s="12"/>
      <c r="K735" s="12"/>
      <c r="L735" s="12"/>
      <c r="M735" s="18" t="str">
        <f t="shared" si="1"/>
        <v>#DIV/0!</v>
      </c>
      <c r="N735" s="18" t="str">
        <f t="shared" si="2"/>
        <v>#DIV/0!</v>
      </c>
      <c r="O735" s="12" t="str">
        <f t="shared" si="4"/>
        <v/>
      </c>
      <c r="P735" s="18" t="str">
        <f t="shared" si="3"/>
        <v>#DIV/0!</v>
      </c>
      <c r="Q735" s="12"/>
    </row>
    <row r="736">
      <c r="A736" s="1" t="s">
        <v>2663</v>
      </c>
      <c r="B736" s="7" t="s">
        <v>2664</v>
      </c>
      <c r="C736" s="2" t="s">
        <v>2665</v>
      </c>
      <c r="D736" s="7" t="s">
        <v>2666</v>
      </c>
      <c r="E736" s="16"/>
      <c r="F736" s="16"/>
      <c r="G736" s="16"/>
      <c r="H736" s="17"/>
      <c r="I736" s="12"/>
      <c r="J736" s="12"/>
      <c r="K736" s="12"/>
      <c r="L736" s="12"/>
      <c r="M736" s="18" t="str">
        <f t="shared" si="1"/>
        <v>#DIV/0!</v>
      </c>
      <c r="N736" s="18" t="str">
        <f t="shared" si="2"/>
        <v>#DIV/0!</v>
      </c>
      <c r="O736" s="12" t="str">
        <f t="shared" si="4"/>
        <v/>
      </c>
      <c r="P736" s="18" t="str">
        <f t="shared" si="3"/>
        <v>#DIV/0!</v>
      </c>
      <c r="Q736" s="12"/>
    </row>
    <row r="737">
      <c r="A737" s="1" t="s">
        <v>2667</v>
      </c>
      <c r="B737" s="7" t="s">
        <v>2668</v>
      </c>
      <c r="C737" s="2" t="s">
        <v>2669</v>
      </c>
      <c r="D737" s="7" t="s">
        <v>117</v>
      </c>
      <c r="E737" s="16"/>
      <c r="F737" s="16"/>
      <c r="G737" s="16"/>
      <c r="H737" s="17"/>
      <c r="I737" s="12"/>
      <c r="J737" s="12"/>
      <c r="K737" s="12"/>
      <c r="L737" s="12"/>
      <c r="M737" s="18" t="str">
        <f t="shared" si="1"/>
        <v>#DIV/0!</v>
      </c>
      <c r="N737" s="18" t="str">
        <f t="shared" si="2"/>
        <v>#DIV/0!</v>
      </c>
      <c r="O737" s="12" t="str">
        <f t="shared" si="4"/>
        <v/>
      </c>
      <c r="P737" s="18" t="str">
        <f t="shared" si="3"/>
        <v>#DIV/0!</v>
      </c>
      <c r="Q737" s="12"/>
    </row>
    <row r="738">
      <c r="A738" s="1" t="s">
        <v>2670</v>
      </c>
      <c r="B738" s="7" t="s">
        <v>2671</v>
      </c>
      <c r="C738" s="2" t="s">
        <v>2672</v>
      </c>
      <c r="D738" s="1" t="s">
        <v>2673</v>
      </c>
      <c r="E738" s="16"/>
      <c r="F738" s="16"/>
      <c r="G738" s="16"/>
      <c r="H738" s="17"/>
      <c r="I738" s="12"/>
      <c r="J738" s="12"/>
      <c r="K738" s="12"/>
      <c r="L738" s="12"/>
      <c r="M738" s="18" t="str">
        <f t="shared" si="1"/>
        <v>#DIV/0!</v>
      </c>
      <c r="N738" s="18" t="str">
        <f t="shared" si="2"/>
        <v>#DIV/0!</v>
      </c>
      <c r="O738" s="12" t="str">
        <f t="shared" si="4"/>
        <v/>
      </c>
      <c r="P738" s="18" t="str">
        <f t="shared" si="3"/>
        <v>#DIV/0!</v>
      </c>
      <c r="Q738" s="12"/>
    </row>
    <row r="739">
      <c r="A739" s="1" t="s">
        <v>2674</v>
      </c>
      <c r="B739" s="7" t="s">
        <v>2675</v>
      </c>
      <c r="C739" s="2" t="s">
        <v>2676</v>
      </c>
      <c r="D739" s="1" t="s">
        <v>2677</v>
      </c>
      <c r="E739" s="16"/>
      <c r="F739" s="16"/>
      <c r="G739" s="16"/>
      <c r="H739" s="17"/>
      <c r="I739" s="12"/>
      <c r="J739" s="12"/>
      <c r="K739" s="12"/>
      <c r="L739" s="12"/>
      <c r="M739" s="18" t="str">
        <f t="shared" si="1"/>
        <v>#DIV/0!</v>
      </c>
      <c r="N739" s="18" t="str">
        <f t="shared" si="2"/>
        <v>#DIV/0!</v>
      </c>
      <c r="O739" s="12" t="str">
        <f t="shared" si="4"/>
        <v/>
      </c>
      <c r="P739" s="18" t="str">
        <f t="shared" si="3"/>
        <v>#DIV/0!</v>
      </c>
      <c r="Q739" s="12"/>
    </row>
    <row r="740">
      <c r="A740" s="1" t="s">
        <v>2678</v>
      </c>
      <c r="B740" s="7" t="s">
        <v>2679</v>
      </c>
      <c r="C740" s="2" t="s">
        <v>2680</v>
      </c>
      <c r="D740" s="1" t="s">
        <v>2681</v>
      </c>
      <c r="E740" s="16"/>
      <c r="F740" s="16"/>
      <c r="G740" s="16"/>
      <c r="H740" s="17"/>
      <c r="I740" s="12"/>
      <c r="J740" s="12"/>
      <c r="K740" s="12"/>
      <c r="L740" s="12"/>
      <c r="M740" s="18" t="str">
        <f t="shared" si="1"/>
        <v>#DIV/0!</v>
      </c>
      <c r="N740" s="18" t="str">
        <f t="shared" si="2"/>
        <v>#DIV/0!</v>
      </c>
      <c r="O740" s="12" t="str">
        <f t="shared" si="4"/>
        <v/>
      </c>
      <c r="P740" s="18" t="str">
        <f t="shared" si="3"/>
        <v>#DIV/0!</v>
      </c>
      <c r="Q740" s="12"/>
    </row>
    <row r="741">
      <c r="A741" s="1" t="s">
        <v>2682</v>
      </c>
      <c r="B741" s="7" t="s">
        <v>2683</v>
      </c>
      <c r="C741" s="2" t="s">
        <v>2684</v>
      </c>
      <c r="D741" s="1" t="s">
        <v>2685</v>
      </c>
      <c r="E741" s="16"/>
      <c r="F741" s="16"/>
      <c r="G741" s="16"/>
      <c r="H741" s="17"/>
      <c r="I741" s="12"/>
      <c r="J741" s="12"/>
      <c r="K741" s="12"/>
      <c r="L741" s="12"/>
      <c r="M741" s="18" t="str">
        <f t="shared" si="1"/>
        <v>#DIV/0!</v>
      </c>
      <c r="N741" s="18" t="str">
        <f t="shared" si="2"/>
        <v>#DIV/0!</v>
      </c>
      <c r="O741" s="12" t="str">
        <f t="shared" si="4"/>
        <v/>
      </c>
      <c r="P741" s="18" t="str">
        <f t="shared" si="3"/>
        <v>#DIV/0!</v>
      </c>
      <c r="Q741" s="12"/>
    </row>
    <row r="742">
      <c r="A742" s="1" t="s">
        <v>2686</v>
      </c>
      <c r="B742" s="7" t="s">
        <v>2687</v>
      </c>
      <c r="C742" s="2" t="s">
        <v>2688</v>
      </c>
      <c r="D742" s="1" t="s">
        <v>2689</v>
      </c>
      <c r="E742" s="16"/>
      <c r="F742" s="16"/>
      <c r="G742" s="16"/>
      <c r="H742" s="17"/>
      <c r="I742" s="12"/>
      <c r="J742" s="12"/>
      <c r="K742" s="12"/>
      <c r="L742" s="12"/>
      <c r="M742" s="18" t="str">
        <f t="shared" si="1"/>
        <v>#DIV/0!</v>
      </c>
      <c r="N742" s="18" t="str">
        <f t="shared" si="2"/>
        <v>#DIV/0!</v>
      </c>
      <c r="O742" s="12" t="str">
        <f t="shared" si="4"/>
        <v/>
      </c>
      <c r="P742" s="18" t="str">
        <f t="shared" si="3"/>
        <v>#DIV/0!</v>
      </c>
      <c r="Q742" s="12"/>
    </row>
    <row r="743">
      <c r="A743" s="1" t="s">
        <v>2690</v>
      </c>
      <c r="B743" s="7" t="s">
        <v>2691</v>
      </c>
      <c r="C743" s="2" t="s">
        <v>2692</v>
      </c>
      <c r="D743" s="7" t="s">
        <v>81</v>
      </c>
      <c r="E743" s="16"/>
      <c r="F743" s="16"/>
      <c r="G743" s="16"/>
      <c r="H743" s="17"/>
      <c r="I743" s="12"/>
      <c r="J743" s="12"/>
      <c r="K743" s="12"/>
      <c r="L743" s="12"/>
      <c r="M743" s="18" t="str">
        <f t="shared" si="1"/>
        <v>#DIV/0!</v>
      </c>
      <c r="N743" s="18" t="str">
        <f t="shared" si="2"/>
        <v>#DIV/0!</v>
      </c>
      <c r="O743" s="12" t="str">
        <f t="shared" si="4"/>
        <v/>
      </c>
      <c r="P743" s="18" t="str">
        <f t="shared" si="3"/>
        <v>#DIV/0!</v>
      </c>
      <c r="Q743" s="12"/>
    </row>
    <row r="744">
      <c r="A744" s="1" t="s">
        <v>2693</v>
      </c>
      <c r="B744" s="7" t="s">
        <v>2694</v>
      </c>
      <c r="C744" s="13" t="s">
        <v>2695</v>
      </c>
      <c r="D744" s="7" t="s">
        <v>2696</v>
      </c>
      <c r="E744" s="16"/>
      <c r="F744" s="16"/>
      <c r="G744" s="16"/>
      <c r="H744" s="17"/>
      <c r="I744" s="12"/>
      <c r="J744" s="12"/>
      <c r="K744" s="12"/>
      <c r="L744" s="12"/>
      <c r="M744" s="18" t="str">
        <f t="shared" si="1"/>
        <v>#DIV/0!</v>
      </c>
      <c r="N744" s="18" t="str">
        <f t="shared" si="2"/>
        <v>#DIV/0!</v>
      </c>
      <c r="O744" s="12" t="str">
        <f t="shared" si="4"/>
        <v/>
      </c>
      <c r="P744" s="18" t="str">
        <f t="shared" si="3"/>
        <v>#DIV/0!</v>
      </c>
      <c r="Q744" s="12"/>
    </row>
    <row r="745">
      <c r="A745" s="1" t="s">
        <v>2697</v>
      </c>
      <c r="B745" s="7" t="s">
        <v>2698</v>
      </c>
      <c r="C745" s="2" t="s">
        <v>2699</v>
      </c>
      <c r="D745" s="1" t="s">
        <v>2700</v>
      </c>
      <c r="E745" s="16"/>
      <c r="F745" s="16"/>
      <c r="G745" s="16"/>
      <c r="H745" s="17"/>
      <c r="I745" s="12"/>
      <c r="J745" s="12"/>
      <c r="K745" s="12"/>
      <c r="L745" s="12"/>
      <c r="M745" s="18" t="str">
        <f t="shared" si="1"/>
        <v>#DIV/0!</v>
      </c>
      <c r="N745" s="18" t="str">
        <f t="shared" si="2"/>
        <v>#DIV/0!</v>
      </c>
      <c r="O745" s="12" t="str">
        <f t="shared" si="4"/>
        <v/>
      </c>
      <c r="P745" s="18" t="str">
        <f t="shared" si="3"/>
        <v>#DIV/0!</v>
      </c>
      <c r="Q745" s="12"/>
    </row>
    <row r="746">
      <c r="A746" s="1" t="s">
        <v>2701</v>
      </c>
      <c r="B746" s="7" t="s">
        <v>2702</v>
      </c>
      <c r="C746" s="2" t="s">
        <v>2703</v>
      </c>
      <c r="D746" s="1" t="s">
        <v>2704</v>
      </c>
      <c r="E746" s="16"/>
      <c r="F746" s="16"/>
      <c r="G746" s="16"/>
      <c r="H746" s="17"/>
      <c r="I746" s="12"/>
      <c r="J746" s="12"/>
      <c r="K746" s="12"/>
      <c r="L746" s="12"/>
      <c r="M746" s="18" t="str">
        <f t="shared" si="1"/>
        <v>#DIV/0!</v>
      </c>
      <c r="N746" s="18" t="str">
        <f t="shared" si="2"/>
        <v>#DIV/0!</v>
      </c>
      <c r="O746" s="12" t="str">
        <f t="shared" si="4"/>
        <v/>
      </c>
      <c r="P746" s="18" t="str">
        <f t="shared" si="3"/>
        <v>#DIV/0!</v>
      </c>
      <c r="Q746" s="12"/>
    </row>
    <row r="747">
      <c r="A747" s="1" t="s">
        <v>2705</v>
      </c>
      <c r="B747" s="7" t="s">
        <v>2706</v>
      </c>
      <c r="C747" s="2" t="s">
        <v>2707</v>
      </c>
      <c r="D747" s="7" t="s">
        <v>2708</v>
      </c>
      <c r="E747" s="16"/>
      <c r="F747" s="16"/>
      <c r="G747" s="16"/>
      <c r="H747" s="17"/>
      <c r="I747" s="12"/>
      <c r="J747" s="12"/>
      <c r="K747" s="12"/>
      <c r="L747" s="12"/>
      <c r="M747" s="18" t="str">
        <f t="shared" si="1"/>
        <v>#DIV/0!</v>
      </c>
      <c r="N747" s="18" t="str">
        <f t="shared" si="2"/>
        <v>#DIV/0!</v>
      </c>
      <c r="O747" s="12" t="str">
        <f t="shared" si="4"/>
        <v/>
      </c>
      <c r="P747" s="18" t="str">
        <f t="shared" si="3"/>
        <v>#DIV/0!</v>
      </c>
      <c r="Q747" s="12"/>
    </row>
    <row r="748">
      <c r="A748" s="1" t="s">
        <v>2709</v>
      </c>
      <c r="B748" s="7" t="s">
        <v>2710</v>
      </c>
      <c r="C748" s="2" t="s">
        <v>2711</v>
      </c>
      <c r="D748" s="7" t="s">
        <v>2712</v>
      </c>
      <c r="E748" s="16"/>
      <c r="F748" s="16"/>
      <c r="G748" s="16"/>
      <c r="H748" s="17"/>
      <c r="I748" s="12"/>
      <c r="J748" s="12"/>
      <c r="K748" s="12"/>
      <c r="L748" s="12"/>
      <c r="M748" s="18" t="str">
        <f t="shared" si="1"/>
        <v>#DIV/0!</v>
      </c>
      <c r="N748" s="18" t="str">
        <f t="shared" si="2"/>
        <v>#DIV/0!</v>
      </c>
      <c r="O748" s="12" t="str">
        <f t="shared" si="4"/>
        <v/>
      </c>
      <c r="P748" s="18" t="str">
        <f t="shared" si="3"/>
        <v>#DIV/0!</v>
      </c>
      <c r="Q748" s="12"/>
    </row>
    <row r="749">
      <c r="A749" s="1" t="s">
        <v>2713</v>
      </c>
      <c r="B749" s="7" t="s">
        <v>2714</v>
      </c>
      <c r="C749" s="2" t="s">
        <v>2715</v>
      </c>
      <c r="D749" s="7" t="s">
        <v>1533</v>
      </c>
      <c r="E749" s="16"/>
      <c r="F749" s="16"/>
      <c r="G749" s="16"/>
      <c r="H749" s="17"/>
      <c r="I749" s="12"/>
      <c r="J749" s="12"/>
      <c r="K749" s="12"/>
      <c r="L749" s="12"/>
      <c r="M749" s="18" t="str">
        <f t="shared" si="1"/>
        <v>#DIV/0!</v>
      </c>
      <c r="N749" s="18" t="str">
        <f t="shared" si="2"/>
        <v>#DIV/0!</v>
      </c>
      <c r="O749" s="12" t="str">
        <f t="shared" si="4"/>
        <v/>
      </c>
      <c r="P749" s="18" t="str">
        <f t="shared" si="3"/>
        <v>#DIV/0!</v>
      </c>
      <c r="Q749" s="12"/>
    </row>
    <row r="750">
      <c r="A750" s="1" t="s">
        <v>2716</v>
      </c>
      <c r="B750" s="7" t="s">
        <v>2717</v>
      </c>
      <c r="C750" s="2" t="s">
        <v>584</v>
      </c>
      <c r="D750" s="7" t="s">
        <v>585</v>
      </c>
      <c r="E750" s="16"/>
      <c r="F750" s="16"/>
      <c r="G750" s="16"/>
      <c r="H750" s="17"/>
      <c r="I750" s="12"/>
      <c r="J750" s="12"/>
      <c r="K750" s="12"/>
      <c r="L750" s="12"/>
      <c r="M750" s="18" t="str">
        <f t="shared" si="1"/>
        <v>#DIV/0!</v>
      </c>
      <c r="N750" s="18" t="str">
        <f t="shared" si="2"/>
        <v>#DIV/0!</v>
      </c>
      <c r="O750" s="12" t="str">
        <f t="shared" si="4"/>
        <v/>
      </c>
      <c r="P750" s="18" t="str">
        <f t="shared" si="3"/>
        <v>#DIV/0!</v>
      </c>
      <c r="Q750" s="12"/>
    </row>
    <row r="751">
      <c r="A751" s="1" t="s">
        <v>2718</v>
      </c>
      <c r="B751" s="7" t="s">
        <v>2719</v>
      </c>
      <c r="C751" s="2" t="s">
        <v>2720</v>
      </c>
      <c r="D751" s="1" t="s">
        <v>2721</v>
      </c>
      <c r="E751" s="16"/>
      <c r="F751" s="16"/>
      <c r="G751" s="16"/>
      <c r="H751" s="17"/>
      <c r="I751" s="12"/>
      <c r="J751" s="12"/>
      <c r="K751" s="12"/>
      <c r="L751" s="12"/>
      <c r="M751" s="18" t="str">
        <f t="shared" si="1"/>
        <v>#DIV/0!</v>
      </c>
      <c r="N751" s="18" t="str">
        <f t="shared" si="2"/>
        <v>#DIV/0!</v>
      </c>
      <c r="O751" s="12" t="str">
        <f t="shared" si="4"/>
        <v/>
      </c>
      <c r="P751" s="18" t="str">
        <f t="shared" si="3"/>
        <v>#DIV/0!</v>
      </c>
      <c r="Q751" s="12"/>
    </row>
    <row r="752">
      <c r="A752" s="1" t="s">
        <v>2722</v>
      </c>
      <c r="B752" s="7" t="s">
        <v>2723</v>
      </c>
      <c r="C752" s="2" t="s">
        <v>2724</v>
      </c>
      <c r="D752" s="7" t="s">
        <v>2725</v>
      </c>
      <c r="E752" s="16"/>
      <c r="F752" s="16"/>
      <c r="G752" s="16"/>
      <c r="H752" s="17"/>
      <c r="I752" s="12"/>
      <c r="J752" s="12"/>
      <c r="K752" s="12"/>
      <c r="L752" s="12"/>
      <c r="M752" s="18" t="str">
        <f t="shared" si="1"/>
        <v>#DIV/0!</v>
      </c>
      <c r="N752" s="18" t="str">
        <f t="shared" si="2"/>
        <v>#DIV/0!</v>
      </c>
      <c r="O752" s="12" t="str">
        <f t="shared" si="4"/>
        <v/>
      </c>
      <c r="P752" s="18" t="str">
        <f t="shared" si="3"/>
        <v>#DIV/0!</v>
      </c>
      <c r="Q752" s="12"/>
    </row>
    <row r="753">
      <c r="A753" s="1" t="s">
        <v>2726</v>
      </c>
      <c r="B753" s="7" t="s">
        <v>2727</v>
      </c>
      <c r="C753" s="2" t="s">
        <v>2728</v>
      </c>
      <c r="D753" s="1" t="s">
        <v>2729</v>
      </c>
      <c r="E753" s="16"/>
      <c r="F753" s="16"/>
      <c r="G753" s="16"/>
      <c r="H753" s="17"/>
      <c r="I753" s="12"/>
      <c r="J753" s="12"/>
      <c r="K753" s="12"/>
      <c r="L753" s="12"/>
      <c r="M753" s="18" t="str">
        <f t="shared" si="1"/>
        <v>#DIV/0!</v>
      </c>
      <c r="N753" s="18" t="str">
        <f t="shared" si="2"/>
        <v>#DIV/0!</v>
      </c>
      <c r="O753" s="12" t="str">
        <f t="shared" si="4"/>
        <v/>
      </c>
      <c r="P753" s="18" t="str">
        <f t="shared" si="3"/>
        <v>#DIV/0!</v>
      </c>
      <c r="Q753" s="12"/>
    </row>
    <row r="754">
      <c r="A754" s="1" t="s">
        <v>2730</v>
      </c>
      <c r="B754" s="7" t="s">
        <v>2731</v>
      </c>
      <c r="C754" s="2" t="s">
        <v>2732</v>
      </c>
      <c r="D754" s="1" t="s">
        <v>2733</v>
      </c>
      <c r="E754" s="16"/>
      <c r="F754" s="16"/>
      <c r="G754" s="16"/>
      <c r="H754" s="17"/>
      <c r="I754" s="12"/>
      <c r="J754" s="12"/>
      <c r="K754" s="12"/>
      <c r="L754" s="12"/>
      <c r="M754" s="18" t="str">
        <f t="shared" si="1"/>
        <v>#DIV/0!</v>
      </c>
      <c r="N754" s="18" t="str">
        <f t="shared" si="2"/>
        <v>#DIV/0!</v>
      </c>
      <c r="O754" s="12" t="str">
        <f t="shared" si="4"/>
        <v/>
      </c>
      <c r="P754" s="18" t="str">
        <f t="shared" si="3"/>
        <v>#DIV/0!</v>
      </c>
      <c r="Q754" s="12"/>
    </row>
    <row r="755">
      <c r="A755" s="1" t="s">
        <v>2734</v>
      </c>
      <c r="B755" s="7" t="s">
        <v>2735</v>
      </c>
      <c r="C755" s="2" t="s">
        <v>176</v>
      </c>
      <c r="D755" s="7" t="s">
        <v>177</v>
      </c>
      <c r="E755" s="16"/>
      <c r="F755" s="16"/>
      <c r="G755" s="16"/>
      <c r="H755" s="17"/>
      <c r="I755" s="12"/>
      <c r="J755" s="12"/>
      <c r="K755" s="12"/>
      <c r="L755" s="12"/>
      <c r="M755" s="18" t="str">
        <f t="shared" si="1"/>
        <v>#DIV/0!</v>
      </c>
      <c r="N755" s="18" t="str">
        <f t="shared" si="2"/>
        <v>#DIV/0!</v>
      </c>
      <c r="O755" s="12" t="str">
        <f t="shared" si="4"/>
        <v/>
      </c>
      <c r="P755" s="18" t="str">
        <f t="shared" si="3"/>
        <v>#DIV/0!</v>
      </c>
      <c r="Q755" s="12"/>
    </row>
    <row r="756">
      <c r="A756" s="1" t="s">
        <v>2736</v>
      </c>
      <c r="B756" s="7" t="s">
        <v>2737</v>
      </c>
      <c r="C756" s="2" t="s">
        <v>268</v>
      </c>
      <c r="D756" s="7" t="s">
        <v>137</v>
      </c>
      <c r="E756" s="16"/>
      <c r="F756" s="16"/>
      <c r="G756" s="16"/>
      <c r="H756" s="17"/>
      <c r="I756" s="12"/>
      <c r="J756" s="12"/>
      <c r="K756" s="12"/>
      <c r="L756" s="12"/>
      <c r="M756" s="18" t="str">
        <f t="shared" si="1"/>
        <v>#DIV/0!</v>
      </c>
      <c r="N756" s="18" t="str">
        <f t="shared" si="2"/>
        <v>#DIV/0!</v>
      </c>
      <c r="O756" s="12" t="str">
        <f t="shared" si="4"/>
        <v/>
      </c>
      <c r="P756" s="18" t="str">
        <f t="shared" si="3"/>
        <v>#DIV/0!</v>
      </c>
      <c r="Q756" s="12"/>
    </row>
    <row r="757">
      <c r="A757" s="1" t="s">
        <v>2738</v>
      </c>
      <c r="B757" s="7" t="s">
        <v>2739</v>
      </c>
      <c r="C757" s="2" t="s">
        <v>2740</v>
      </c>
      <c r="D757" s="1" t="s">
        <v>2741</v>
      </c>
      <c r="E757" s="16"/>
      <c r="F757" s="16"/>
      <c r="G757" s="16"/>
      <c r="H757" s="17"/>
      <c r="I757" s="12"/>
      <c r="J757" s="12"/>
      <c r="K757" s="12"/>
      <c r="L757" s="12"/>
      <c r="M757" s="18" t="str">
        <f t="shared" si="1"/>
        <v>#DIV/0!</v>
      </c>
      <c r="N757" s="18" t="str">
        <f t="shared" si="2"/>
        <v>#DIV/0!</v>
      </c>
      <c r="O757" s="12" t="str">
        <f t="shared" si="4"/>
        <v/>
      </c>
      <c r="P757" s="18" t="str">
        <f t="shared" si="3"/>
        <v>#DIV/0!</v>
      </c>
      <c r="Q757" s="12"/>
    </row>
    <row r="758">
      <c r="A758" s="1" t="s">
        <v>2742</v>
      </c>
      <c r="B758" s="7" t="s">
        <v>2743</v>
      </c>
      <c r="C758" s="2" t="s">
        <v>2744</v>
      </c>
      <c r="D758" s="7" t="s">
        <v>2745</v>
      </c>
      <c r="E758" s="16"/>
      <c r="F758" s="16"/>
      <c r="G758" s="16"/>
      <c r="H758" s="17"/>
      <c r="I758" s="12"/>
      <c r="J758" s="12"/>
      <c r="K758" s="12"/>
      <c r="L758" s="12"/>
      <c r="M758" s="18" t="str">
        <f t="shared" si="1"/>
        <v>#DIV/0!</v>
      </c>
      <c r="N758" s="18" t="str">
        <f t="shared" si="2"/>
        <v>#DIV/0!</v>
      </c>
      <c r="O758" s="12" t="str">
        <f t="shared" si="4"/>
        <v/>
      </c>
      <c r="P758" s="18" t="str">
        <f t="shared" si="3"/>
        <v>#DIV/0!</v>
      </c>
      <c r="Q758" s="12"/>
    </row>
    <row r="759">
      <c r="A759" s="1" t="s">
        <v>2746</v>
      </c>
      <c r="B759" s="7" t="s">
        <v>2747</v>
      </c>
      <c r="C759" s="2" t="s">
        <v>2748</v>
      </c>
      <c r="D759" s="7" t="s">
        <v>2749</v>
      </c>
      <c r="E759" s="16"/>
      <c r="F759" s="16"/>
      <c r="G759" s="16"/>
      <c r="H759" s="17"/>
      <c r="I759" s="12"/>
      <c r="J759" s="12"/>
      <c r="K759" s="12"/>
      <c r="L759" s="12"/>
      <c r="M759" s="18" t="str">
        <f t="shared" si="1"/>
        <v>#DIV/0!</v>
      </c>
      <c r="N759" s="18" t="str">
        <f t="shared" si="2"/>
        <v>#DIV/0!</v>
      </c>
      <c r="O759" s="12" t="str">
        <f t="shared" si="4"/>
        <v/>
      </c>
      <c r="P759" s="18" t="str">
        <f t="shared" si="3"/>
        <v>#DIV/0!</v>
      </c>
      <c r="Q759" s="12"/>
    </row>
    <row r="760">
      <c r="A760" s="1" t="s">
        <v>2750</v>
      </c>
      <c r="B760" s="7" t="s">
        <v>2751</v>
      </c>
      <c r="C760" s="2" t="s">
        <v>1416</v>
      </c>
      <c r="D760" s="1" t="s">
        <v>864</v>
      </c>
      <c r="E760" s="16"/>
      <c r="F760" s="16"/>
      <c r="G760" s="16"/>
      <c r="H760" s="17"/>
      <c r="I760" s="12"/>
      <c r="J760" s="12"/>
      <c r="K760" s="12"/>
      <c r="L760" s="12"/>
      <c r="M760" s="18" t="str">
        <f t="shared" si="1"/>
        <v>#DIV/0!</v>
      </c>
      <c r="N760" s="18" t="str">
        <f t="shared" si="2"/>
        <v>#DIV/0!</v>
      </c>
      <c r="O760" s="12" t="str">
        <f t="shared" si="4"/>
        <v/>
      </c>
      <c r="P760" s="18" t="str">
        <f t="shared" si="3"/>
        <v>#DIV/0!</v>
      </c>
      <c r="Q760" s="12"/>
    </row>
    <row r="761">
      <c r="A761" s="1" t="s">
        <v>2752</v>
      </c>
      <c r="B761" s="7" t="s">
        <v>2753</v>
      </c>
      <c r="C761" s="2" t="s">
        <v>2754</v>
      </c>
      <c r="D761" s="1" t="s">
        <v>2755</v>
      </c>
      <c r="E761" s="16"/>
      <c r="F761" s="16"/>
      <c r="G761" s="16"/>
      <c r="H761" s="17"/>
      <c r="I761" s="12"/>
      <c r="J761" s="12"/>
      <c r="K761" s="12"/>
      <c r="L761" s="12"/>
      <c r="M761" s="18" t="str">
        <f t="shared" si="1"/>
        <v>#DIV/0!</v>
      </c>
      <c r="N761" s="18" t="str">
        <f t="shared" si="2"/>
        <v>#DIV/0!</v>
      </c>
      <c r="O761" s="12" t="str">
        <f t="shared" si="4"/>
        <v/>
      </c>
      <c r="P761" s="18" t="str">
        <f t="shared" si="3"/>
        <v>#DIV/0!</v>
      </c>
      <c r="Q761" s="12"/>
    </row>
    <row r="762">
      <c r="A762" s="1" t="s">
        <v>2756</v>
      </c>
      <c r="B762" s="7" t="s">
        <v>2757</v>
      </c>
      <c r="C762" s="2" t="s">
        <v>2758</v>
      </c>
      <c r="D762" s="1" t="s">
        <v>2759</v>
      </c>
      <c r="E762" s="16"/>
      <c r="F762" s="16"/>
      <c r="G762" s="16"/>
      <c r="H762" s="17"/>
      <c r="I762" s="12"/>
      <c r="J762" s="12"/>
      <c r="K762" s="12"/>
      <c r="L762" s="12"/>
      <c r="M762" s="18" t="str">
        <f t="shared" si="1"/>
        <v>#DIV/0!</v>
      </c>
      <c r="N762" s="18" t="str">
        <f t="shared" si="2"/>
        <v>#DIV/0!</v>
      </c>
      <c r="O762" s="12" t="str">
        <f t="shared" si="4"/>
        <v/>
      </c>
      <c r="P762" s="18" t="str">
        <f t="shared" si="3"/>
        <v>#DIV/0!</v>
      </c>
      <c r="Q762" s="12"/>
    </row>
    <row r="763">
      <c r="A763" s="1" t="s">
        <v>2760</v>
      </c>
      <c r="B763" s="7" t="s">
        <v>2761</v>
      </c>
      <c r="C763" s="2" t="s">
        <v>2762</v>
      </c>
      <c r="D763" s="1" t="s">
        <v>1555</v>
      </c>
      <c r="E763" s="16"/>
      <c r="F763" s="16"/>
      <c r="G763" s="16"/>
      <c r="H763" s="17"/>
      <c r="I763" s="12"/>
      <c r="J763" s="12"/>
      <c r="K763" s="12"/>
      <c r="L763" s="12"/>
      <c r="M763" s="18" t="str">
        <f t="shared" si="1"/>
        <v>#DIV/0!</v>
      </c>
      <c r="N763" s="18" t="str">
        <f t="shared" si="2"/>
        <v>#DIV/0!</v>
      </c>
      <c r="O763" s="12" t="str">
        <f t="shared" si="4"/>
        <v/>
      </c>
      <c r="P763" s="18" t="str">
        <f t="shared" si="3"/>
        <v>#DIV/0!</v>
      </c>
      <c r="Q763" s="12"/>
    </row>
    <row r="764">
      <c r="A764" s="1" t="s">
        <v>2763</v>
      </c>
      <c r="B764" s="7" t="s">
        <v>2764</v>
      </c>
      <c r="C764" s="2" t="s">
        <v>1013</v>
      </c>
      <c r="D764" s="7" t="s">
        <v>1014</v>
      </c>
      <c r="E764" s="16"/>
      <c r="F764" s="16"/>
      <c r="G764" s="16"/>
      <c r="H764" s="17"/>
      <c r="I764" s="12"/>
      <c r="J764" s="12"/>
      <c r="K764" s="12"/>
      <c r="L764" s="12"/>
      <c r="M764" s="18" t="str">
        <f t="shared" si="1"/>
        <v>#DIV/0!</v>
      </c>
      <c r="N764" s="18" t="str">
        <f t="shared" si="2"/>
        <v>#DIV/0!</v>
      </c>
      <c r="O764" s="12" t="str">
        <f t="shared" si="4"/>
        <v/>
      </c>
      <c r="P764" s="18" t="str">
        <f t="shared" si="3"/>
        <v>#DIV/0!</v>
      </c>
      <c r="Q764" s="12"/>
    </row>
    <row r="765">
      <c r="A765" s="1" t="s">
        <v>2765</v>
      </c>
      <c r="B765" s="7" t="s">
        <v>2766</v>
      </c>
      <c r="C765" s="2" t="s">
        <v>2767</v>
      </c>
      <c r="D765" s="1" t="s">
        <v>2768</v>
      </c>
      <c r="E765" s="16"/>
      <c r="F765" s="16"/>
      <c r="G765" s="16"/>
      <c r="H765" s="17"/>
      <c r="I765" s="12"/>
      <c r="J765" s="12"/>
      <c r="K765" s="12"/>
      <c r="L765" s="12"/>
      <c r="M765" s="18" t="str">
        <f t="shared" si="1"/>
        <v>#DIV/0!</v>
      </c>
      <c r="N765" s="18" t="str">
        <f t="shared" si="2"/>
        <v>#DIV/0!</v>
      </c>
      <c r="O765" s="12" t="str">
        <f t="shared" si="4"/>
        <v/>
      </c>
      <c r="P765" s="18" t="str">
        <f t="shared" si="3"/>
        <v>#DIV/0!</v>
      </c>
      <c r="Q765" s="12"/>
    </row>
    <row r="766">
      <c r="A766" s="1" t="s">
        <v>2769</v>
      </c>
      <c r="B766" s="7" t="s">
        <v>2770</v>
      </c>
      <c r="C766" s="2" t="s">
        <v>2771</v>
      </c>
      <c r="D766" s="1" t="s">
        <v>2772</v>
      </c>
      <c r="E766" s="16"/>
      <c r="F766" s="16"/>
      <c r="G766" s="16"/>
      <c r="H766" s="17"/>
      <c r="I766" s="12"/>
      <c r="J766" s="12"/>
      <c r="K766" s="12"/>
      <c r="L766" s="12"/>
      <c r="M766" s="18" t="str">
        <f t="shared" si="1"/>
        <v>#DIV/0!</v>
      </c>
      <c r="N766" s="18" t="str">
        <f t="shared" si="2"/>
        <v>#DIV/0!</v>
      </c>
      <c r="O766" s="12" t="str">
        <f t="shared" si="4"/>
        <v/>
      </c>
      <c r="P766" s="18" t="str">
        <f t="shared" si="3"/>
        <v>#DIV/0!</v>
      </c>
      <c r="Q766" s="12"/>
    </row>
    <row r="767">
      <c r="A767" s="1" t="s">
        <v>2773</v>
      </c>
      <c r="B767" s="7" t="s">
        <v>2774</v>
      </c>
      <c r="C767" s="2" t="s">
        <v>2775</v>
      </c>
      <c r="D767" s="1" t="s">
        <v>2776</v>
      </c>
      <c r="E767" s="16"/>
      <c r="F767" s="16"/>
      <c r="G767" s="16"/>
      <c r="H767" s="17"/>
      <c r="I767" s="12"/>
      <c r="J767" s="12"/>
      <c r="K767" s="12"/>
      <c r="L767" s="12"/>
      <c r="M767" s="18" t="str">
        <f t="shared" si="1"/>
        <v>#DIV/0!</v>
      </c>
      <c r="N767" s="18" t="str">
        <f t="shared" si="2"/>
        <v>#DIV/0!</v>
      </c>
      <c r="O767" s="12" t="str">
        <f t="shared" si="4"/>
        <v/>
      </c>
      <c r="P767" s="18" t="str">
        <f t="shared" si="3"/>
        <v>#DIV/0!</v>
      </c>
      <c r="Q767" s="12"/>
    </row>
    <row r="768">
      <c r="A768" s="1" t="s">
        <v>2777</v>
      </c>
      <c r="B768" s="7" t="s">
        <v>2778</v>
      </c>
      <c r="C768" s="2" t="s">
        <v>2779</v>
      </c>
      <c r="D768" s="1" t="s">
        <v>2780</v>
      </c>
      <c r="E768" s="16"/>
      <c r="F768" s="16"/>
      <c r="G768" s="16"/>
      <c r="H768" s="17"/>
      <c r="I768" s="12"/>
      <c r="J768" s="12"/>
      <c r="K768" s="12"/>
      <c r="L768" s="12"/>
      <c r="M768" s="18" t="str">
        <f t="shared" si="1"/>
        <v>#DIV/0!</v>
      </c>
      <c r="N768" s="18" t="str">
        <f t="shared" si="2"/>
        <v>#DIV/0!</v>
      </c>
      <c r="O768" s="12" t="str">
        <f t="shared" si="4"/>
        <v/>
      </c>
      <c r="P768" s="18" t="str">
        <f t="shared" si="3"/>
        <v>#DIV/0!</v>
      </c>
      <c r="Q768" s="12"/>
    </row>
    <row r="769">
      <c r="A769" s="1" t="s">
        <v>2781</v>
      </c>
      <c r="B769" s="7" t="s">
        <v>2782</v>
      </c>
      <c r="C769" s="2" t="s">
        <v>2783</v>
      </c>
      <c r="D769" s="7" t="s">
        <v>2784</v>
      </c>
      <c r="E769" s="16"/>
      <c r="F769" s="16"/>
      <c r="G769" s="16"/>
      <c r="H769" s="17"/>
      <c r="I769" s="12"/>
      <c r="J769" s="12"/>
      <c r="K769" s="12"/>
      <c r="L769" s="12"/>
      <c r="M769" s="18" t="str">
        <f t="shared" si="1"/>
        <v>#DIV/0!</v>
      </c>
      <c r="N769" s="18" t="str">
        <f t="shared" si="2"/>
        <v>#DIV/0!</v>
      </c>
      <c r="O769" s="12" t="str">
        <f t="shared" si="4"/>
        <v/>
      </c>
      <c r="P769" s="18" t="str">
        <f t="shared" si="3"/>
        <v>#DIV/0!</v>
      </c>
      <c r="Q769" s="12"/>
    </row>
    <row r="770">
      <c r="A770" s="1" t="s">
        <v>2785</v>
      </c>
      <c r="B770" s="7" t="s">
        <v>2786</v>
      </c>
      <c r="C770" s="2" t="s">
        <v>2787</v>
      </c>
      <c r="D770" s="7" t="s">
        <v>1533</v>
      </c>
      <c r="E770" s="16"/>
      <c r="F770" s="16"/>
      <c r="G770" s="16"/>
      <c r="H770" s="17"/>
      <c r="I770" s="12"/>
      <c r="J770" s="12"/>
      <c r="K770" s="12"/>
      <c r="L770" s="12"/>
      <c r="M770" s="18" t="str">
        <f t="shared" si="1"/>
        <v>#DIV/0!</v>
      </c>
      <c r="N770" s="18" t="str">
        <f t="shared" si="2"/>
        <v>#DIV/0!</v>
      </c>
      <c r="O770" s="12" t="str">
        <f t="shared" si="4"/>
        <v/>
      </c>
      <c r="P770" s="18" t="str">
        <f t="shared" si="3"/>
        <v>#DIV/0!</v>
      </c>
      <c r="Q770" s="12"/>
    </row>
    <row r="771">
      <c r="A771" s="1" t="s">
        <v>2788</v>
      </c>
      <c r="B771" s="7" t="s">
        <v>2789</v>
      </c>
      <c r="C771" s="2" t="s">
        <v>2790</v>
      </c>
      <c r="D771" s="1" t="s">
        <v>2791</v>
      </c>
      <c r="E771" s="16"/>
      <c r="F771" s="16"/>
      <c r="G771" s="16"/>
      <c r="H771" s="17"/>
      <c r="I771" s="12"/>
      <c r="J771" s="12"/>
      <c r="K771" s="12"/>
      <c r="L771" s="12"/>
      <c r="M771" s="18" t="str">
        <f t="shared" si="1"/>
        <v>#DIV/0!</v>
      </c>
      <c r="N771" s="18" t="str">
        <f t="shared" si="2"/>
        <v>#DIV/0!</v>
      </c>
      <c r="O771" s="12" t="str">
        <f t="shared" si="4"/>
        <v/>
      </c>
      <c r="P771" s="18" t="str">
        <f t="shared" si="3"/>
        <v>#DIV/0!</v>
      </c>
      <c r="Q771" s="12"/>
    </row>
    <row r="772">
      <c r="A772" s="1" t="s">
        <v>2792</v>
      </c>
      <c r="B772" s="7" t="s">
        <v>2793</v>
      </c>
      <c r="C772" s="2" t="s">
        <v>2794</v>
      </c>
      <c r="D772" s="1" t="s">
        <v>2795</v>
      </c>
      <c r="E772" s="16"/>
      <c r="F772" s="16"/>
      <c r="G772" s="16"/>
      <c r="H772" s="17"/>
      <c r="I772" s="12"/>
      <c r="J772" s="12"/>
      <c r="K772" s="12"/>
      <c r="L772" s="12"/>
      <c r="M772" s="18" t="str">
        <f t="shared" si="1"/>
        <v>#DIV/0!</v>
      </c>
      <c r="N772" s="18" t="str">
        <f t="shared" si="2"/>
        <v>#DIV/0!</v>
      </c>
      <c r="O772" s="12" t="str">
        <f t="shared" si="4"/>
        <v/>
      </c>
      <c r="P772" s="18" t="str">
        <f t="shared" si="3"/>
        <v>#DIV/0!</v>
      </c>
      <c r="Q772" s="12"/>
    </row>
    <row r="773">
      <c r="A773" s="1" t="s">
        <v>2796</v>
      </c>
      <c r="B773" s="7" t="s">
        <v>2797</v>
      </c>
      <c r="C773" s="2" t="s">
        <v>359</v>
      </c>
      <c r="D773" s="7" t="s">
        <v>360</v>
      </c>
      <c r="E773" s="16"/>
      <c r="F773" s="16"/>
      <c r="G773" s="16"/>
      <c r="H773" s="17"/>
      <c r="I773" s="12"/>
      <c r="J773" s="12"/>
      <c r="K773" s="12"/>
      <c r="L773" s="12"/>
      <c r="M773" s="18" t="str">
        <f t="shared" si="1"/>
        <v>#DIV/0!</v>
      </c>
      <c r="N773" s="18" t="str">
        <f t="shared" si="2"/>
        <v>#DIV/0!</v>
      </c>
      <c r="O773" s="12" t="str">
        <f t="shared" si="4"/>
        <v/>
      </c>
      <c r="P773" s="18" t="str">
        <f t="shared" si="3"/>
        <v>#DIV/0!</v>
      </c>
      <c r="Q773" s="12"/>
    </row>
    <row r="774">
      <c r="A774" s="1" t="s">
        <v>2798</v>
      </c>
      <c r="B774" s="7" t="s">
        <v>2799</v>
      </c>
      <c r="C774" s="2" t="s">
        <v>2800</v>
      </c>
      <c r="D774" s="1" t="s">
        <v>2801</v>
      </c>
      <c r="E774" s="16"/>
      <c r="F774" s="16"/>
      <c r="G774" s="16"/>
      <c r="H774" s="17"/>
      <c r="I774" s="12"/>
      <c r="J774" s="12"/>
      <c r="K774" s="12"/>
      <c r="L774" s="12"/>
      <c r="M774" s="18" t="str">
        <f t="shared" si="1"/>
        <v>#DIV/0!</v>
      </c>
      <c r="N774" s="18" t="str">
        <f t="shared" si="2"/>
        <v>#DIV/0!</v>
      </c>
      <c r="O774" s="12" t="str">
        <f t="shared" si="4"/>
        <v/>
      </c>
      <c r="P774" s="18" t="str">
        <f t="shared" si="3"/>
        <v>#DIV/0!</v>
      </c>
      <c r="Q774" s="12"/>
    </row>
    <row r="775">
      <c r="A775" s="1" t="s">
        <v>2802</v>
      </c>
      <c r="B775" s="7" t="s">
        <v>2803</v>
      </c>
      <c r="C775" s="2" t="s">
        <v>2804</v>
      </c>
      <c r="D775" s="7" t="s">
        <v>844</v>
      </c>
      <c r="E775" s="16"/>
      <c r="F775" s="16"/>
      <c r="G775" s="16"/>
      <c r="H775" s="17"/>
      <c r="I775" s="12"/>
      <c r="J775" s="12"/>
      <c r="K775" s="12"/>
      <c r="L775" s="12"/>
      <c r="M775" s="18" t="str">
        <f t="shared" si="1"/>
        <v>#DIV/0!</v>
      </c>
      <c r="N775" s="18" t="str">
        <f t="shared" si="2"/>
        <v>#DIV/0!</v>
      </c>
      <c r="O775" s="12" t="str">
        <f t="shared" si="4"/>
        <v/>
      </c>
      <c r="P775" s="18" t="str">
        <f t="shared" si="3"/>
        <v>#DIV/0!</v>
      </c>
      <c r="Q775" s="12"/>
    </row>
    <row r="776">
      <c r="A776" s="1" t="s">
        <v>2805</v>
      </c>
      <c r="B776" s="7" t="s">
        <v>2806</v>
      </c>
      <c r="C776" s="2" t="s">
        <v>2807</v>
      </c>
      <c r="D776" s="7" t="s">
        <v>1113</v>
      </c>
      <c r="E776" s="16"/>
      <c r="F776" s="16"/>
      <c r="G776" s="16"/>
      <c r="H776" s="17"/>
      <c r="I776" s="12"/>
      <c r="J776" s="12"/>
      <c r="K776" s="12"/>
      <c r="L776" s="12"/>
      <c r="M776" s="18" t="str">
        <f t="shared" si="1"/>
        <v>#DIV/0!</v>
      </c>
      <c r="N776" s="18" t="str">
        <f t="shared" si="2"/>
        <v>#DIV/0!</v>
      </c>
      <c r="O776" s="12" t="str">
        <f t="shared" si="4"/>
        <v/>
      </c>
      <c r="P776" s="18" t="str">
        <f t="shared" si="3"/>
        <v>#DIV/0!</v>
      </c>
      <c r="Q776" s="12"/>
    </row>
    <row r="777">
      <c r="A777" s="1" t="s">
        <v>2808</v>
      </c>
      <c r="B777" s="7" t="s">
        <v>2809</v>
      </c>
      <c r="C777" s="2" t="s">
        <v>2810</v>
      </c>
      <c r="D777" s="7" t="s">
        <v>585</v>
      </c>
      <c r="E777" s="16"/>
      <c r="F777" s="16"/>
      <c r="G777" s="16"/>
      <c r="H777" s="17"/>
      <c r="I777" s="12"/>
      <c r="J777" s="12"/>
      <c r="K777" s="12"/>
      <c r="L777" s="12"/>
      <c r="M777" s="18" t="str">
        <f t="shared" si="1"/>
        <v>#DIV/0!</v>
      </c>
      <c r="N777" s="18" t="str">
        <f t="shared" si="2"/>
        <v>#DIV/0!</v>
      </c>
      <c r="O777" s="12" t="str">
        <f t="shared" si="4"/>
        <v/>
      </c>
      <c r="P777" s="18" t="str">
        <f t="shared" si="3"/>
        <v>#DIV/0!</v>
      </c>
      <c r="Q777" s="12"/>
    </row>
    <row r="778">
      <c r="A778" s="1" t="s">
        <v>2811</v>
      </c>
      <c r="B778" s="7" t="s">
        <v>2812</v>
      </c>
      <c r="C778" s="2" t="s">
        <v>2813</v>
      </c>
      <c r="D778" s="7" t="s">
        <v>2814</v>
      </c>
      <c r="E778" s="16"/>
      <c r="F778" s="16"/>
      <c r="G778" s="16"/>
      <c r="H778" s="17"/>
      <c r="I778" s="12"/>
      <c r="J778" s="12"/>
      <c r="K778" s="12"/>
      <c r="L778" s="12"/>
      <c r="M778" s="18" t="str">
        <f t="shared" si="1"/>
        <v>#DIV/0!</v>
      </c>
      <c r="N778" s="18" t="str">
        <f t="shared" si="2"/>
        <v>#DIV/0!</v>
      </c>
      <c r="O778" s="12" t="str">
        <f t="shared" si="4"/>
        <v/>
      </c>
      <c r="P778" s="18" t="str">
        <f t="shared" si="3"/>
        <v>#DIV/0!</v>
      </c>
      <c r="Q778" s="12"/>
    </row>
    <row r="779">
      <c r="A779" s="1" t="s">
        <v>2815</v>
      </c>
      <c r="B779" s="7" t="s">
        <v>2816</v>
      </c>
      <c r="C779" s="2" t="s">
        <v>2817</v>
      </c>
      <c r="D779" s="1" t="s">
        <v>2818</v>
      </c>
      <c r="E779" s="16"/>
      <c r="F779" s="16"/>
      <c r="G779" s="16"/>
      <c r="H779" s="17"/>
      <c r="I779" s="12"/>
      <c r="J779" s="12"/>
      <c r="K779" s="12"/>
      <c r="L779" s="12"/>
      <c r="M779" s="18" t="str">
        <f t="shared" si="1"/>
        <v>#DIV/0!</v>
      </c>
      <c r="N779" s="18" t="str">
        <f t="shared" si="2"/>
        <v>#DIV/0!</v>
      </c>
      <c r="O779" s="12" t="str">
        <f t="shared" si="4"/>
        <v/>
      </c>
      <c r="P779" s="18" t="str">
        <f t="shared" si="3"/>
        <v>#DIV/0!</v>
      </c>
      <c r="Q779" s="12"/>
    </row>
    <row r="780">
      <c r="A780" s="1" t="s">
        <v>2819</v>
      </c>
      <c r="B780" s="7" t="s">
        <v>2820</v>
      </c>
      <c r="C780" s="2" t="s">
        <v>2821</v>
      </c>
      <c r="D780" s="7" t="s">
        <v>2822</v>
      </c>
      <c r="E780" s="16"/>
      <c r="F780" s="16"/>
      <c r="G780" s="16"/>
      <c r="H780" s="17"/>
      <c r="I780" s="12"/>
      <c r="J780" s="12"/>
      <c r="K780" s="12"/>
      <c r="L780" s="12"/>
      <c r="M780" s="18" t="str">
        <f t="shared" si="1"/>
        <v>#DIV/0!</v>
      </c>
      <c r="N780" s="18" t="str">
        <f t="shared" si="2"/>
        <v>#DIV/0!</v>
      </c>
      <c r="O780" s="12" t="str">
        <f t="shared" si="4"/>
        <v/>
      </c>
      <c r="P780" s="18" t="str">
        <f t="shared" si="3"/>
        <v>#DIV/0!</v>
      </c>
      <c r="Q780" s="12"/>
    </row>
    <row r="781">
      <c r="A781" s="1" t="s">
        <v>2823</v>
      </c>
      <c r="B781" s="7" t="s">
        <v>2824</v>
      </c>
      <c r="C781" s="2" t="s">
        <v>2825</v>
      </c>
      <c r="D781" s="7" t="s">
        <v>2826</v>
      </c>
      <c r="E781" s="16"/>
      <c r="F781" s="16"/>
      <c r="G781" s="16"/>
      <c r="H781" s="17"/>
      <c r="I781" s="12"/>
      <c r="J781" s="12"/>
      <c r="K781" s="12"/>
      <c r="L781" s="12"/>
      <c r="M781" s="18" t="str">
        <f t="shared" si="1"/>
        <v>#DIV/0!</v>
      </c>
      <c r="N781" s="18" t="str">
        <f t="shared" si="2"/>
        <v>#DIV/0!</v>
      </c>
      <c r="O781" s="12" t="str">
        <f t="shared" si="4"/>
        <v/>
      </c>
      <c r="P781" s="18" t="str">
        <f t="shared" si="3"/>
        <v>#DIV/0!</v>
      </c>
      <c r="Q781" s="12"/>
    </row>
    <row r="782">
      <c r="A782" s="1" t="s">
        <v>2827</v>
      </c>
      <c r="B782" s="7" t="s">
        <v>2828</v>
      </c>
      <c r="C782" s="2" t="s">
        <v>2829</v>
      </c>
      <c r="D782" s="1" t="s">
        <v>2830</v>
      </c>
      <c r="E782" s="16"/>
      <c r="F782" s="16"/>
      <c r="G782" s="16"/>
      <c r="H782" s="17"/>
      <c r="I782" s="12"/>
      <c r="J782" s="12"/>
      <c r="K782" s="12"/>
      <c r="L782" s="12"/>
      <c r="M782" s="18" t="str">
        <f t="shared" si="1"/>
        <v>#DIV/0!</v>
      </c>
      <c r="N782" s="18" t="str">
        <f t="shared" si="2"/>
        <v>#DIV/0!</v>
      </c>
      <c r="O782" s="12" t="str">
        <f t="shared" si="4"/>
        <v/>
      </c>
      <c r="P782" s="18" t="str">
        <f t="shared" si="3"/>
        <v>#DIV/0!</v>
      </c>
      <c r="Q782" s="12"/>
    </row>
    <row r="783">
      <c r="A783" s="1" t="s">
        <v>2831</v>
      </c>
      <c r="B783" s="7" t="s">
        <v>2832</v>
      </c>
      <c r="C783" s="2" t="s">
        <v>2833</v>
      </c>
      <c r="D783" s="7" t="s">
        <v>227</v>
      </c>
      <c r="E783" s="16"/>
      <c r="F783" s="16"/>
      <c r="G783" s="16"/>
      <c r="H783" s="17"/>
      <c r="I783" s="12"/>
      <c r="J783" s="12"/>
      <c r="K783" s="12"/>
      <c r="L783" s="12"/>
      <c r="M783" s="18" t="str">
        <f t="shared" si="1"/>
        <v>#DIV/0!</v>
      </c>
      <c r="N783" s="18" t="str">
        <f t="shared" si="2"/>
        <v>#DIV/0!</v>
      </c>
      <c r="O783" s="12" t="str">
        <f t="shared" si="4"/>
        <v/>
      </c>
      <c r="P783" s="18" t="str">
        <f t="shared" si="3"/>
        <v>#DIV/0!</v>
      </c>
      <c r="Q783" s="12"/>
    </row>
    <row r="784">
      <c r="A784" s="1" t="s">
        <v>2834</v>
      </c>
      <c r="B784" s="7" t="s">
        <v>2835</v>
      </c>
      <c r="C784" s="2" t="s">
        <v>2836</v>
      </c>
      <c r="D784" s="1" t="s">
        <v>2837</v>
      </c>
      <c r="E784" s="16"/>
      <c r="F784" s="16"/>
      <c r="G784" s="16"/>
      <c r="H784" s="17"/>
      <c r="I784" s="12"/>
      <c r="J784" s="12"/>
      <c r="K784" s="12"/>
      <c r="L784" s="12"/>
      <c r="M784" s="18" t="str">
        <f t="shared" si="1"/>
        <v>#DIV/0!</v>
      </c>
      <c r="N784" s="18" t="str">
        <f t="shared" si="2"/>
        <v>#DIV/0!</v>
      </c>
      <c r="O784" s="12" t="str">
        <f t="shared" si="4"/>
        <v/>
      </c>
      <c r="P784" s="18" t="str">
        <f t="shared" si="3"/>
        <v>#DIV/0!</v>
      </c>
      <c r="Q784" s="12"/>
    </row>
    <row r="785">
      <c r="A785" s="1" t="s">
        <v>2838</v>
      </c>
      <c r="B785" s="7" t="s">
        <v>2839</v>
      </c>
      <c r="C785" s="2" t="s">
        <v>2840</v>
      </c>
      <c r="D785" s="7" t="s">
        <v>2841</v>
      </c>
      <c r="E785" s="16"/>
      <c r="F785" s="16"/>
      <c r="G785" s="16"/>
      <c r="H785" s="17"/>
      <c r="I785" s="12"/>
      <c r="J785" s="12"/>
      <c r="K785" s="12"/>
      <c r="L785" s="12"/>
      <c r="M785" s="18" t="str">
        <f t="shared" si="1"/>
        <v>#DIV/0!</v>
      </c>
      <c r="N785" s="18" t="str">
        <f t="shared" si="2"/>
        <v>#DIV/0!</v>
      </c>
      <c r="O785" s="12" t="str">
        <f t="shared" si="4"/>
        <v/>
      </c>
      <c r="P785" s="18" t="str">
        <f t="shared" si="3"/>
        <v>#DIV/0!</v>
      </c>
      <c r="Q785" s="12"/>
    </row>
    <row r="786">
      <c r="A786" s="1" t="s">
        <v>2842</v>
      </c>
      <c r="B786" s="7" t="s">
        <v>2843</v>
      </c>
      <c r="C786" s="2" t="s">
        <v>2844</v>
      </c>
      <c r="D786" s="7" t="s">
        <v>2845</v>
      </c>
      <c r="E786" s="16"/>
      <c r="F786" s="16"/>
      <c r="G786" s="16"/>
      <c r="H786" s="17"/>
      <c r="I786" s="12"/>
      <c r="J786" s="12"/>
      <c r="K786" s="12"/>
      <c r="L786" s="12"/>
      <c r="M786" s="18" t="str">
        <f t="shared" si="1"/>
        <v>#DIV/0!</v>
      </c>
      <c r="N786" s="18" t="str">
        <f t="shared" si="2"/>
        <v>#DIV/0!</v>
      </c>
      <c r="O786" s="12" t="str">
        <f t="shared" si="4"/>
        <v/>
      </c>
      <c r="P786" s="18" t="str">
        <f t="shared" si="3"/>
        <v>#DIV/0!</v>
      </c>
      <c r="Q786" s="12"/>
    </row>
    <row r="787">
      <c r="A787" s="1" t="s">
        <v>2846</v>
      </c>
      <c r="B787" s="7" t="s">
        <v>2847</v>
      </c>
      <c r="C787" s="2" t="s">
        <v>2848</v>
      </c>
      <c r="D787" s="7" t="s">
        <v>2849</v>
      </c>
      <c r="E787" s="16"/>
      <c r="F787" s="16"/>
      <c r="G787" s="16"/>
      <c r="H787" s="17"/>
      <c r="I787" s="12"/>
      <c r="J787" s="12"/>
      <c r="K787" s="12"/>
      <c r="L787" s="12"/>
      <c r="M787" s="18" t="str">
        <f t="shared" si="1"/>
        <v>#DIV/0!</v>
      </c>
      <c r="N787" s="18" t="str">
        <f t="shared" si="2"/>
        <v>#DIV/0!</v>
      </c>
      <c r="O787" s="12" t="str">
        <f t="shared" si="4"/>
        <v/>
      </c>
      <c r="P787" s="18" t="str">
        <f t="shared" si="3"/>
        <v>#DIV/0!</v>
      </c>
      <c r="Q787" s="12"/>
    </row>
    <row r="788">
      <c r="A788" s="1" t="s">
        <v>2850</v>
      </c>
      <c r="B788" s="7" t="s">
        <v>2851</v>
      </c>
      <c r="C788" s="2" t="s">
        <v>2852</v>
      </c>
      <c r="D788" s="1" t="s">
        <v>2853</v>
      </c>
      <c r="E788" s="16"/>
      <c r="F788" s="16"/>
      <c r="G788" s="16"/>
      <c r="H788" s="17"/>
      <c r="I788" s="12"/>
      <c r="J788" s="12"/>
      <c r="K788" s="12"/>
      <c r="L788" s="12"/>
      <c r="M788" s="18" t="str">
        <f t="shared" si="1"/>
        <v>#DIV/0!</v>
      </c>
      <c r="N788" s="18" t="str">
        <f t="shared" si="2"/>
        <v>#DIV/0!</v>
      </c>
      <c r="O788" s="12" t="str">
        <f t="shared" si="4"/>
        <v/>
      </c>
      <c r="P788" s="18" t="str">
        <f t="shared" si="3"/>
        <v>#DIV/0!</v>
      </c>
      <c r="Q788" s="12"/>
    </row>
    <row r="789">
      <c r="A789" s="1" t="s">
        <v>2854</v>
      </c>
      <c r="B789" s="7" t="s">
        <v>2855</v>
      </c>
      <c r="C789" s="2" t="s">
        <v>2856</v>
      </c>
      <c r="D789" s="1" t="s">
        <v>2857</v>
      </c>
      <c r="E789" s="16"/>
      <c r="F789" s="16"/>
      <c r="G789" s="16"/>
      <c r="H789" s="17"/>
      <c r="I789" s="12"/>
      <c r="J789" s="12"/>
      <c r="K789" s="12"/>
      <c r="L789" s="12"/>
      <c r="M789" s="18" t="str">
        <f t="shared" si="1"/>
        <v>#DIV/0!</v>
      </c>
      <c r="N789" s="18" t="str">
        <f t="shared" si="2"/>
        <v>#DIV/0!</v>
      </c>
      <c r="O789" s="12" t="str">
        <f t="shared" si="4"/>
        <v/>
      </c>
      <c r="P789" s="18" t="str">
        <f t="shared" si="3"/>
        <v>#DIV/0!</v>
      </c>
      <c r="Q789" s="12"/>
    </row>
    <row r="790">
      <c r="A790" s="1" t="s">
        <v>2858</v>
      </c>
      <c r="B790" s="7" t="s">
        <v>2859</v>
      </c>
      <c r="C790" s="2" t="s">
        <v>973</v>
      </c>
      <c r="D790" s="1" t="s">
        <v>974</v>
      </c>
      <c r="E790" s="16"/>
      <c r="F790" s="16"/>
      <c r="G790" s="16"/>
      <c r="H790" s="17"/>
      <c r="I790" s="12"/>
      <c r="J790" s="12"/>
      <c r="K790" s="12"/>
      <c r="L790" s="12"/>
      <c r="M790" s="18" t="str">
        <f t="shared" si="1"/>
        <v>#DIV/0!</v>
      </c>
      <c r="N790" s="18" t="str">
        <f t="shared" si="2"/>
        <v>#DIV/0!</v>
      </c>
      <c r="O790" s="12" t="str">
        <f t="shared" si="4"/>
        <v/>
      </c>
      <c r="P790" s="18" t="str">
        <f t="shared" si="3"/>
        <v>#DIV/0!</v>
      </c>
      <c r="Q790" s="12"/>
    </row>
    <row r="791">
      <c r="A791" s="1" t="s">
        <v>2860</v>
      </c>
      <c r="B791" s="7" t="s">
        <v>2861</v>
      </c>
      <c r="C791" s="2" t="s">
        <v>2862</v>
      </c>
      <c r="D791" s="1" t="s">
        <v>2863</v>
      </c>
      <c r="E791" s="16"/>
      <c r="F791" s="16"/>
      <c r="G791" s="16"/>
      <c r="H791" s="17"/>
      <c r="I791" s="12"/>
      <c r="J791" s="12"/>
      <c r="K791" s="12"/>
      <c r="L791" s="12"/>
      <c r="M791" s="18" t="str">
        <f t="shared" si="1"/>
        <v>#DIV/0!</v>
      </c>
      <c r="N791" s="18" t="str">
        <f t="shared" si="2"/>
        <v>#DIV/0!</v>
      </c>
      <c r="O791" s="12" t="str">
        <f t="shared" si="4"/>
        <v/>
      </c>
      <c r="P791" s="18" t="str">
        <f t="shared" si="3"/>
        <v>#DIV/0!</v>
      </c>
      <c r="Q791" s="12"/>
    </row>
    <row r="792">
      <c r="A792" s="1" t="s">
        <v>2864</v>
      </c>
      <c r="B792" s="7" t="s">
        <v>2865</v>
      </c>
      <c r="C792" s="2" t="s">
        <v>2866</v>
      </c>
      <c r="D792" s="1" t="s">
        <v>2867</v>
      </c>
      <c r="E792" s="16"/>
      <c r="F792" s="16"/>
      <c r="G792" s="16"/>
      <c r="H792" s="17"/>
      <c r="I792" s="12"/>
      <c r="J792" s="12"/>
      <c r="K792" s="12"/>
      <c r="L792" s="12"/>
      <c r="M792" s="18" t="str">
        <f t="shared" si="1"/>
        <v>#DIV/0!</v>
      </c>
      <c r="N792" s="18" t="str">
        <f t="shared" si="2"/>
        <v>#DIV/0!</v>
      </c>
      <c r="O792" s="12" t="str">
        <f t="shared" si="4"/>
        <v/>
      </c>
      <c r="P792" s="18" t="str">
        <f t="shared" si="3"/>
        <v>#DIV/0!</v>
      </c>
      <c r="Q792" s="12"/>
    </row>
    <row r="793">
      <c r="A793" s="1" t="s">
        <v>2868</v>
      </c>
      <c r="B793" s="7" t="s">
        <v>2869</v>
      </c>
      <c r="C793" s="2" t="s">
        <v>2870</v>
      </c>
      <c r="D793" s="7" t="s">
        <v>2871</v>
      </c>
      <c r="E793" s="16"/>
      <c r="F793" s="16"/>
      <c r="G793" s="16"/>
      <c r="H793" s="17"/>
      <c r="I793" s="12"/>
      <c r="J793" s="12"/>
      <c r="K793" s="12"/>
      <c r="L793" s="12"/>
      <c r="M793" s="18" t="str">
        <f t="shared" si="1"/>
        <v>#DIV/0!</v>
      </c>
      <c r="N793" s="18" t="str">
        <f t="shared" si="2"/>
        <v>#DIV/0!</v>
      </c>
      <c r="O793" s="12" t="str">
        <f t="shared" si="4"/>
        <v/>
      </c>
      <c r="P793" s="18" t="str">
        <f t="shared" si="3"/>
        <v>#DIV/0!</v>
      </c>
      <c r="Q793" s="12"/>
    </row>
    <row r="794">
      <c r="A794" s="1" t="s">
        <v>2872</v>
      </c>
      <c r="B794" s="7" t="s">
        <v>2873</v>
      </c>
      <c r="C794" s="2" t="s">
        <v>2874</v>
      </c>
      <c r="D794" s="7" t="s">
        <v>2875</v>
      </c>
      <c r="E794" s="16"/>
      <c r="F794" s="16"/>
      <c r="G794" s="16"/>
      <c r="H794" s="17"/>
      <c r="I794" s="12"/>
      <c r="J794" s="12"/>
      <c r="K794" s="12"/>
      <c r="L794" s="12"/>
      <c r="M794" s="18" t="str">
        <f t="shared" si="1"/>
        <v>#DIV/0!</v>
      </c>
      <c r="N794" s="18" t="str">
        <f t="shared" si="2"/>
        <v>#DIV/0!</v>
      </c>
      <c r="O794" s="12" t="str">
        <f t="shared" si="4"/>
        <v/>
      </c>
      <c r="P794" s="18" t="str">
        <f t="shared" si="3"/>
        <v>#DIV/0!</v>
      </c>
      <c r="Q794" s="12"/>
    </row>
    <row r="795">
      <c r="A795" s="1" t="s">
        <v>2876</v>
      </c>
      <c r="B795" s="7" t="s">
        <v>2877</v>
      </c>
      <c r="C795" s="2" t="s">
        <v>268</v>
      </c>
      <c r="D795" s="7" t="s">
        <v>137</v>
      </c>
      <c r="E795" s="16"/>
      <c r="F795" s="16"/>
      <c r="G795" s="16"/>
      <c r="H795" s="17"/>
      <c r="I795" s="12"/>
      <c r="J795" s="12"/>
      <c r="K795" s="12"/>
      <c r="L795" s="12"/>
      <c r="M795" s="18" t="str">
        <f t="shared" si="1"/>
        <v>#DIV/0!</v>
      </c>
      <c r="N795" s="18" t="str">
        <f t="shared" si="2"/>
        <v>#DIV/0!</v>
      </c>
      <c r="O795" s="12" t="str">
        <f t="shared" si="4"/>
        <v/>
      </c>
      <c r="P795" s="18" t="str">
        <f t="shared" si="3"/>
        <v>#DIV/0!</v>
      </c>
      <c r="Q795" s="12"/>
    </row>
    <row r="796">
      <c r="A796" s="1" t="s">
        <v>2878</v>
      </c>
      <c r="B796" s="7" t="s">
        <v>2879</v>
      </c>
      <c r="C796" s="2" t="s">
        <v>1004</v>
      </c>
      <c r="D796" s="7" t="s">
        <v>137</v>
      </c>
      <c r="E796" s="16"/>
      <c r="F796" s="16"/>
      <c r="G796" s="16"/>
      <c r="H796" s="17"/>
      <c r="I796" s="12"/>
      <c r="J796" s="12"/>
      <c r="K796" s="12"/>
      <c r="L796" s="12"/>
      <c r="M796" s="18" t="str">
        <f t="shared" si="1"/>
        <v>#DIV/0!</v>
      </c>
      <c r="N796" s="18" t="str">
        <f t="shared" si="2"/>
        <v>#DIV/0!</v>
      </c>
      <c r="O796" s="12" t="str">
        <f t="shared" si="4"/>
        <v/>
      </c>
      <c r="P796" s="18" t="str">
        <f t="shared" si="3"/>
        <v>#DIV/0!</v>
      </c>
      <c r="Q796" s="12"/>
    </row>
    <row r="797">
      <c r="A797" s="1" t="s">
        <v>2880</v>
      </c>
      <c r="B797" s="7" t="s">
        <v>2881</v>
      </c>
      <c r="C797" s="2" t="s">
        <v>40</v>
      </c>
      <c r="D797" s="7" t="s">
        <v>41</v>
      </c>
      <c r="E797" s="16"/>
      <c r="F797" s="16"/>
      <c r="G797" s="16"/>
      <c r="H797" s="17"/>
      <c r="I797" s="12"/>
      <c r="J797" s="12"/>
      <c r="K797" s="12"/>
      <c r="L797" s="12"/>
      <c r="M797" s="18" t="str">
        <f t="shared" si="1"/>
        <v>#DIV/0!</v>
      </c>
      <c r="N797" s="18" t="str">
        <f t="shared" si="2"/>
        <v>#DIV/0!</v>
      </c>
      <c r="O797" s="12" t="str">
        <f t="shared" si="4"/>
        <v/>
      </c>
      <c r="P797" s="18" t="str">
        <f t="shared" si="3"/>
        <v>#DIV/0!</v>
      </c>
      <c r="Q797" s="12"/>
    </row>
    <row r="798">
      <c r="A798" s="1" t="s">
        <v>2882</v>
      </c>
      <c r="B798" s="7" t="s">
        <v>2883</v>
      </c>
      <c r="C798" s="2" t="s">
        <v>2884</v>
      </c>
      <c r="D798" s="1" t="s">
        <v>2885</v>
      </c>
      <c r="E798" s="16"/>
      <c r="F798" s="16"/>
      <c r="G798" s="16"/>
      <c r="H798" s="17"/>
      <c r="I798" s="12"/>
      <c r="J798" s="12"/>
      <c r="K798" s="12"/>
      <c r="L798" s="12"/>
      <c r="M798" s="18" t="str">
        <f t="shared" si="1"/>
        <v>#DIV/0!</v>
      </c>
      <c r="N798" s="18" t="str">
        <f t="shared" si="2"/>
        <v>#DIV/0!</v>
      </c>
      <c r="O798" s="12" t="str">
        <f t="shared" si="4"/>
        <v/>
      </c>
      <c r="P798" s="18" t="str">
        <f t="shared" si="3"/>
        <v>#DIV/0!</v>
      </c>
      <c r="Q798" s="12"/>
    </row>
    <row r="799">
      <c r="A799" s="1" t="s">
        <v>2886</v>
      </c>
      <c r="B799" s="7" t="s">
        <v>2887</v>
      </c>
      <c r="C799" s="2" t="s">
        <v>2888</v>
      </c>
      <c r="D799" s="1" t="s">
        <v>2889</v>
      </c>
      <c r="E799" s="16"/>
      <c r="F799" s="16"/>
      <c r="G799" s="16"/>
      <c r="H799" s="17"/>
      <c r="I799" s="12"/>
      <c r="J799" s="12"/>
      <c r="K799" s="12"/>
      <c r="L799" s="12"/>
      <c r="M799" s="18" t="str">
        <f t="shared" si="1"/>
        <v>#DIV/0!</v>
      </c>
      <c r="N799" s="18" t="str">
        <f t="shared" si="2"/>
        <v>#DIV/0!</v>
      </c>
      <c r="O799" s="12" t="str">
        <f t="shared" si="4"/>
        <v/>
      </c>
      <c r="P799" s="18" t="str">
        <f t="shared" si="3"/>
        <v>#DIV/0!</v>
      </c>
      <c r="Q799" s="12"/>
    </row>
    <row r="800">
      <c r="A800" s="1" t="s">
        <v>2890</v>
      </c>
      <c r="B800" s="7" t="s">
        <v>2891</v>
      </c>
      <c r="C800" s="2" t="s">
        <v>2892</v>
      </c>
      <c r="D800" s="7" t="s">
        <v>2893</v>
      </c>
      <c r="E800" s="16"/>
      <c r="F800" s="16"/>
      <c r="G800" s="16"/>
      <c r="H800" s="17"/>
      <c r="I800" s="12"/>
      <c r="J800" s="12"/>
      <c r="K800" s="12"/>
      <c r="L800" s="12"/>
      <c r="M800" s="18" t="str">
        <f t="shared" si="1"/>
        <v>#DIV/0!</v>
      </c>
      <c r="N800" s="18" t="str">
        <f t="shared" si="2"/>
        <v>#DIV/0!</v>
      </c>
      <c r="O800" s="12" t="str">
        <f t="shared" si="4"/>
        <v/>
      </c>
      <c r="P800" s="18" t="str">
        <f t="shared" si="3"/>
        <v>#DIV/0!</v>
      </c>
      <c r="Q800" s="12"/>
    </row>
    <row r="801">
      <c r="A801" s="1" t="s">
        <v>2894</v>
      </c>
      <c r="B801" s="7" t="s">
        <v>2895</v>
      </c>
      <c r="C801" s="2" t="s">
        <v>2896</v>
      </c>
      <c r="D801" s="1" t="s">
        <v>2897</v>
      </c>
      <c r="E801" s="16"/>
      <c r="F801" s="16"/>
      <c r="G801" s="16"/>
      <c r="H801" s="17"/>
      <c r="I801" s="12"/>
      <c r="J801" s="12"/>
      <c r="K801" s="12"/>
      <c r="L801" s="12"/>
      <c r="M801" s="18" t="str">
        <f t="shared" si="1"/>
        <v>#DIV/0!</v>
      </c>
      <c r="N801" s="18" t="str">
        <f t="shared" si="2"/>
        <v>#DIV/0!</v>
      </c>
      <c r="O801" s="12" t="str">
        <f t="shared" si="4"/>
        <v/>
      </c>
      <c r="P801" s="18" t="str">
        <f t="shared" si="3"/>
        <v>#DIV/0!</v>
      </c>
      <c r="Q801" s="12"/>
    </row>
    <row r="802">
      <c r="A802" s="1" t="s">
        <v>2898</v>
      </c>
      <c r="B802" s="7" t="s">
        <v>2899</v>
      </c>
      <c r="C802" s="2" t="s">
        <v>1421</v>
      </c>
      <c r="D802" s="7" t="s">
        <v>1422</v>
      </c>
      <c r="E802" s="16"/>
      <c r="F802" s="16"/>
      <c r="G802" s="16"/>
      <c r="H802" s="17"/>
      <c r="I802" s="12"/>
      <c r="J802" s="12"/>
      <c r="K802" s="12"/>
      <c r="L802" s="12"/>
      <c r="M802" s="18" t="str">
        <f t="shared" si="1"/>
        <v>#DIV/0!</v>
      </c>
      <c r="N802" s="18" t="str">
        <f t="shared" si="2"/>
        <v>#DIV/0!</v>
      </c>
      <c r="O802" s="12" t="str">
        <f t="shared" si="4"/>
        <v/>
      </c>
      <c r="P802" s="18" t="str">
        <f t="shared" si="3"/>
        <v>#DIV/0!</v>
      </c>
      <c r="Q802" s="12"/>
    </row>
    <row r="803">
      <c r="A803" s="1" t="s">
        <v>2900</v>
      </c>
      <c r="B803" s="7" t="s">
        <v>2901</v>
      </c>
      <c r="C803" s="2" t="s">
        <v>2902</v>
      </c>
      <c r="D803" s="1" t="s">
        <v>2903</v>
      </c>
      <c r="E803" s="16"/>
      <c r="F803" s="16"/>
      <c r="G803" s="16"/>
      <c r="H803" s="17"/>
      <c r="I803" s="12"/>
      <c r="J803" s="12"/>
      <c r="K803" s="12"/>
      <c r="L803" s="12"/>
      <c r="M803" s="18" t="str">
        <f t="shared" si="1"/>
        <v>#DIV/0!</v>
      </c>
      <c r="N803" s="18" t="str">
        <f t="shared" si="2"/>
        <v>#DIV/0!</v>
      </c>
      <c r="O803" s="12" t="str">
        <f t="shared" si="4"/>
        <v/>
      </c>
      <c r="P803" s="18" t="str">
        <f t="shared" si="3"/>
        <v>#DIV/0!</v>
      </c>
      <c r="Q803" s="12"/>
    </row>
    <row r="804">
      <c r="A804" s="1" t="s">
        <v>2904</v>
      </c>
      <c r="B804" s="7" t="s">
        <v>2905</v>
      </c>
      <c r="C804" s="2" t="s">
        <v>2906</v>
      </c>
      <c r="D804" s="1" t="s">
        <v>2907</v>
      </c>
      <c r="E804" s="16"/>
      <c r="F804" s="16"/>
      <c r="G804" s="16"/>
      <c r="H804" s="17"/>
      <c r="I804" s="12"/>
      <c r="J804" s="12"/>
      <c r="K804" s="12"/>
      <c r="L804" s="12"/>
      <c r="M804" s="18" t="str">
        <f t="shared" si="1"/>
        <v>#DIV/0!</v>
      </c>
      <c r="N804" s="18" t="str">
        <f t="shared" si="2"/>
        <v>#DIV/0!</v>
      </c>
      <c r="O804" s="12" t="str">
        <f t="shared" si="4"/>
        <v/>
      </c>
      <c r="P804" s="18" t="str">
        <f t="shared" si="3"/>
        <v>#DIV/0!</v>
      </c>
      <c r="Q804" s="12"/>
    </row>
    <row r="805">
      <c r="A805" s="1" t="s">
        <v>2908</v>
      </c>
      <c r="B805" s="7" t="s">
        <v>2909</v>
      </c>
      <c r="C805" s="2" t="s">
        <v>1569</v>
      </c>
      <c r="D805" s="7" t="s">
        <v>509</v>
      </c>
      <c r="E805" s="16"/>
      <c r="F805" s="16"/>
      <c r="G805" s="16"/>
      <c r="H805" s="17"/>
      <c r="I805" s="12"/>
      <c r="J805" s="12"/>
      <c r="K805" s="12"/>
      <c r="L805" s="12"/>
      <c r="M805" s="18" t="str">
        <f t="shared" si="1"/>
        <v>#DIV/0!</v>
      </c>
      <c r="N805" s="18" t="str">
        <f t="shared" si="2"/>
        <v>#DIV/0!</v>
      </c>
      <c r="O805" s="12" t="str">
        <f t="shared" si="4"/>
        <v/>
      </c>
      <c r="P805" s="18" t="str">
        <f t="shared" si="3"/>
        <v>#DIV/0!</v>
      </c>
      <c r="Q805" s="12"/>
    </row>
    <row r="806">
      <c r="A806" s="1" t="s">
        <v>2910</v>
      </c>
      <c r="B806" s="7" t="s">
        <v>2911</v>
      </c>
      <c r="C806" s="2" t="s">
        <v>2912</v>
      </c>
      <c r="D806" s="1" t="s">
        <v>2913</v>
      </c>
      <c r="E806" s="16"/>
      <c r="F806" s="16"/>
      <c r="G806" s="16"/>
      <c r="H806" s="17"/>
      <c r="I806" s="12"/>
      <c r="J806" s="12"/>
      <c r="K806" s="12"/>
      <c r="L806" s="12"/>
      <c r="M806" s="18" t="str">
        <f t="shared" si="1"/>
        <v>#DIV/0!</v>
      </c>
      <c r="N806" s="18" t="str">
        <f t="shared" si="2"/>
        <v>#DIV/0!</v>
      </c>
      <c r="O806" s="12" t="str">
        <f t="shared" si="4"/>
        <v/>
      </c>
      <c r="P806" s="18" t="str">
        <f t="shared" si="3"/>
        <v>#DIV/0!</v>
      </c>
      <c r="Q806" s="12"/>
    </row>
    <row r="807">
      <c r="A807" s="1" t="s">
        <v>2914</v>
      </c>
      <c r="B807" s="7" t="s">
        <v>2915</v>
      </c>
      <c r="C807" s="2" t="s">
        <v>268</v>
      </c>
      <c r="D807" s="7" t="s">
        <v>137</v>
      </c>
      <c r="E807" s="16"/>
      <c r="F807" s="16"/>
      <c r="G807" s="16"/>
      <c r="H807" s="17"/>
      <c r="I807" s="12"/>
      <c r="J807" s="12"/>
      <c r="K807" s="12"/>
      <c r="L807" s="12"/>
      <c r="M807" s="18" t="str">
        <f t="shared" si="1"/>
        <v>#DIV/0!</v>
      </c>
      <c r="N807" s="18" t="str">
        <f t="shared" si="2"/>
        <v>#DIV/0!</v>
      </c>
      <c r="O807" s="12" t="str">
        <f t="shared" si="4"/>
        <v/>
      </c>
      <c r="P807" s="18" t="str">
        <f t="shared" si="3"/>
        <v>#DIV/0!</v>
      </c>
      <c r="Q807" s="12"/>
    </row>
    <row r="808">
      <c r="A808" s="1" t="s">
        <v>2916</v>
      </c>
      <c r="B808" s="7" t="s">
        <v>2917</v>
      </c>
      <c r="C808" s="2" t="s">
        <v>2918</v>
      </c>
      <c r="D808" s="7" t="s">
        <v>2919</v>
      </c>
      <c r="E808" s="16"/>
      <c r="F808" s="16"/>
      <c r="G808" s="16"/>
      <c r="H808" s="17"/>
      <c r="I808" s="12"/>
      <c r="J808" s="12"/>
      <c r="K808" s="12"/>
      <c r="L808" s="12"/>
      <c r="M808" s="18" t="str">
        <f t="shared" si="1"/>
        <v>#DIV/0!</v>
      </c>
      <c r="N808" s="18" t="str">
        <f t="shared" si="2"/>
        <v>#DIV/0!</v>
      </c>
      <c r="O808" s="12" t="str">
        <f t="shared" si="4"/>
        <v/>
      </c>
      <c r="P808" s="18" t="str">
        <f t="shared" si="3"/>
        <v>#DIV/0!</v>
      </c>
      <c r="Q808" s="12"/>
    </row>
    <row r="809">
      <c r="A809" s="1" t="s">
        <v>2920</v>
      </c>
      <c r="B809" s="7" t="s">
        <v>2921</v>
      </c>
      <c r="C809" s="2" t="s">
        <v>2922</v>
      </c>
      <c r="D809" s="1" t="s">
        <v>2923</v>
      </c>
      <c r="E809" s="16"/>
      <c r="F809" s="16"/>
      <c r="G809" s="16"/>
      <c r="H809" s="17"/>
      <c r="I809" s="12"/>
      <c r="J809" s="12"/>
      <c r="K809" s="12"/>
      <c r="L809" s="12"/>
      <c r="M809" s="18" t="str">
        <f t="shared" si="1"/>
        <v>#DIV/0!</v>
      </c>
      <c r="N809" s="18" t="str">
        <f t="shared" si="2"/>
        <v>#DIV/0!</v>
      </c>
      <c r="O809" s="12" t="str">
        <f t="shared" si="4"/>
        <v/>
      </c>
      <c r="P809" s="18" t="str">
        <f t="shared" si="3"/>
        <v>#DIV/0!</v>
      </c>
      <c r="Q809" s="12"/>
    </row>
    <row r="810">
      <c r="A810" s="1" t="s">
        <v>2924</v>
      </c>
      <c r="B810" s="7" t="s">
        <v>2925</v>
      </c>
      <c r="C810" s="2" t="s">
        <v>2926</v>
      </c>
      <c r="D810" s="1" t="s">
        <v>2927</v>
      </c>
      <c r="E810" s="16"/>
      <c r="F810" s="16"/>
      <c r="G810" s="16"/>
      <c r="H810" s="17"/>
      <c r="I810" s="12"/>
      <c r="J810" s="12"/>
      <c r="K810" s="12"/>
      <c r="L810" s="12"/>
      <c r="M810" s="18" t="str">
        <f t="shared" si="1"/>
        <v>#DIV/0!</v>
      </c>
      <c r="N810" s="18" t="str">
        <f t="shared" si="2"/>
        <v>#DIV/0!</v>
      </c>
      <c r="O810" s="12" t="str">
        <f t="shared" si="4"/>
        <v/>
      </c>
      <c r="P810" s="18" t="str">
        <f t="shared" si="3"/>
        <v>#DIV/0!</v>
      </c>
      <c r="Q810" s="12"/>
    </row>
    <row r="811">
      <c r="A811" s="1" t="s">
        <v>2928</v>
      </c>
      <c r="B811" s="7" t="s">
        <v>2929</v>
      </c>
      <c r="C811" s="2" t="s">
        <v>2930</v>
      </c>
      <c r="D811" s="1" t="s">
        <v>2931</v>
      </c>
      <c r="E811" s="16"/>
      <c r="F811" s="16"/>
      <c r="G811" s="16"/>
      <c r="H811" s="17"/>
      <c r="I811" s="12"/>
      <c r="J811" s="12"/>
      <c r="K811" s="12"/>
      <c r="L811" s="12"/>
      <c r="M811" s="18" t="str">
        <f t="shared" si="1"/>
        <v>#DIV/0!</v>
      </c>
      <c r="N811" s="18" t="str">
        <f t="shared" si="2"/>
        <v>#DIV/0!</v>
      </c>
      <c r="O811" s="12" t="str">
        <f t="shared" si="4"/>
        <v/>
      </c>
      <c r="P811" s="18" t="str">
        <f t="shared" si="3"/>
        <v>#DIV/0!</v>
      </c>
      <c r="Q811" s="12"/>
    </row>
    <row r="812">
      <c r="A812" s="1" t="s">
        <v>2932</v>
      </c>
      <c r="B812" s="7" t="s">
        <v>2933</v>
      </c>
      <c r="C812" s="2" t="s">
        <v>172</v>
      </c>
      <c r="D812" s="7" t="s">
        <v>173</v>
      </c>
      <c r="E812" s="16"/>
      <c r="F812" s="16"/>
      <c r="G812" s="16"/>
      <c r="H812" s="17"/>
      <c r="I812" s="12"/>
      <c r="J812" s="12"/>
      <c r="K812" s="12"/>
      <c r="L812" s="12"/>
      <c r="M812" s="18" t="str">
        <f t="shared" si="1"/>
        <v>#DIV/0!</v>
      </c>
      <c r="N812" s="18" t="str">
        <f t="shared" si="2"/>
        <v>#DIV/0!</v>
      </c>
      <c r="O812" s="12" t="str">
        <f t="shared" si="4"/>
        <v/>
      </c>
      <c r="P812" s="18" t="str">
        <f t="shared" si="3"/>
        <v>#DIV/0!</v>
      </c>
      <c r="Q812" s="12"/>
    </row>
    <row r="813">
      <c r="A813" s="1" t="s">
        <v>2934</v>
      </c>
      <c r="B813" s="7" t="s">
        <v>2935</v>
      </c>
      <c r="C813" s="2" t="s">
        <v>2510</v>
      </c>
      <c r="D813" s="7" t="s">
        <v>2511</v>
      </c>
      <c r="E813" s="16"/>
      <c r="F813" s="16"/>
      <c r="G813" s="16"/>
      <c r="H813" s="17"/>
      <c r="I813" s="12"/>
      <c r="J813" s="12"/>
      <c r="K813" s="12"/>
      <c r="L813" s="12"/>
      <c r="M813" s="18" t="str">
        <f t="shared" si="1"/>
        <v>#DIV/0!</v>
      </c>
      <c r="N813" s="18" t="str">
        <f t="shared" si="2"/>
        <v>#DIV/0!</v>
      </c>
      <c r="O813" s="12" t="str">
        <f t="shared" si="4"/>
        <v/>
      </c>
      <c r="P813" s="18" t="str">
        <f t="shared" si="3"/>
        <v>#DIV/0!</v>
      </c>
      <c r="Q813" s="12"/>
    </row>
    <row r="814">
      <c r="A814" s="1" t="s">
        <v>2936</v>
      </c>
      <c r="B814" s="7" t="s">
        <v>2937</v>
      </c>
      <c r="C814" s="2" t="s">
        <v>226</v>
      </c>
      <c r="D814" s="7" t="s">
        <v>227</v>
      </c>
      <c r="E814" s="16"/>
      <c r="F814" s="16"/>
      <c r="G814" s="16"/>
      <c r="H814" s="17"/>
      <c r="I814" s="12"/>
      <c r="J814" s="12"/>
      <c r="K814" s="12"/>
      <c r="L814" s="12"/>
      <c r="M814" s="18" t="str">
        <f t="shared" si="1"/>
        <v>#DIV/0!</v>
      </c>
      <c r="N814" s="18" t="str">
        <f t="shared" si="2"/>
        <v>#DIV/0!</v>
      </c>
      <c r="O814" s="12" t="str">
        <f t="shared" si="4"/>
        <v/>
      </c>
      <c r="P814" s="18" t="str">
        <f t="shared" si="3"/>
        <v>#DIV/0!</v>
      </c>
      <c r="Q814" s="12"/>
    </row>
    <row r="815">
      <c r="A815" s="1" t="s">
        <v>2938</v>
      </c>
      <c r="B815" s="7" t="s">
        <v>2939</v>
      </c>
      <c r="C815" s="2" t="s">
        <v>2940</v>
      </c>
      <c r="D815" s="1" t="s">
        <v>2941</v>
      </c>
      <c r="E815" s="16"/>
      <c r="F815" s="16"/>
      <c r="G815" s="16"/>
      <c r="H815" s="17"/>
      <c r="I815" s="12"/>
      <c r="J815" s="12"/>
      <c r="K815" s="12"/>
      <c r="L815" s="12"/>
      <c r="M815" s="18" t="str">
        <f t="shared" si="1"/>
        <v>#DIV/0!</v>
      </c>
      <c r="N815" s="18" t="str">
        <f t="shared" si="2"/>
        <v>#DIV/0!</v>
      </c>
      <c r="O815" s="12" t="str">
        <f t="shared" si="4"/>
        <v/>
      </c>
      <c r="P815" s="18" t="str">
        <f t="shared" si="3"/>
        <v>#DIV/0!</v>
      </c>
      <c r="Q815" s="12"/>
    </row>
    <row r="816">
      <c r="A816" s="1" t="s">
        <v>2942</v>
      </c>
      <c r="B816" s="7" t="s">
        <v>2943</v>
      </c>
      <c r="C816" s="2" t="s">
        <v>2944</v>
      </c>
      <c r="D816" s="7" t="s">
        <v>2945</v>
      </c>
      <c r="E816" s="16"/>
      <c r="F816" s="16"/>
      <c r="G816" s="16"/>
      <c r="H816" s="17"/>
      <c r="I816" s="12"/>
      <c r="J816" s="12"/>
      <c r="K816" s="12"/>
      <c r="L816" s="12"/>
      <c r="M816" s="18" t="str">
        <f t="shared" si="1"/>
        <v>#DIV/0!</v>
      </c>
      <c r="N816" s="18" t="str">
        <f t="shared" si="2"/>
        <v>#DIV/0!</v>
      </c>
      <c r="O816" s="12" t="str">
        <f t="shared" si="4"/>
        <v/>
      </c>
      <c r="P816" s="18" t="str">
        <f t="shared" si="3"/>
        <v>#DIV/0!</v>
      </c>
      <c r="Q816" s="12"/>
    </row>
    <row r="817">
      <c r="A817" s="1" t="s">
        <v>2946</v>
      </c>
      <c r="B817" s="7" t="s">
        <v>2947</v>
      </c>
      <c r="C817" s="2" t="s">
        <v>2948</v>
      </c>
      <c r="D817" s="1" t="s">
        <v>2949</v>
      </c>
      <c r="E817" s="16"/>
      <c r="F817" s="16"/>
      <c r="G817" s="16"/>
      <c r="H817" s="17"/>
      <c r="I817" s="12"/>
      <c r="J817" s="12"/>
      <c r="K817" s="12"/>
      <c r="L817" s="12"/>
      <c r="M817" s="18" t="str">
        <f t="shared" si="1"/>
        <v>#DIV/0!</v>
      </c>
      <c r="N817" s="18" t="str">
        <f t="shared" si="2"/>
        <v>#DIV/0!</v>
      </c>
      <c r="O817" s="12" t="str">
        <f t="shared" si="4"/>
        <v/>
      </c>
      <c r="P817" s="18" t="str">
        <f t="shared" si="3"/>
        <v>#DIV/0!</v>
      </c>
      <c r="Q817" s="12"/>
    </row>
    <row r="818">
      <c r="A818" s="1" t="s">
        <v>2950</v>
      </c>
      <c r="B818" s="7" t="s">
        <v>2951</v>
      </c>
      <c r="C818" s="2" t="s">
        <v>1013</v>
      </c>
      <c r="D818" s="7" t="s">
        <v>1014</v>
      </c>
      <c r="E818" s="16"/>
      <c r="F818" s="16"/>
      <c r="G818" s="16"/>
      <c r="H818" s="17"/>
      <c r="I818" s="12"/>
      <c r="J818" s="12"/>
      <c r="K818" s="12"/>
      <c r="L818" s="12"/>
      <c r="M818" s="18" t="str">
        <f t="shared" si="1"/>
        <v>#DIV/0!</v>
      </c>
      <c r="N818" s="18" t="str">
        <f t="shared" si="2"/>
        <v>#DIV/0!</v>
      </c>
      <c r="O818" s="12" t="str">
        <f t="shared" si="4"/>
        <v/>
      </c>
      <c r="P818" s="18" t="str">
        <f t="shared" si="3"/>
        <v>#DIV/0!</v>
      </c>
      <c r="Q818" s="12"/>
    </row>
    <row r="819">
      <c r="A819" s="1" t="s">
        <v>2952</v>
      </c>
      <c r="B819" s="7" t="s">
        <v>2953</v>
      </c>
      <c r="C819" s="2" t="s">
        <v>2954</v>
      </c>
      <c r="D819" s="1" t="s">
        <v>2955</v>
      </c>
      <c r="E819" s="16"/>
      <c r="F819" s="16"/>
      <c r="G819" s="16"/>
      <c r="H819" s="17"/>
      <c r="I819" s="12"/>
      <c r="J819" s="12"/>
      <c r="K819" s="12"/>
      <c r="L819" s="12"/>
      <c r="M819" s="18" t="str">
        <f t="shared" si="1"/>
        <v>#DIV/0!</v>
      </c>
      <c r="N819" s="18" t="str">
        <f t="shared" si="2"/>
        <v>#DIV/0!</v>
      </c>
      <c r="O819" s="12" t="str">
        <f t="shared" si="4"/>
        <v/>
      </c>
      <c r="P819" s="18" t="str">
        <f t="shared" si="3"/>
        <v>#DIV/0!</v>
      </c>
      <c r="Q819" s="12"/>
    </row>
    <row r="820">
      <c r="A820" s="19" t="s">
        <v>2956</v>
      </c>
      <c r="B820" s="7" t="s">
        <v>2957</v>
      </c>
      <c r="C820" s="2" t="s">
        <v>2958</v>
      </c>
      <c r="D820" s="7" t="s">
        <v>2959</v>
      </c>
      <c r="E820" s="16"/>
      <c r="F820" s="16"/>
      <c r="G820" s="16"/>
      <c r="H820" s="17"/>
      <c r="I820" s="12"/>
      <c r="J820" s="12"/>
      <c r="K820" s="12"/>
      <c r="L820" s="12"/>
      <c r="M820" s="18" t="str">
        <f t="shared" si="1"/>
        <v>#DIV/0!</v>
      </c>
      <c r="N820" s="18" t="str">
        <f t="shared" si="2"/>
        <v>#DIV/0!</v>
      </c>
      <c r="O820" s="12" t="str">
        <f t="shared" si="4"/>
        <v/>
      </c>
      <c r="P820" s="18" t="str">
        <f t="shared" si="3"/>
        <v>#DIV/0!</v>
      </c>
      <c r="Q820" s="12"/>
    </row>
    <row r="821">
      <c r="A821" s="1" t="s">
        <v>2960</v>
      </c>
      <c r="B821" s="7" t="s">
        <v>2961</v>
      </c>
      <c r="C821" s="2" t="s">
        <v>2962</v>
      </c>
      <c r="D821" s="7" t="s">
        <v>2963</v>
      </c>
      <c r="E821" s="16"/>
      <c r="F821" s="16"/>
      <c r="G821" s="16"/>
      <c r="H821" s="17"/>
      <c r="I821" s="12"/>
      <c r="J821" s="12"/>
      <c r="K821" s="12"/>
      <c r="L821" s="12"/>
      <c r="M821" s="18" t="str">
        <f t="shared" si="1"/>
        <v>#DIV/0!</v>
      </c>
      <c r="N821" s="18" t="str">
        <f t="shared" si="2"/>
        <v>#DIV/0!</v>
      </c>
      <c r="O821" s="12" t="str">
        <f t="shared" si="4"/>
        <v/>
      </c>
      <c r="P821" s="18" t="str">
        <f t="shared" si="3"/>
        <v>#DIV/0!</v>
      </c>
      <c r="Q821" s="12"/>
    </row>
    <row r="822">
      <c r="A822" s="1" t="s">
        <v>2964</v>
      </c>
      <c r="B822" s="7" t="s">
        <v>2965</v>
      </c>
      <c r="C822" s="2" t="s">
        <v>2966</v>
      </c>
      <c r="D822" s="7" t="s">
        <v>137</v>
      </c>
      <c r="E822" s="16"/>
      <c r="F822" s="16"/>
      <c r="G822" s="16"/>
      <c r="H822" s="17"/>
      <c r="I822" s="12"/>
      <c r="J822" s="12"/>
      <c r="K822" s="12"/>
      <c r="L822" s="12"/>
      <c r="M822" s="18" t="str">
        <f t="shared" si="1"/>
        <v>#DIV/0!</v>
      </c>
      <c r="N822" s="18" t="str">
        <f t="shared" si="2"/>
        <v>#DIV/0!</v>
      </c>
      <c r="O822" s="12" t="str">
        <f t="shared" si="4"/>
        <v/>
      </c>
      <c r="P822" s="18" t="str">
        <f t="shared" si="3"/>
        <v>#DIV/0!</v>
      </c>
      <c r="Q822" s="12"/>
    </row>
    <row r="823">
      <c r="A823" s="1" t="s">
        <v>2967</v>
      </c>
      <c r="B823" s="7" t="s">
        <v>2968</v>
      </c>
      <c r="C823" s="2" t="s">
        <v>2969</v>
      </c>
      <c r="D823" s="7" t="s">
        <v>2970</v>
      </c>
      <c r="E823" s="16"/>
      <c r="F823" s="16"/>
      <c r="G823" s="16"/>
      <c r="H823" s="17"/>
      <c r="I823" s="12"/>
      <c r="J823" s="12"/>
      <c r="K823" s="12"/>
      <c r="L823" s="12"/>
      <c r="M823" s="18" t="str">
        <f t="shared" si="1"/>
        <v>#DIV/0!</v>
      </c>
      <c r="N823" s="18" t="str">
        <f t="shared" si="2"/>
        <v>#DIV/0!</v>
      </c>
      <c r="O823" s="12" t="str">
        <f t="shared" si="4"/>
        <v/>
      </c>
      <c r="P823" s="18" t="str">
        <f t="shared" si="3"/>
        <v>#DIV/0!</v>
      </c>
      <c r="Q823" s="12"/>
    </row>
    <row r="824">
      <c r="A824" s="1" t="s">
        <v>2971</v>
      </c>
      <c r="B824" s="7" t="s">
        <v>2972</v>
      </c>
      <c r="C824" s="2" t="s">
        <v>2973</v>
      </c>
      <c r="D824" s="7" t="s">
        <v>1022</v>
      </c>
      <c r="E824" s="16"/>
      <c r="F824" s="16"/>
      <c r="G824" s="16"/>
      <c r="H824" s="17"/>
      <c r="I824" s="12"/>
      <c r="J824" s="12"/>
      <c r="K824" s="12"/>
      <c r="L824" s="12"/>
      <c r="M824" s="18" t="str">
        <f t="shared" si="1"/>
        <v>#DIV/0!</v>
      </c>
      <c r="N824" s="18" t="str">
        <f t="shared" si="2"/>
        <v>#DIV/0!</v>
      </c>
      <c r="O824" s="12" t="str">
        <f t="shared" si="4"/>
        <v/>
      </c>
      <c r="P824" s="18" t="str">
        <f t="shared" si="3"/>
        <v>#DIV/0!</v>
      </c>
      <c r="Q824" s="12"/>
    </row>
    <row r="825">
      <c r="A825" s="1" t="s">
        <v>2974</v>
      </c>
      <c r="B825" s="7" t="s">
        <v>2975</v>
      </c>
      <c r="C825" s="2" t="s">
        <v>2976</v>
      </c>
      <c r="D825" s="7" t="s">
        <v>2236</v>
      </c>
      <c r="E825" s="16"/>
      <c r="F825" s="16"/>
      <c r="G825" s="16"/>
      <c r="H825" s="17"/>
      <c r="I825" s="12"/>
      <c r="J825" s="12"/>
      <c r="K825" s="12"/>
      <c r="L825" s="12"/>
      <c r="M825" s="18" t="str">
        <f t="shared" si="1"/>
        <v>#DIV/0!</v>
      </c>
      <c r="N825" s="18" t="str">
        <f t="shared" si="2"/>
        <v>#DIV/0!</v>
      </c>
      <c r="O825" s="12" t="str">
        <f t="shared" si="4"/>
        <v/>
      </c>
      <c r="P825" s="18" t="str">
        <f t="shared" si="3"/>
        <v>#DIV/0!</v>
      </c>
      <c r="Q825" s="12"/>
    </row>
    <row r="826">
      <c r="A826" s="1" t="s">
        <v>2977</v>
      </c>
      <c r="B826" s="7" t="s">
        <v>2978</v>
      </c>
      <c r="C826" s="2" t="s">
        <v>577</v>
      </c>
      <c r="D826" s="7" t="s">
        <v>296</v>
      </c>
      <c r="E826" s="16"/>
      <c r="F826" s="16"/>
      <c r="G826" s="16"/>
      <c r="H826" s="17"/>
      <c r="I826" s="12"/>
      <c r="J826" s="12"/>
      <c r="K826" s="12"/>
      <c r="L826" s="12"/>
      <c r="M826" s="18" t="str">
        <f t="shared" si="1"/>
        <v>#DIV/0!</v>
      </c>
      <c r="N826" s="18" t="str">
        <f t="shared" si="2"/>
        <v>#DIV/0!</v>
      </c>
      <c r="O826" s="12" t="str">
        <f t="shared" si="4"/>
        <v/>
      </c>
      <c r="P826" s="18" t="str">
        <f t="shared" si="3"/>
        <v>#DIV/0!</v>
      </c>
      <c r="Q826" s="12"/>
    </row>
    <row r="827">
      <c r="A827" s="1" t="s">
        <v>2979</v>
      </c>
      <c r="B827" s="7" t="s">
        <v>2980</v>
      </c>
      <c r="C827" s="2" t="s">
        <v>2981</v>
      </c>
      <c r="D827" s="1" t="s">
        <v>2982</v>
      </c>
      <c r="E827" s="16"/>
      <c r="F827" s="16"/>
      <c r="G827" s="16"/>
      <c r="H827" s="17"/>
      <c r="I827" s="12"/>
      <c r="J827" s="12"/>
      <c r="K827" s="12"/>
      <c r="L827" s="12"/>
      <c r="M827" s="18" t="str">
        <f t="shared" si="1"/>
        <v>#DIV/0!</v>
      </c>
      <c r="N827" s="18" t="str">
        <f t="shared" si="2"/>
        <v>#DIV/0!</v>
      </c>
      <c r="O827" s="12" t="str">
        <f t="shared" si="4"/>
        <v/>
      </c>
      <c r="P827" s="18" t="str">
        <f t="shared" si="3"/>
        <v>#DIV/0!</v>
      </c>
      <c r="Q827" s="12"/>
    </row>
    <row r="828">
      <c r="A828" s="1" t="s">
        <v>2983</v>
      </c>
      <c r="B828" s="7" t="s">
        <v>2984</v>
      </c>
      <c r="C828" s="2" t="s">
        <v>2985</v>
      </c>
      <c r="D828" s="1" t="s">
        <v>2681</v>
      </c>
      <c r="E828" s="16"/>
      <c r="F828" s="16"/>
      <c r="G828" s="16"/>
      <c r="H828" s="17"/>
      <c r="I828" s="12"/>
      <c r="J828" s="12"/>
      <c r="K828" s="12"/>
      <c r="L828" s="12"/>
      <c r="M828" s="18" t="str">
        <f t="shared" si="1"/>
        <v>#DIV/0!</v>
      </c>
      <c r="N828" s="18" t="str">
        <f t="shared" si="2"/>
        <v>#DIV/0!</v>
      </c>
      <c r="O828" s="12" t="str">
        <f t="shared" si="4"/>
        <v/>
      </c>
      <c r="P828" s="18" t="str">
        <f t="shared" si="3"/>
        <v>#DIV/0!</v>
      </c>
      <c r="Q828" s="12"/>
    </row>
    <row r="829">
      <c r="A829" s="1" t="s">
        <v>2986</v>
      </c>
      <c r="B829" s="7" t="s">
        <v>2987</v>
      </c>
      <c r="C829" s="2" t="s">
        <v>2988</v>
      </c>
      <c r="D829" s="7" t="s">
        <v>2989</v>
      </c>
      <c r="E829" s="16"/>
      <c r="F829" s="16"/>
      <c r="G829" s="16"/>
      <c r="H829" s="17"/>
      <c r="I829" s="12"/>
      <c r="J829" s="12"/>
      <c r="K829" s="12"/>
      <c r="L829" s="12"/>
      <c r="M829" s="18" t="str">
        <f t="shared" si="1"/>
        <v>#DIV/0!</v>
      </c>
      <c r="N829" s="18" t="str">
        <f t="shared" si="2"/>
        <v>#DIV/0!</v>
      </c>
      <c r="O829" s="12" t="str">
        <f t="shared" si="4"/>
        <v/>
      </c>
      <c r="P829" s="18" t="str">
        <f t="shared" si="3"/>
        <v>#DIV/0!</v>
      </c>
      <c r="Q829" s="12"/>
    </row>
    <row r="830">
      <c r="A830" s="1" t="s">
        <v>2990</v>
      </c>
      <c r="B830" s="7" t="s">
        <v>2991</v>
      </c>
      <c r="C830" s="2" t="s">
        <v>2992</v>
      </c>
      <c r="D830" s="7" t="s">
        <v>2993</v>
      </c>
      <c r="E830" s="16"/>
      <c r="F830" s="16"/>
      <c r="G830" s="16"/>
      <c r="H830" s="17"/>
      <c r="I830" s="12"/>
      <c r="J830" s="12"/>
      <c r="K830" s="12"/>
      <c r="L830" s="12"/>
      <c r="M830" s="18" t="str">
        <f t="shared" si="1"/>
        <v>#DIV/0!</v>
      </c>
      <c r="N830" s="18" t="str">
        <f t="shared" si="2"/>
        <v>#DIV/0!</v>
      </c>
      <c r="O830" s="12" t="str">
        <f t="shared" si="4"/>
        <v/>
      </c>
      <c r="P830" s="18" t="str">
        <f t="shared" si="3"/>
        <v>#DIV/0!</v>
      </c>
      <c r="Q830" s="12"/>
    </row>
    <row r="831">
      <c r="A831" s="1" t="s">
        <v>2994</v>
      </c>
      <c r="B831" s="7" t="s">
        <v>2995</v>
      </c>
      <c r="C831" s="2" t="s">
        <v>2996</v>
      </c>
      <c r="D831" s="1" t="s">
        <v>2997</v>
      </c>
      <c r="E831" s="16"/>
      <c r="F831" s="16"/>
      <c r="G831" s="16"/>
      <c r="H831" s="17"/>
      <c r="I831" s="12"/>
      <c r="J831" s="12"/>
      <c r="K831" s="12"/>
      <c r="L831" s="12"/>
      <c r="M831" s="18" t="str">
        <f t="shared" si="1"/>
        <v>#DIV/0!</v>
      </c>
      <c r="N831" s="18" t="str">
        <f t="shared" si="2"/>
        <v>#DIV/0!</v>
      </c>
      <c r="O831" s="12" t="str">
        <f t="shared" si="4"/>
        <v/>
      </c>
      <c r="P831" s="18" t="str">
        <f t="shared" si="3"/>
        <v>#DIV/0!</v>
      </c>
      <c r="Q831" s="12"/>
    </row>
    <row r="832">
      <c r="A832" s="1" t="s">
        <v>2998</v>
      </c>
      <c r="B832" s="7" t="s">
        <v>2999</v>
      </c>
      <c r="C832" s="2" t="s">
        <v>3000</v>
      </c>
      <c r="D832" s="1" t="s">
        <v>3001</v>
      </c>
      <c r="E832" s="16"/>
      <c r="F832" s="16"/>
      <c r="G832" s="16"/>
      <c r="H832" s="17"/>
      <c r="I832" s="12"/>
      <c r="J832" s="12"/>
      <c r="K832" s="12"/>
      <c r="L832" s="12"/>
      <c r="M832" s="18" t="str">
        <f t="shared" si="1"/>
        <v>#DIV/0!</v>
      </c>
      <c r="N832" s="18" t="str">
        <f t="shared" si="2"/>
        <v>#DIV/0!</v>
      </c>
      <c r="O832" s="12" t="str">
        <f t="shared" si="4"/>
        <v/>
      </c>
      <c r="P832" s="18" t="str">
        <f t="shared" si="3"/>
        <v>#DIV/0!</v>
      </c>
      <c r="Q832" s="12"/>
    </row>
    <row r="833">
      <c r="A833" s="1" t="s">
        <v>3002</v>
      </c>
      <c r="B833" s="7" t="s">
        <v>3003</v>
      </c>
      <c r="C833" s="2" t="s">
        <v>3004</v>
      </c>
      <c r="D833" s="1" t="s">
        <v>3005</v>
      </c>
      <c r="E833" s="16"/>
      <c r="F833" s="16"/>
      <c r="G833" s="16"/>
      <c r="H833" s="17"/>
      <c r="I833" s="12"/>
      <c r="J833" s="12"/>
      <c r="K833" s="12"/>
      <c r="L833" s="12"/>
      <c r="M833" s="18" t="str">
        <f t="shared" si="1"/>
        <v>#DIV/0!</v>
      </c>
      <c r="N833" s="18" t="str">
        <f t="shared" si="2"/>
        <v>#DIV/0!</v>
      </c>
      <c r="O833" s="12" t="str">
        <f t="shared" si="4"/>
        <v/>
      </c>
      <c r="P833" s="18" t="str">
        <f t="shared" si="3"/>
        <v>#DIV/0!</v>
      </c>
      <c r="Q833" s="12"/>
    </row>
    <row r="834">
      <c r="A834" s="1" t="s">
        <v>3006</v>
      </c>
      <c r="B834" s="7" t="s">
        <v>3007</v>
      </c>
      <c r="C834" s="2" t="s">
        <v>3008</v>
      </c>
      <c r="D834" s="1" t="s">
        <v>3009</v>
      </c>
      <c r="E834" s="16"/>
      <c r="F834" s="16"/>
      <c r="G834" s="16"/>
      <c r="H834" s="17"/>
      <c r="I834" s="12"/>
      <c r="J834" s="12"/>
      <c r="K834" s="12"/>
      <c r="L834" s="12"/>
      <c r="M834" s="18" t="str">
        <f t="shared" si="1"/>
        <v>#DIV/0!</v>
      </c>
      <c r="N834" s="18" t="str">
        <f t="shared" si="2"/>
        <v>#DIV/0!</v>
      </c>
      <c r="O834" s="12" t="str">
        <f t="shared" si="4"/>
        <v/>
      </c>
      <c r="P834" s="18" t="str">
        <f t="shared" si="3"/>
        <v>#DIV/0!</v>
      </c>
      <c r="Q834" s="12"/>
    </row>
    <row r="835">
      <c r="A835" s="1" t="s">
        <v>3010</v>
      </c>
      <c r="B835" s="7" t="s">
        <v>3011</v>
      </c>
      <c r="C835" s="2" t="s">
        <v>3012</v>
      </c>
      <c r="D835" s="1" t="s">
        <v>3013</v>
      </c>
      <c r="E835" s="16"/>
      <c r="F835" s="16"/>
      <c r="G835" s="16"/>
      <c r="H835" s="17"/>
      <c r="I835" s="12"/>
      <c r="J835" s="12"/>
      <c r="K835" s="12"/>
      <c r="L835" s="12"/>
      <c r="M835" s="18" t="str">
        <f t="shared" si="1"/>
        <v>#DIV/0!</v>
      </c>
      <c r="N835" s="18" t="str">
        <f t="shared" si="2"/>
        <v>#DIV/0!</v>
      </c>
      <c r="O835" s="12" t="str">
        <f t="shared" si="4"/>
        <v/>
      </c>
      <c r="P835" s="18" t="str">
        <f t="shared" si="3"/>
        <v>#DIV/0!</v>
      </c>
      <c r="Q835" s="12"/>
    </row>
    <row r="836">
      <c r="A836" s="1" t="s">
        <v>3014</v>
      </c>
      <c r="B836" s="7" t="s">
        <v>3015</v>
      </c>
      <c r="C836" s="2" t="s">
        <v>3016</v>
      </c>
      <c r="D836" s="7" t="s">
        <v>73</v>
      </c>
      <c r="E836" s="16"/>
      <c r="F836" s="16"/>
      <c r="G836" s="16"/>
      <c r="H836" s="17"/>
      <c r="I836" s="12"/>
      <c r="J836" s="12"/>
      <c r="K836" s="12"/>
      <c r="L836" s="12"/>
      <c r="M836" s="18" t="str">
        <f t="shared" si="1"/>
        <v>#DIV/0!</v>
      </c>
      <c r="N836" s="18" t="str">
        <f t="shared" si="2"/>
        <v>#DIV/0!</v>
      </c>
      <c r="O836" s="12" t="str">
        <f t="shared" si="4"/>
        <v/>
      </c>
      <c r="P836" s="18" t="str">
        <f t="shared" si="3"/>
        <v>#DIV/0!</v>
      </c>
      <c r="Q836" s="12"/>
    </row>
    <row r="837">
      <c r="A837" s="1" t="s">
        <v>3017</v>
      </c>
      <c r="B837" s="7" t="s">
        <v>3018</v>
      </c>
      <c r="C837" s="2" t="s">
        <v>883</v>
      </c>
      <c r="D837" s="7" t="s">
        <v>884</v>
      </c>
      <c r="E837" s="16"/>
      <c r="F837" s="16"/>
      <c r="G837" s="16"/>
      <c r="H837" s="17"/>
      <c r="I837" s="12"/>
      <c r="J837" s="12"/>
      <c r="K837" s="12"/>
      <c r="L837" s="12"/>
      <c r="M837" s="18" t="str">
        <f t="shared" si="1"/>
        <v>#DIV/0!</v>
      </c>
      <c r="N837" s="18" t="str">
        <f t="shared" si="2"/>
        <v>#DIV/0!</v>
      </c>
      <c r="O837" s="12" t="str">
        <f t="shared" si="4"/>
        <v/>
      </c>
      <c r="P837" s="18" t="str">
        <f t="shared" si="3"/>
        <v>#DIV/0!</v>
      </c>
      <c r="Q837" s="12"/>
    </row>
    <row r="838">
      <c r="A838" s="1" t="s">
        <v>3019</v>
      </c>
      <c r="B838" s="7" t="s">
        <v>3020</v>
      </c>
      <c r="C838" s="2" t="s">
        <v>3021</v>
      </c>
      <c r="D838" s="1" t="s">
        <v>352</v>
      </c>
      <c r="E838" s="16"/>
      <c r="F838" s="16"/>
      <c r="G838" s="16"/>
      <c r="H838" s="17"/>
      <c r="I838" s="12"/>
      <c r="J838" s="12"/>
      <c r="K838" s="12"/>
      <c r="L838" s="12"/>
      <c r="M838" s="18" t="str">
        <f t="shared" si="1"/>
        <v>#DIV/0!</v>
      </c>
      <c r="N838" s="18" t="str">
        <f t="shared" si="2"/>
        <v>#DIV/0!</v>
      </c>
      <c r="O838" s="12" t="str">
        <f t="shared" si="4"/>
        <v/>
      </c>
      <c r="P838" s="18" t="str">
        <f t="shared" si="3"/>
        <v>#DIV/0!</v>
      </c>
      <c r="Q838" s="12"/>
    </row>
    <row r="839">
      <c r="A839" s="1" t="s">
        <v>3022</v>
      </c>
      <c r="B839" s="7" t="s">
        <v>3023</v>
      </c>
      <c r="C839" s="2" t="s">
        <v>3024</v>
      </c>
      <c r="D839" s="1" t="s">
        <v>3025</v>
      </c>
      <c r="E839" s="16"/>
      <c r="F839" s="16"/>
      <c r="G839" s="16"/>
      <c r="H839" s="17"/>
      <c r="I839" s="12"/>
      <c r="J839" s="12"/>
      <c r="K839" s="12"/>
      <c r="L839" s="12"/>
      <c r="M839" s="18" t="str">
        <f t="shared" si="1"/>
        <v>#DIV/0!</v>
      </c>
      <c r="N839" s="18" t="str">
        <f t="shared" si="2"/>
        <v>#DIV/0!</v>
      </c>
      <c r="O839" s="12" t="str">
        <f t="shared" si="4"/>
        <v/>
      </c>
      <c r="P839" s="18" t="str">
        <f t="shared" si="3"/>
        <v>#DIV/0!</v>
      </c>
      <c r="Q839" s="12"/>
    </row>
    <row r="840">
      <c r="A840" s="1" t="s">
        <v>3026</v>
      </c>
      <c r="B840" s="7" t="s">
        <v>3027</v>
      </c>
      <c r="C840" s="2" t="s">
        <v>3028</v>
      </c>
      <c r="D840" s="1" t="s">
        <v>3029</v>
      </c>
      <c r="E840" s="16"/>
      <c r="F840" s="16"/>
      <c r="G840" s="16"/>
      <c r="H840" s="17"/>
      <c r="I840" s="12"/>
      <c r="J840" s="12"/>
      <c r="K840" s="12"/>
      <c r="L840" s="12"/>
      <c r="M840" s="18" t="str">
        <f t="shared" si="1"/>
        <v>#DIV/0!</v>
      </c>
      <c r="N840" s="18" t="str">
        <f t="shared" si="2"/>
        <v>#DIV/0!</v>
      </c>
      <c r="O840" s="12" t="str">
        <f t="shared" si="4"/>
        <v/>
      </c>
      <c r="P840" s="18" t="str">
        <f t="shared" si="3"/>
        <v>#DIV/0!</v>
      </c>
      <c r="Q840" s="12"/>
    </row>
    <row r="841">
      <c r="A841" s="1" t="s">
        <v>3030</v>
      </c>
      <c r="B841" s="7" t="s">
        <v>3031</v>
      </c>
      <c r="C841" s="2" t="s">
        <v>508</v>
      </c>
      <c r="D841" s="7" t="s">
        <v>509</v>
      </c>
      <c r="E841" s="16"/>
      <c r="F841" s="16"/>
      <c r="G841" s="16"/>
      <c r="H841" s="17"/>
      <c r="I841" s="12"/>
      <c r="J841" s="12"/>
      <c r="K841" s="12"/>
      <c r="L841" s="12"/>
      <c r="M841" s="18" t="str">
        <f t="shared" si="1"/>
        <v>#DIV/0!</v>
      </c>
      <c r="N841" s="18" t="str">
        <f t="shared" si="2"/>
        <v>#DIV/0!</v>
      </c>
      <c r="O841" s="12" t="str">
        <f t="shared" si="4"/>
        <v/>
      </c>
      <c r="P841" s="18" t="str">
        <f t="shared" si="3"/>
        <v>#DIV/0!</v>
      </c>
      <c r="Q841" s="12"/>
    </row>
    <row r="842">
      <c r="A842" s="1" t="s">
        <v>3032</v>
      </c>
      <c r="B842" s="7" t="s">
        <v>3033</v>
      </c>
      <c r="C842" s="2" t="s">
        <v>1914</v>
      </c>
      <c r="D842" s="7" t="s">
        <v>137</v>
      </c>
      <c r="E842" s="16"/>
      <c r="F842" s="16"/>
      <c r="G842" s="16"/>
      <c r="H842" s="17"/>
      <c r="I842" s="12"/>
      <c r="J842" s="12"/>
      <c r="K842" s="12"/>
      <c r="L842" s="12"/>
      <c r="M842" s="18" t="str">
        <f t="shared" si="1"/>
        <v>#DIV/0!</v>
      </c>
      <c r="N842" s="18" t="str">
        <f t="shared" si="2"/>
        <v>#DIV/0!</v>
      </c>
      <c r="O842" s="12" t="str">
        <f t="shared" si="4"/>
        <v/>
      </c>
      <c r="P842" s="18" t="str">
        <f t="shared" si="3"/>
        <v>#DIV/0!</v>
      </c>
      <c r="Q842" s="12"/>
    </row>
    <row r="843">
      <c r="A843" s="1" t="s">
        <v>3034</v>
      </c>
      <c r="B843" s="7" t="s">
        <v>3035</v>
      </c>
      <c r="C843" s="2" t="s">
        <v>3036</v>
      </c>
      <c r="D843" s="1" t="s">
        <v>3037</v>
      </c>
      <c r="E843" s="16"/>
      <c r="F843" s="16"/>
      <c r="G843" s="16"/>
      <c r="H843" s="17"/>
      <c r="I843" s="12"/>
      <c r="J843" s="12"/>
      <c r="K843" s="12"/>
      <c r="L843" s="12"/>
      <c r="M843" s="18" t="str">
        <f t="shared" si="1"/>
        <v>#DIV/0!</v>
      </c>
      <c r="N843" s="18" t="str">
        <f t="shared" si="2"/>
        <v>#DIV/0!</v>
      </c>
      <c r="O843" s="12" t="str">
        <f t="shared" si="4"/>
        <v/>
      </c>
      <c r="P843" s="18" t="str">
        <f t="shared" si="3"/>
        <v>#DIV/0!</v>
      </c>
      <c r="Q843" s="12"/>
    </row>
    <row r="844">
      <c r="A844" s="1" t="s">
        <v>3038</v>
      </c>
      <c r="B844" s="7" t="s">
        <v>3039</v>
      </c>
      <c r="C844" s="2" t="s">
        <v>3040</v>
      </c>
      <c r="D844" s="1" t="s">
        <v>3041</v>
      </c>
      <c r="E844" s="16"/>
      <c r="F844" s="16"/>
      <c r="G844" s="16"/>
      <c r="H844" s="17"/>
      <c r="I844" s="12"/>
      <c r="J844" s="12"/>
      <c r="K844" s="12"/>
      <c r="L844" s="12"/>
      <c r="M844" s="18" t="str">
        <f t="shared" si="1"/>
        <v>#DIV/0!</v>
      </c>
      <c r="N844" s="18" t="str">
        <f t="shared" si="2"/>
        <v>#DIV/0!</v>
      </c>
      <c r="O844" s="12" t="str">
        <f t="shared" si="4"/>
        <v/>
      </c>
      <c r="P844" s="18" t="str">
        <f t="shared" si="3"/>
        <v>#DIV/0!</v>
      </c>
      <c r="Q844" s="12"/>
    </row>
    <row r="845">
      <c r="A845" s="1" t="s">
        <v>3042</v>
      </c>
      <c r="B845" s="7" t="s">
        <v>3043</v>
      </c>
      <c r="C845" s="2" t="s">
        <v>565</v>
      </c>
      <c r="D845" s="7" t="s">
        <v>566</v>
      </c>
      <c r="E845" s="16"/>
      <c r="F845" s="16"/>
      <c r="G845" s="16"/>
      <c r="H845" s="17"/>
      <c r="I845" s="12"/>
      <c r="J845" s="12"/>
      <c r="K845" s="12"/>
      <c r="L845" s="12"/>
      <c r="M845" s="18" t="str">
        <f t="shared" si="1"/>
        <v>#DIV/0!</v>
      </c>
      <c r="N845" s="18" t="str">
        <f t="shared" si="2"/>
        <v>#DIV/0!</v>
      </c>
      <c r="O845" s="12" t="str">
        <f t="shared" si="4"/>
        <v/>
      </c>
      <c r="P845" s="18" t="str">
        <f t="shared" si="3"/>
        <v>#DIV/0!</v>
      </c>
      <c r="Q845" s="12"/>
    </row>
    <row r="846">
      <c r="A846" s="1" t="s">
        <v>3044</v>
      </c>
      <c r="B846" s="7" t="s">
        <v>3045</v>
      </c>
      <c r="C846" s="2" t="s">
        <v>3046</v>
      </c>
      <c r="D846" s="1" t="s">
        <v>3047</v>
      </c>
      <c r="E846" s="16"/>
      <c r="F846" s="16"/>
      <c r="G846" s="16"/>
      <c r="H846" s="17"/>
      <c r="I846" s="12"/>
      <c r="J846" s="12"/>
      <c r="K846" s="12"/>
      <c r="L846" s="12"/>
      <c r="M846" s="18" t="str">
        <f t="shared" si="1"/>
        <v>#DIV/0!</v>
      </c>
      <c r="N846" s="18" t="str">
        <f t="shared" si="2"/>
        <v>#DIV/0!</v>
      </c>
      <c r="O846" s="12" t="str">
        <f t="shared" si="4"/>
        <v/>
      </c>
      <c r="P846" s="18" t="str">
        <f t="shared" si="3"/>
        <v>#DIV/0!</v>
      </c>
      <c r="Q846" s="12"/>
    </row>
    <row r="847">
      <c r="A847" s="1" t="s">
        <v>3048</v>
      </c>
      <c r="B847" s="7" t="s">
        <v>3049</v>
      </c>
      <c r="C847" s="2" t="s">
        <v>3050</v>
      </c>
      <c r="D847" s="1" t="s">
        <v>3051</v>
      </c>
      <c r="E847" s="16"/>
      <c r="F847" s="16"/>
      <c r="G847" s="16"/>
      <c r="H847" s="17"/>
      <c r="I847" s="12"/>
      <c r="J847" s="12"/>
      <c r="K847" s="12"/>
      <c r="L847" s="12"/>
      <c r="M847" s="18" t="str">
        <f t="shared" si="1"/>
        <v>#DIV/0!</v>
      </c>
      <c r="N847" s="18" t="str">
        <f t="shared" si="2"/>
        <v>#DIV/0!</v>
      </c>
      <c r="O847" s="12" t="str">
        <f t="shared" si="4"/>
        <v/>
      </c>
      <c r="P847" s="18" t="str">
        <f t="shared" si="3"/>
        <v>#DIV/0!</v>
      </c>
      <c r="Q847" s="12"/>
    </row>
    <row r="848">
      <c r="A848" s="1" t="s">
        <v>3052</v>
      </c>
      <c r="B848" s="7" t="s">
        <v>3053</v>
      </c>
      <c r="C848" s="2" t="s">
        <v>991</v>
      </c>
      <c r="D848" s="7" t="s">
        <v>113</v>
      </c>
      <c r="E848" s="16"/>
      <c r="F848" s="16"/>
      <c r="G848" s="16"/>
      <c r="H848" s="17"/>
      <c r="I848" s="12"/>
      <c r="J848" s="12"/>
      <c r="K848" s="12"/>
      <c r="L848" s="12"/>
      <c r="M848" s="18" t="str">
        <f t="shared" si="1"/>
        <v>#DIV/0!</v>
      </c>
      <c r="N848" s="18" t="str">
        <f t="shared" si="2"/>
        <v>#DIV/0!</v>
      </c>
      <c r="O848" s="12" t="str">
        <f t="shared" si="4"/>
        <v/>
      </c>
      <c r="P848" s="18" t="str">
        <f t="shared" si="3"/>
        <v>#DIV/0!</v>
      </c>
      <c r="Q848" s="12"/>
    </row>
    <row r="849">
      <c r="A849" s="1" t="s">
        <v>3054</v>
      </c>
      <c r="B849" s="7" t="s">
        <v>3055</v>
      </c>
      <c r="C849" s="2" t="s">
        <v>3056</v>
      </c>
      <c r="D849" s="1" t="s">
        <v>3057</v>
      </c>
      <c r="E849" s="16"/>
      <c r="F849" s="16"/>
      <c r="G849" s="16"/>
      <c r="H849" s="17"/>
      <c r="I849" s="12"/>
      <c r="J849" s="12"/>
      <c r="K849" s="12"/>
      <c r="L849" s="12"/>
      <c r="M849" s="18" t="str">
        <f t="shared" si="1"/>
        <v>#DIV/0!</v>
      </c>
      <c r="N849" s="18" t="str">
        <f t="shared" si="2"/>
        <v>#DIV/0!</v>
      </c>
      <c r="O849" s="12" t="str">
        <f t="shared" si="4"/>
        <v/>
      </c>
      <c r="P849" s="18" t="str">
        <f t="shared" si="3"/>
        <v>#DIV/0!</v>
      </c>
      <c r="Q849" s="12"/>
    </row>
    <row r="850">
      <c r="A850" s="1" t="s">
        <v>3058</v>
      </c>
      <c r="B850" s="7" t="s">
        <v>3059</v>
      </c>
      <c r="C850" s="2" t="s">
        <v>1174</v>
      </c>
      <c r="D850" s="7" t="s">
        <v>844</v>
      </c>
      <c r="E850" s="16"/>
      <c r="F850" s="16"/>
      <c r="G850" s="16"/>
      <c r="H850" s="17"/>
      <c r="I850" s="12"/>
      <c r="J850" s="12"/>
      <c r="K850" s="12"/>
      <c r="L850" s="12"/>
      <c r="M850" s="18" t="str">
        <f t="shared" si="1"/>
        <v>#DIV/0!</v>
      </c>
      <c r="N850" s="18" t="str">
        <f t="shared" si="2"/>
        <v>#DIV/0!</v>
      </c>
      <c r="O850" s="12" t="str">
        <f t="shared" si="4"/>
        <v/>
      </c>
      <c r="P850" s="18" t="str">
        <f t="shared" si="3"/>
        <v>#DIV/0!</v>
      </c>
      <c r="Q850" s="12"/>
    </row>
    <row r="851">
      <c r="A851" s="1" t="s">
        <v>3060</v>
      </c>
      <c r="B851" s="7" t="s">
        <v>3061</v>
      </c>
      <c r="C851" s="2" t="s">
        <v>3062</v>
      </c>
      <c r="D851" s="1" t="s">
        <v>3063</v>
      </c>
      <c r="E851" s="16"/>
      <c r="F851" s="16"/>
      <c r="G851" s="16"/>
      <c r="H851" s="17"/>
      <c r="I851" s="12"/>
      <c r="J851" s="12"/>
      <c r="K851" s="12"/>
      <c r="L851" s="12"/>
      <c r="M851" s="18" t="str">
        <f t="shared" si="1"/>
        <v>#DIV/0!</v>
      </c>
      <c r="N851" s="18" t="str">
        <f t="shared" si="2"/>
        <v>#DIV/0!</v>
      </c>
      <c r="O851" s="12" t="str">
        <f t="shared" si="4"/>
        <v/>
      </c>
      <c r="P851" s="18" t="str">
        <f t="shared" si="3"/>
        <v>#DIV/0!</v>
      </c>
      <c r="Q851" s="12"/>
    </row>
    <row r="852">
      <c r="A852" s="1" t="s">
        <v>3064</v>
      </c>
      <c r="B852" s="7" t="s">
        <v>3065</v>
      </c>
      <c r="C852" s="2" t="s">
        <v>3066</v>
      </c>
      <c r="D852" s="1" t="s">
        <v>3067</v>
      </c>
      <c r="E852" s="16"/>
      <c r="F852" s="16"/>
      <c r="G852" s="16"/>
      <c r="H852" s="17"/>
      <c r="I852" s="12"/>
      <c r="J852" s="12"/>
      <c r="K852" s="12"/>
      <c r="L852" s="12"/>
      <c r="M852" s="18" t="str">
        <f t="shared" si="1"/>
        <v>#DIV/0!</v>
      </c>
      <c r="N852" s="18" t="str">
        <f t="shared" si="2"/>
        <v>#DIV/0!</v>
      </c>
      <c r="O852" s="12" t="str">
        <f t="shared" si="4"/>
        <v/>
      </c>
      <c r="P852" s="18" t="str">
        <f t="shared" si="3"/>
        <v>#DIV/0!</v>
      </c>
      <c r="Q852" s="12"/>
    </row>
    <row r="853">
      <c r="A853" s="1" t="s">
        <v>3068</v>
      </c>
      <c r="B853" s="7" t="s">
        <v>3069</v>
      </c>
      <c r="C853" s="2" t="s">
        <v>3070</v>
      </c>
      <c r="D853" s="7" t="s">
        <v>2639</v>
      </c>
      <c r="E853" s="16"/>
      <c r="F853" s="16"/>
      <c r="G853" s="16"/>
      <c r="H853" s="17"/>
      <c r="I853" s="12"/>
      <c r="J853" s="12"/>
      <c r="K853" s="12"/>
      <c r="L853" s="12"/>
      <c r="M853" s="18" t="str">
        <f t="shared" si="1"/>
        <v>#DIV/0!</v>
      </c>
      <c r="N853" s="18" t="str">
        <f t="shared" si="2"/>
        <v>#DIV/0!</v>
      </c>
      <c r="O853" s="12" t="str">
        <f t="shared" si="4"/>
        <v/>
      </c>
      <c r="P853" s="18" t="str">
        <f t="shared" si="3"/>
        <v>#DIV/0!</v>
      </c>
      <c r="Q853" s="12"/>
    </row>
    <row r="854">
      <c r="A854" s="1" t="s">
        <v>3071</v>
      </c>
      <c r="B854" s="7" t="s">
        <v>3072</v>
      </c>
      <c r="C854" s="2" t="s">
        <v>3073</v>
      </c>
      <c r="D854" s="1" t="s">
        <v>3074</v>
      </c>
      <c r="E854" s="16"/>
      <c r="F854" s="16"/>
      <c r="G854" s="16"/>
      <c r="H854" s="17"/>
      <c r="I854" s="12"/>
      <c r="J854" s="12"/>
      <c r="K854" s="12"/>
      <c r="L854" s="12"/>
      <c r="M854" s="18" t="str">
        <f t="shared" si="1"/>
        <v>#DIV/0!</v>
      </c>
      <c r="N854" s="18" t="str">
        <f t="shared" si="2"/>
        <v>#DIV/0!</v>
      </c>
      <c r="O854" s="12" t="str">
        <f t="shared" si="4"/>
        <v/>
      </c>
      <c r="P854" s="18" t="str">
        <f t="shared" si="3"/>
        <v>#DIV/0!</v>
      </c>
      <c r="Q854" s="12"/>
    </row>
    <row r="855">
      <c r="A855" s="1" t="s">
        <v>3075</v>
      </c>
      <c r="B855" s="7" t="s">
        <v>3076</v>
      </c>
      <c r="C855" s="2" t="s">
        <v>3077</v>
      </c>
      <c r="D855" s="1" t="s">
        <v>3078</v>
      </c>
      <c r="E855" s="16"/>
      <c r="F855" s="16"/>
      <c r="G855" s="16"/>
      <c r="H855" s="17"/>
      <c r="I855" s="12"/>
      <c r="J855" s="12"/>
      <c r="K855" s="12"/>
      <c r="L855" s="12"/>
      <c r="M855" s="18" t="str">
        <f t="shared" si="1"/>
        <v>#DIV/0!</v>
      </c>
      <c r="N855" s="18" t="str">
        <f t="shared" si="2"/>
        <v>#DIV/0!</v>
      </c>
      <c r="O855" s="12" t="str">
        <f t="shared" si="4"/>
        <v/>
      </c>
      <c r="P855" s="18" t="str">
        <f t="shared" si="3"/>
        <v>#DIV/0!</v>
      </c>
      <c r="Q855" s="12"/>
    </row>
    <row r="856">
      <c r="A856" s="1" t="s">
        <v>3079</v>
      </c>
      <c r="B856" s="7" t="s">
        <v>3080</v>
      </c>
      <c r="C856" s="2" t="s">
        <v>3081</v>
      </c>
      <c r="D856" s="7" t="s">
        <v>3082</v>
      </c>
      <c r="E856" s="16"/>
      <c r="F856" s="16"/>
      <c r="G856" s="16"/>
      <c r="H856" s="17"/>
      <c r="I856" s="12"/>
      <c r="J856" s="12"/>
      <c r="K856" s="12"/>
      <c r="L856" s="12"/>
      <c r="M856" s="18" t="str">
        <f t="shared" si="1"/>
        <v>#DIV/0!</v>
      </c>
      <c r="N856" s="18" t="str">
        <f t="shared" si="2"/>
        <v>#DIV/0!</v>
      </c>
      <c r="O856" s="12" t="str">
        <f t="shared" si="4"/>
        <v/>
      </c>
      <c r="P856" s="18" t="str">
        <f t="shared" si="3"/>
        <v>#DIV/0!</v>
      </c>
      <c r="Q856" s="12"/>
    </row>
    <row r="857">
      <c r="A857" s="1" t="s">
        <v>3083</v>
      </c>
      <c r="B857" s="7" t="s">
        <v>3084</v>
      </c>
      <c r="C857" s="2" t="s">
        <v>268</v>
      </c>
      <c r="D857" s="7" t="s">
        <v>137</v>
      </c>
      <c r="E857" s="16"/>
      <c r="F857" s="16"/>
      <c r="G857" s="16"/>
      <c r="H857" s="17"/>
      <c r="I857" s="12"/>
      <c r="J857" s="12"/>
      <c r="K857" s="12"/>
      <c r="L857" s="12"/>
      <c r="M857" s="18" t="str">
        <f t="shared" si="1"/>
        <v>#DIV/0!</v>
      </c>
      <c r="N857" s="18" t="str">
        <f t="shared" si="2"/>
        <v>#DIV/0!</v>
      </c>
      <c r="O857" s="12" t="str">
        <f t="shared" si="4"/>
        <v/>
      </c>
      <c r="P857" s="18" t="str">
        <f t="shared" si="3"/>
        <v>#DIV/0!</v>
      </c>
      <c r="Q857" s="12"/>
    </row>
    <row r="858">
      <c r="A858" s="1" t="s">
        <v>3085</v>
      </c>
      <c r="B858" s="7" t="s">
        <v>3086</v>
      </c>
      <c r="C858" s="2" t="s">
        <v>863</v>
      </c>
      <c r="D858" s="1" t="s">
        <v>864</v>
      </c>
      <c r="E858" s="16"/>
      <c r="F858" s="16"/>
      <c r="G858" s="16"/>
      <c r="H858" s="17"/>
      <c r="I858" s="12"/>
      <c r="J858" s="12"/>
      <c r="K858" s="12"/>
      <c r="L858" s="12"/>
      <c r="M858" s="18" t="str">
        <f t="shared" si="1"/>
        <v>#DIV/0!</v>
      </c>
      <c r="N858" s="18" t="str">
        <f t="shared" si="2"/>
        <v>#DIV/0!</v>
      </c>
      <c r="O858" s="12" t="str">
        <f t="shared" si="4"/>
        <v/>
      </c>
      <c r="P858" s="18" t="str">
        <f t="shared" si="3"/>
        <v>#DIV/0!</v>
      </c>
      <c r="Q858" s="12"/>
    </row>
    <row r="859">
      <c r="A859" s="1" t="s">
        <v>3087</v>
      </c>
      <c r="B859" s="7" t="s">
        <v>3088</v>
      </c>
      <c r="C859" s="2" t="s">
        <v>3089</v>
      </c>
      <c r="D859" s="1" t="s">
        <v>3090</v>
      </c>
      <c r="E859" s="16"/>
      <c r="F859" s="16"/>
      <c r="G859" s="16"/>
      <c r="H859" s="17"/>
      <c r="I859" s="12"/>
      <c r="J859" s="12"/>
      <c r="K859" s="12"/>
      <c r="L859" s="12"/>
      <c r="M859" s="18" t="str">
        <f t="shared" si="1"/>
        <v>#DIV/0!</v>
      </c>
      <c r="N859" s="18" t="str">
        <f t="shared" si="2"/>
        <v>#DIV/0!</v>
      </c>
      <c r="O859" s="12" t="str">
        <f t="shared" si="4"/>
        <v/>
      </c>
      <c r="P859" s="18" t="str">
        <f t="shared" si="3"/>
        <v>#DIV/0!</v>
      </c>
      <c r="Q859" s="12"/>
    </row>
    <row r="860">
      <c r="A860" s="1" t="s">
        <v>3091</v>
      </c>
      <c r="B860" s="7" t="s">
        <v>3092</v>
      </c>
      <c r="C860" s="2" t="s">
        <v>3093</v>
      </c>
      <c r="D860" s="7" t="s">
        <v>3094</v>
      </c>
      <c r="E860" s="16"/>
      <c r="F860" s="16"/>
      <c r="G860" s="16"/>
      <c r="H860" s="17"/>
      <c r="I860" s="12"/>
      <c r="J860" s="12"/>
      <c r="K860" s="12"/>
      <c r="L860" s="12"/>
      <c r="M860" s="18" t="str">
        <f t="shared" si="1"/>
        <v>#DIV/0!</v>
      </c>
      <c r="N860" s="18" t="str">
        <f t="shared" si="2"/>
        <v>#DIV/0!</v>
      </c>
      <c r="O860" s="12" t="str">
        <f t="shared" si="4"/>
        <v/>
      </c>
      <c r="P860" s="18" t="str">
        <f t="shared" si="3"/>
        <v>#DIV/0!</v>
      </c>
      <c r="Q860" s="12"/>
    </row>
    <row r="861">
      <c r="A861" s="1" t="s">
        <v>3095</v>
      </c>
      <c r="B861" s="7" t="s">
        <v>3096</v>
      </c>
      <c r="C861" s="2" t="s">
        <v>3097</v>
      </c>
      <c r="D861" s="7" t="s">
        <v>3098</v>
      </c>
      <c r="E861" s="16"/>
      <c r="F861" s="16"/>
      <c r="G861" s="16"/>
      <c r="H861" s="17"/>
      <c r="I861" s="12"/>
      <c r="J861" s="12"/>
      <c r="K861" s="12"/>
      <c r="L861" s="12"/>
      <c r="M861" s="18" t="str">
        <f t="shared" si="1"/>
        <v>#DIV/0!</v>
      </c>
      <c r="N861" s="18" t="str">
        <f t="shared" si="2"/>
        <v>#DIV/0!</v>
      </c>
      <c r="O861" s="12" t="str">
        <f t="shared" si="4"/>
        <v/>
      </c>
      <c r="P861" s="18" t="str">
        <f t="shared" si="3"/>
        <v>#DIV/0!</v>
      </c>
      <c r="Q861" s="12"/>
    </row>
    <row r="862">
      <c r="A862" s="1" t="s">
        <v>3099</v>
      </c>
      <c r="B862" s="7" t="s">
        <v>3100</v>
      </c>
      <c r="C862" s="2" t="s">
        <v>2510</v>
      </c>
      <c r="D862" s="7" t="s">
        <v>2511</v>
      </c>
      <c r="E862" s="16"/>
      <c r="F862" s="16"/>
      <c r="G862" s="16"/>
      <c r="H862" s="17"/>
      <c r="I862" s="12"/>
      <c r="J862" s="12"/>
      <c r="K862" s="12"/>
      <c r="L862" s="12"/>
      <c r="M862" s="18" t="str">
        <f t="shared" si="1"/>
        <v>#DIV/0!</v>
      </c>
      <c r="N862" s="18" t="str">
        <f t="shared" si="2"/>
        <v>#DIV/0!</v>
      </c>
      <c r="O862" s="12" t="str">
        <f t="shared" si="4"/>
        <v/>
      </c>
      <c r="P862" s="18" t="str">
        <f t="shared" si="3"/>
        <v>#DIV/0!</v>
      </c>
      <c r="Q862" s="12"/>
    </row>
    <row r="863">
      <c r="A863" s="1" t="s">
        <v>3101</v>
      </c>
      <c r="B863" s="7" t="s">
        <v>3102</v>
      </c>
      <c r="C863" s="2" t="s">
        <v>3103</v>
      </c>
      <c r="D863" s="7" t="s">
        <v>3104</v>
      </c>
      <c r="E863" s="16"/>
      <c r="F863" s="16"/>
      <c r="G863" s="16"/>
      <c r="H863" s="17"/>
      <c r="I863" s="12"/>
      <c r="J863" s="12"/>
      <c r="K863" s="12"/>
      <c r="L863" s="12"/>
      <c r="M863" s="18" t="str">
        <f t="shared" si="1"/>
        <v>#DIV/0!</v>
      </c>
      <c r="N863" s="18" t="str">
        <f t="shared" si="2"/>
        <v>#DIV/0!</v>
      </c>
      <c r="O863" s="12" t="str">
        <f t="shared" si="4"/>
        <v/>
      </c>
      <c r="P863" s="18" t="str">
        <f t="shared" si="3"/>
        <v>#DIV/0!</v>
      </c>
      <c r="Q863" s="12"/>
    </row>
    <row r="864">
      <c r="A864" s="1" t="s">
        <v>3105</v>
      </c>
      <c r="B864" s="7" t="s">
        <v>3106</v>
      </c>
      <c r="C864" s="2" t="s">
        <v>3107</v>
      </c>
      <c r="D864" s="1" t="s">
        <v>3108</v>
      </c>
      <c r="E864" s="16"/>
      <c r="F864" s="16"/>
      <c r="G864" s="16"/>
      <c r="H864" s="17"/>
      <c r="I864" s="12"/>
      <c r="J864" s="12"/>
      <c r="K864" s="12"/>
      <c r="L864" s="12"/>
      <c r="M864" s="18" t="str">
        <f t="shared" si="1"/>
        <v>#DIV/0!</v>
      </c>
      <c r="N864" s="18" t="str">
        <f t="shared" si="2"/>
        <v>#DIV/0!</v>
      </c>
      <c r="O864" s="12" t="str">
        <f t="shared" si="4"/>
        <v/>
      </c>
      <c r="P864" s="18" t="str">
        <f t="shared" si="3"/>
        <v>#DIV/0!</v>
      </c>
      <c r="Q864" s="12"/>
    </row>
    <row r="865">
      <c r="A865" s="1" t="s">
        <v>3109</v>
      </c>
      <c r="B865" s="7" t="s">
        <v>3110</v>
      </c>
      <c r="C865" s="2" t="s">
        <v>3111</v>
      </c>
      <c r="D865" s="7" t="s">
        <v>3112</v>
      </c>
      <c r="E865" s="16"/>
      <c r="F865" s="16"/>
      <c r="G865" s="16"/>
      <c r="H865" s="17"/>
      <c r="I865" s="12"/>
      <c r="J865" s="12"/>
      <c r="K865" s="12"/>
      <c r="L865" s="12"/>
      <c r="M865" s="18" t="str">
        <f t="shared" si="1"/>
        <v>#DIV/0!</v>
      </c>
      <c r="N865" s="18" t="str">
        <f t="shared" si="2"/>
        <v>#DIV/0!</v>
      </c>
      <c r="O865" s="12" t="str">
        <f t="shared" si="4"/>
        <v/>
      </c>
      <c r="P865" s="18" t="str">
        <f t="shared" si="3"/>
        <v>#DIV/0!</v>
      </c>
      <c r="Q865" s="12"/>
    </row>
    <row r="866">
      <c r="A866" s="1" t="s">
        <v>3113</v>
      </c>
      <c r="B866" s="7" t="s">
        <v>3114</v>
      </c>
      <c r="C866" s="2" t="s">
        <v>3115</v>
      </c>
      <c r="D866" s="1" t="s">
        <v>3116</v>
      </c>
      <c r="E866" s="16"/>
      <c r="F866" s="16"/>
      <c r="G866" s="16"/>
      <c r="H866" s="17"/>
      <c r="I866" s="12"/>
      <c r="J866" s="12"/>
      <c r="K866" s="12"/>
      <c r="L866" s="12"/>
      <c r="M866" s="18" t="str">
        <f t="shared" si="1"/>
        <v>#DIV/0!</v>
      </c>
      <c r="N866" s="18" t="str">
        <f t="shared" si="2"/>
        <v>#DIV/0!</v>
      </c>
      <c r="O866" s="12" t="str">
        <f t="shared" si="4"/>
        <v/>
      </c>
      <c r="P866" s="18" t="str">
        <f t="shared" si="3"/>
        <v>#DIV/0!</v>
      </c>
      <c r="Q866" s="12"/>
    </row>
    <row r="867">
      <c r="A867" s="1" t="s">
        <v>3117</v>
      </c>
      <c r="B867" s="7" t="s">
        <v>3118</v>
      </c>
      <c r="C867" s="2" t="s">
        <v>3119</v>
      </c>
      <c r="D867" s="1" t="s">
        <v>3120</v>
      </c>
      <c r="E867" s="16"/>
      <c r="F867" s="16"/>
      <c r="G867" s="16"/>
      <c r="H867" s="17"/>
      <c r="I867" s="12"/>
      <c r="J867" s="12"/>
      <c r="K867" s="12"/>
      <c r="L867" s="12"/>
      <c r="M867" s="18" t="str">
        <f t="shared" si="1"/>
        <v>#DIV/0!</v>
      </c>
      <c r="N867" s="18" t="str">
        <f t="shared" si="2"/>
        <v>#DIV/0!</v>
      </c>
      <c r="O867" s="12" t="str">
        <f t="shared" si="4"/>
        <v/>
      </c>
      <c r="P867" s="18" t="str">
        <f t="shared" si="3"/>
        <v>#DIV/0!</v>
      </c>
      <c r="Q867" s="12"/>
    </row>
    <row r="868">
      <c r="A868" s="1" t="s">
        <v>3121</v>
      </c>
      <c r="B868" s="7" t="s">
        <v>3122</v>
      </c>
      <c r="C868" s="2" t="s">
        <v>3123</v>
      </c>
      <c r="D868" s="7" t="s">
        <v>3124</v>
      </c>
      <c r="E868" s="16"/>
      <c r="F868" s="16"/>
      <c r="G868" s="16"/>
      <c r="H868" s="17"/>
      <c r="I868" s="12"/>
      <c r="J868" s="12"/>
      <c r="K868" s="12"/>
      <c r="L868" s="12"/>
      <c r="M868" s="18" t="str">
        <f t="shared" si="1"/>
        <v>#DIV/0!</v>
      </c>
      <c r="N868" s="18" t="str">
        <f t="shared" si="2"/>
        <v>#DIV/0!</v>
      </c>
      <c r="O868" s="12" t="str">
        <f t="shared" si="4"/>
        <v/>
      </c>
      <c r="P868" s="18" t="str">
        <f t="shared" si="3"/>
        <v>#DIV/0!</v>
      </c>
      <c r="Q868" s="12"/>
    </row>
    <row r="869">
      <c r="A869" s="1" t="s">
        <v>3125</v>
      </c>
      <c r="B869" s="7" t="s">
        <v>3126</v>
      </c>
      <c r="C869" s="2" t="s">
        <v>3127</v>
      </c>
      <c r="D869" s="7" t="s">
        <v>3128</v>
      </c>
      <c r="E869" s="16"/>
      <c r="F869" s="16"/>
      <c r="G869" s="16"/>
      <c r="H869" s="17"/>
      <c r="I869" s="12"/>
      <c r="J869" s="12"/>
      <c r="K869" s="12"/>
      <c r="L869" s="12"/>
      <c r="M869" s="18" t="str">
        <f t="shared" si="1"/>
        <v>#DIV/0!</v>
      </c>
      <c r="N869" s="18" t="str">
        <f t="shared" si="2"/>
        <v>#DIV/0!</v>
      </c>
      <c r="O869" s="12" t="str">
        <f t="shared" si="4"/>
        <v/>
      </c>
      <c r="P869" s="18" t="str">
        <f t="shared" si="3"/>
        <v>#DIV/0!</v>
      </c>
      <c r="Q869" s="12"/>
    </row>
    <row r="870">
      <c r="A870" s="1" t="s">
        <v>3129</v>
      </c>
      <c r="B870" s="7" t="s">
        <v>3130</v>
      </c>
      <c r="C870" s="2" t="s">
        <v>3131</v>
      </c>
      <c r="D870" s="1" t="s">
        <v>3132</v>
      </c>
      <c r="E870" s="16"/>
      <c r="F870" s="16"/>
      <c r="G870" s="16"/>
      <c r="H870" s="17"/>
      <c r="I870" s="12"/>
      <c r="J870" s="12"/>
      <c r="K870" s="12"/>
      <c r="L870" s="12"/>
      <c r="M870" s="18" t="str">
        <f t="shared" si="1"/>
        <v>#DIV/0!</v>
      </c>
      <c r="N870" s="18" t="str">
        <f t="shared" si="2"/>
        <v>#DIV/0!</v>
      </c>
      <c r="O870" s="12" t="str">
        <f t="shared" si="4"/>
        <v/>
      </c>
      <c r="P870" s="18" t="str">
        <f t="shared" si="3"/>
        <v>#DIV/0!</v>
      </c>
      <c r="Q870" s="12"/>
    </row>
    <row r="871">
      <c r="A871" s="1" t="s">
        <v>3133</v>
      </c>
      <c r="B871" s="7" t="s">
        <v>3134</v>
      </c>
      <c r="C871" s="2" t="s">
        <v>3135</v>
      </c>
      <c r="D871" s="1" t="s">
        <v>3136</v>
      </c>
      <c r="E871" s="16"/>
      <c r="F871" s="16"/>
      <c r="G871" s="16"/>
      <c r="H871" s="17"/>
      <c r="I871" s="12"/>
      <c r="J871" s="12"/>
      <c r="K871" s="12"/>
      <c r="L871" s="12"/>
      <c r="M871" s="18" t="str">
        <f t="shared" si="1"/>
        <v>#DIV/0!</v>
      </c>
      <c r="N871" s="18" t="str">
        <f t="shared" si="2"/>
        <v>#DIV/0!</v>
      </c>
      <c r="O871" s="12" t="str">
        <f t="shared" si="4"/>
        <v/>
      </c>
      <c r="P871" s="18" t="str">
        <f t="shared" si="3"/>
        <v>#DIV/0!</v>
      </c>
      <c r="Q871" s="12"/>
    </row>
    <row r="872">
      <c r="A872" s="1" t="s">
        <v>3137</v>
      </c>
      <c r="B872" s="7" t="s">
        <v>3138</v>
      </c>
      <c r="C872" s="2" t="s">
        <v>681</v>
      </c>
      <c r="D872" s="7" t="s">
        <v>445</v>
      </c>
      <c r="E872" s="16"/>
      <c r="F872" s="16"/>
      <c r="G872" s="16"/>
      <c r="H872" s="17"/>
      <c r="I872" s="12"/>
      <c r="J872" s="12"/>
      <c r="K872" s="12"/>
      <c r="L872" s="12"/>
      <c r="M872" s="18" t="str">
        <f t="shared" si="1"/>
        <v>#DIV/0!</v>
      </c>
      <c r="N872" s="18" t="str">
        <f t="shared" si="2"/>
        <v>#DIV/0!</v>
      </c>
      <c r="O872" s="12" t="str">
        <f t="shared" si="4"/>
        <v/>
      </c>
      <c r="P872" s="18" t="str">
        <f t="shared" si="3"/>
        <v>#DIV/0!</v>
      </c>
      <c r="Q872" s="12"/>
    </row>
    <row r="873">
      <c r="A873" s="1" t="s">
        <v>3139</v>
      </c>
      <c r="B873" s="7" t="s">
        <v>3140</v>
      </c>
      <c r="C873" s="2" t="s">
        <v>176</v>
      </c>
      <c r="D873" s="7" t="s">
        <v>177</v>
      </c>
      <c r="E873" s="16"/>
      <c r="F873" s="16"/>
      <c r="G873" s="16"/>
      <c r="H873" s="17"/>
      <c r="I873" s="12"/>
      <c r="J873" s="12"/>
      <c r="K873" s="12"/>
      <c r="L873" s="12"/>
      <c r="M873" s="18" t="str">
        <f t="shared" si="1"/>
        <v>#DIV/0!</v>
      </c>
      <c r="N873" s="18" t="str">
        <f t="shared" si="2"/>
        <v>#DIV/0!</v>
      </c>
      <c r="O873" s="12" t="str">
        <f t="shared" si="4"/>
        <v/>
      </c>
      <c r="P873" s="18" t="str">
        <f t="shared" si="3"/>
        <v>#DIV/0!</v>
      </c>
      <c r="Q873" s="12"/>
    </row>
    <row r="874">
      <c r="A874" s="1" t="s">
        <v>3141</v>
      </c>
      <c r="B874" s="7" t="s">
        <v>3142</v>
      </c>
      <c r="C874" s="2" t="s">
        <v>3143</v>
      </c>
      <c r="D874" s="1" t="s">
        <v>3144</v>
      </c>
      <c r="E874" s="16"/>
      <c r="F874" s="16"/>
      <c r="G874" s="16"/>
      <c r="H874" s="17"/>
      <c r="I874" s="12"/>
      <c r="J874" s="12"/>
      <c r="K874" s="12"/>
      <c r="L874" s="12"/>
      <c r="M874" s="18" t="str">
        <f t="shared" si="1"/>
        <v>#DIV/0!</v>
      </c>
      <c r="N874" s="18" t="str">
        <f t="shared" si="2"/>
        <v>#DIV/0!</v>
      </c>
      <c r="O874" s="12" t="str">
        <f t="shared" si="4"/>
        <v/>
      </c>
      <c r="P874" s="18" t="str">
        <f t="shared" si="3"/>
        <v>#DIV/0!</v>
      </c>
      <c r="Q874" s="12"/>
    </row>
    <row r="875">
      <c r="A875" s="1" t="s">
        <v>3145</v>
      </c>
      <c r="B875" s="7" t="s">
        <v>3146</v>
      </c>
      <c r="C875" s="2" t="s">
        <v>3147</v>
      </c>
      <c r="D875" s="1" t="s">
        <v>3148</v>
      </c>
      <c r="E875" s="16"/>
      <c r="F875" s="16"/>
      <c r="G875" s="16"/>
      <c r="H875" s="17"/>
      <c r="I875" s="12"/>
      <c r="J875" s="12"/>
      <c r="K875" s="12"/>
      <c r="L875" s="12"/>
      <c r="M875" s="18" t="str">
        <f t="shared" si="1"/>
        <v>#DIV/0!</v>
      </c>
      <c r="N875" s="18" t="str">
        <f t="shared" si="2"/>
        <v>#DIV/0!</v>
      </c>
      <c r="O875" s="12" t="str">
        <f t="shared" si="4"/>
        <v/>
      </c>
      <c r="P875" s="18" t="str">
        <f t="shared" si="3"/>
        <v>#DIV/0!</v>
      </c>
      <c r="Q875" s="12"/>
    </row>
    <row r="876">
      <c r="A876" s="1" t="s">
        <v>3149</v>
      </c>
      <c r="B876" s="7" t="s">
        <v>3150</v>
      </c>
      <c r="C876" s="2" t="s">
        <v>3151</v>
      </c>
      <c r="D876" s="1" t="s">
        <v>3152</v>
      </c>
      <c r="E876" s="16"/>
      <c r="F876" s="16"/>
      <c r="G876" s="16"/>
      <c r="H876" s="17"/>
      <c r="I876" s="12"/>
      <c r="J876" s="12"/>
      <c r="K876" s="12"/>
      <c r="L876" s="12"/>
      <c r="M876" s="18" t="str">
        <f t="shared" si="1"/>
        <v>#DIV/0!</v>
      </c>
      <c r="N876" s="18" t="str">
        <f t="shared" si="2"/>
        <v>#DIV/0!</v>
      </c>
      <c r="O876" s="12" t="str">
        <f t="shared" si="4"/>
        <v/>
      </c>
      <c r="P876" s="18" t="str">
        <f t="shared" si="3"/>
        <v>#DIV/0!</v>
      </c>
      <c r="Q876" s="12"/>
    </row>
    <row r="877">
      <c r="A877" s="1" t="s">
        <v>3153</v>
      </c>
      <c r="B877" s="7" t="s">
        <v>3154</v>
      </c>
      <c r="C877" s="2" t="s">
        <v>3155</v>
      </c>
      <c r="D877" s="1" t="s">
        <v>3156</v>
      </c>
      <c r="E877" s="16"/>
      <c r="F877" s="16"/>
      <c r="G877" s="16"/>
      <c r="H877" s="17"/>
      <c r="I877" s="12"/>
      <c r="J877" s="12"/>
      <c r="K877" s="12"/>
      <c r="L877" s="12"/>
      <c r="M877" s="18" t="str">
        <f t="shared" si="1"/>
        <v>#DIV/0!</v>
      </c>
      <c r="N877" s="18" t="str">
        <f t="shared" si="2"/>
        <v>#DIV/0!</v>
      </c>
      <c r="O877" s="12" t="str">
        <f t="shared" si="4"/>
        <v/>
      </c>
      <c r="P877" s="18" t="str">
        <f t="shared" si="3"/>
        <v>#DIV/0!</v>
      </c>
      <c r="Q877" s="12"/>
    </row>
    <row r="878">
      <c r="A878" s="1" t="s">
        <v>3157</v>
      </c>
      <c r="B878" s="7" t="s">
        <v>3158</v>
      </c>
      <c r="C878" s="2" t="s">
        <v>3159</v>
      </c>
      <c r="D878" s="7" t="s">
        <v>1511</v>
      </c>
      <c r="E878" s="16"/>
      <c r="F878" s="16"/>
      <c r="G878" s="16"/>
      <c r="H878" s="17"/>
      <c r="I878" s="12"/>
      <c r="J878" s="12"/>
      <c r="K878" s="12"/>
      <c r="L878" s="12"/>
      <c r="M878" s="18" t="str">
        <f t="shared" si="1"/>
        <v>#DIV/0!</v>
      </c>
      <c r="N878" s="18" t="str">
        <f t="shared" si="2"/>
        <v>#DIV/0!</v>
      </c>
      <c r="O878" s="12" t="str">
        <f t="shared" si="4"/>
        <v/>
      </c>
      <c r="P878" s="18" t="str">
        <f t="shared" si="3"/>
        <v>#DIV/0!</v>
      </c>
      <c r="Q878" s="12"/>
    </row>
    <row r="879">
      <c r="A879" s="1" t="s">
        <v>3160</v>
      </c>
      <c r="B879" s="7" t="s">
        <v>3161</v>
      </c>
      <c r="C879" s="2" t="s">
        <v>3162</v>
      </c>
      <c r="D879" s="1" t="s">
        <v>3163</v>
      </c>
      <c r="E879" s="16"/>
      <c r="F879" s="16"/>
      <c r="G879" s="16"/>
      <c r="H879" s="17"/>
      <c r="I879" s="12"/>
      <c r="J879" s="12"/>
      <c r="K879" s="12"/>
      <c r="L879" s="12"/>
      <c r="M879" s="18" t="str">
        <f t="shared" si="1"/>
        <v>#DIV/0!</v>
      </c>
      <c r="N879" s="18" t="str">
        <f t="shared" si="2"/>
        <v>#DIV/0!</v>
      </c>
      <c r="O879" s="12" t="str">
        <f t="shared" si="4"/>
        <v/>
      </c>
      <c r="P879" s="18" t="str">
        <f t="shared" si="3"/>
        <v>#DIV/0!</v>
      </c>
      <c r="Q879" s="12"/>
    </row>
    <row r="880">
      <c r="A880" s="1" t="s">
        <v>3164</v>
      </c>
      <c r="B880" s="7" t="s">
        <v>3165</v>
      </c>
      <c r="C880" s="2" t="s">
        <v>172</v>
      </c>
      <c r="D880" s="7" t="s">
        <v>173</v>
      </c>
      <c r="E880" s="16"/>
      <c r="F880" s="16"/>
      <c r="G880" s="16"/>
      <c r="H880" s="17"/>
      <c r="I880" s="12"/>
      <c r="J880" s="12"/>
      <c r="K880" s="12"/>
      <c r="L880" s="12"/>
      <c r="M880" s="18" t="str">
        <f t="shared" si="1"/>
        <v>#DIV/0!</v>
      </c>
      <c r="N880" s="18" t="str">
        <f t="shared" si="2"/>
        <v>#DIV/0!</v>
      </c>
      <c r="O880" s="12" t="str">
        <f t="shared" si="4"/>
        <v/>
      </c>
      <c r="P880" s="18" t="str">
        <f t="shared" si="3"/>
        <v>#DIV/0!</v>
      </c>
      <c r="Q880" s="12"/>
    </row>
    <row r="881">
      <c r="A881" s="1" t="s">
        <v>3166</v>
      </c>
      <c r="B881" s="7" t="s">
        <v>3167</v>
      </c>
      <c r="C881" s="2" t="s">
        <v>1021</v>
      </c>
      <c r="D881" s="7" t="s">
        <v>1022</v>
      </c>
      <c r="E881" s="16"/>
      <c r="F881" s="16"/>
      <c r="G881" s="16"/>
      <c r="H881" s="17"/>
      <c r="I881" s="12"/>
      <c r="J881" s="12"/>
      <c r="K881" s="12"/>
      <c r="L881" s="12"/>
      <c r="M881" s="18" t="str">
        <f t="shared" si="1"/>
        <v>#DIV/0!</v>
      </c>
      <c r="N881" s="18" t="str">
        <f t="shared" si="2"/>
        <v>#DIV/0!</v>
      </c>
      <c r="O881" s="12" t="str">
        <f t="shared" si="4"/>
        <v/>
      </c>
      <c r="P881" s="18" t="str">
        <f t="shared" si="3"/>
        <v>#DIV/0!</v>
      </c>
      <c r="Q881" s="12"/>
    </row>
    <row r="882">
      <c r="A882" s="1" t="s">
        <v>3168</v>
      </c>
      <c r="B882" s="7" t="s">
        <v>3169</v>
      </c>
      <c r="C882" s="2" t="s">
        <v>3170</v>
      </c>
      <c r="D882" s="1" t="s">
        <v>3171</v>
      </c>
      <c r="E882" s="16"/>
      <c r="F882" s="16"/>
      <c r="G882" s="16"/>
      <c r="H882" s="17"/>
      <c r="I882" s="12"/>
      <c r="J882" s="12"/>
      <c r="K882" s="12"/>
      <c r="L882" s="12"/>
      <c r="M882" s="18" t="str">
        <f t="shared" si="1"/>
        <v>#DIV/0!</v>
      </c>
      <c r="N882" s="18" t="str">
        <f t="shared" si="2"/>
        <v>#DIV/0!</v>
      </c>
      <c r="O882" s="12" t="str">
        <f t="shared" si="4"/>
        <v/>
      </c>
      <c r="P882" s="18" t="str">
        <f t="shared" si="3"/>
        <v>#DIV/0!</v>
      </c>
      <c r="Q882" s="12"/>
    </row>
    <row r="883">
      <c r="A883" s="1" t="s">
        <v>3172</v>
      </c>
      <c r="B883" s="7" t="s">
        <v>3173</v>
      </c>
      <c r="C883" s="2" t="s">
        <v>3174</v>
      </c>
      <c r="D883" s="1" t="s">
        <v>3175</v>
      </c>
      <c r="E883" s="16"/>
      <c r="F883" s="16"/>
      <c r="G883" s="16"/>
      <c r="H883" s="17"/>
      <c r="I883" s="12"/>
      <c r="J883" s="12"/>
      <c r="K883" s="12"/>
      <c r="L883" s="12"/>
      <c r="M883" s="18" t="str">
        <f t="shared" si="1"/>
        <v>#DIV/0!</v>
      </c>
      <c r="N883" s="18" t="str">
        <f t="shared" si="2"/>
        <v>#DIV/0!</v>
      </c>
      <c r="O883" s="12" t="str">
        <f t="shared" si="4"/>
        <v/>
      </c>
      <c r="P883" s="18" t="str">
        <f t="shared" si="3"/>
        <v>#DIV/0!</v>
      </c>
      <c r="Q883" s="12"/>
    </row>
    <row r="884">
      <c r="A884" s="1" t="s">
        <v>3176</v>
      </c>
      <c r="B884" s="7" t="s">
        <v>3177</v>
      </c>
      <c r="C884" s="2" t="s">
        <v>3178</v>
      </c>
      <c r="D884" s="1" t="s">
        <v>3179</v>
      </c>
      <c r="E884" s="16"/>
      <c r="F884" s="16"/>
      <c r="G884" s="16"/>
      <c r="H884" s="17"/>
      <c r="I884" s="12"/>
      <c r="J884" s="12"/>
      <c r="K884" s="12"/>
      <c r="L884" s="12"/>
      <c r="M884" s="18" t="str">
        <f t="shared" si="1"/>
        <v>#DIV/0!</v>
      </c>
      <c r="N884" s="18" t="str">
        <f t="shared" si="2"/>
        <v>#DIV/0!</v>
      </c>
      <c r="O884" s="12" t="str">
        <f t="shared" si="4"/>
        <v/>
      </c>
      <c r="P884" s="18" t="str">
        <f t="shared" si="3"/>
        <v>#DIV/0!</v>
      </c>
      <c r="Q884" s="12"/>
    </row>
    <row r="885">
      <c r="A885" s="1" t="s">
        <v>3180</v>
      </c>
      <c r="B885" s="7" t="s">
        <v>3181</v>
      </c>
      <c r="C885" s="2" t="s">
        <v>2630</v>
      </c>
      <c r="D885" s="1" t="s">
        <v>2631</v>
      </c>
      <c r="E885" s="16"/>
      <c r="F885" s="16"/>
      <c r="G885" s="16"/>
      <c r="H885" s="17"/>
      <c r="I885" s="12"/>
      <c r="J885" s="12"/>
      <c r="K885" s="12"/>
      <c r="L885" s="12"/>
      <c r="M885" s="18" t="str">
        <f t="shared" si="1"/>
        <v>#DIV/0!</v>
      </c>
      <c r="N885" s="18" t="str">
        <f t="shared" si="2"/>
        <v>#DIV/0!</v>
      </c>
      <c r="O885" s="12" t="str">
        <f t="shared" si="4"/>
        <v/>
      </c>
      <c r="P885" s="18" t="str">
        <f t="shared" si="3"/>
        <v>#DIV/0!</v>
      </c>
      <c r="Q885" s="12"/>
    </row>
    <row r="886">
      <c r="A886" s="1" t="s">
        <v>3182</v>
      </c>
      <c r="B886" s="7" t="s">
        <v>3183</v>
      </c>
      <c r="C886" s="2" t="s">
        <v>3184</v>
      </c>
      <c r="D886" s="1" t="s">
        <v>3185</v>
      </c>
      <c r="E886" s="16"/>
      <c r="F886" s="16"/>
      <c r="G886" s="16"/>
      <c r="H886" s="17"/>
      <c r="I886" s="12"/>
      <c r="J886" s="12"/>
      <c r="K886" s="12"/>
      <c r="L886" s="12"/>
      <c r="M886" s="18" t="str">
        <f t="shared" si="1"/>
        <v>#DIV/0!</v>
      </c>
      <c r="N886" s="18" t="str">
        <f t="shared" si="2"/>
        <v>#DIV/0!</v>
      </c>
      <c r="O886" s="12" t="str">
        <f t="shared" si="4"/>
        <v/>
      </c>
      <c r="P886" s="18" t="str">
        <f t="shared" si="3"/>
        <v>#DIV/0!</v>
      </c>
      <c r="Q886" s="12"/>
    </row>
    <row r="887">
      <c r="A887" s="1" t="s">
        <v>3186</v>
      </c>
      <c r="B887" s="7" t="s">
        <v>3187</v>
      </c>
      <c r="C887" s="2" t="s">
        <v>3188</v>
      </c>
      <c r="D887" s="7" t="s">
        <v>49</v>
      </c>
      <c r="E887" s="16"/>
      <c r="F887" s="16"/>
      <c r="G887" s="16"/>
      <c r="H887" s="17"/>
      <c r="I887" s="12"/>
      <c r="J887" s="12"/>
      <c r="K887" s="12"/>
      <c r="L887" s="12"/>
      <c r="M887" s="18" t="str">
        <f t="shared" si="1"/>
        <v>#DIV/0!</v>
      </c>
      <c r="N887" s="18" t="str">
        <f t="shared" si="2"/>
        <v>#DIV/0!</v>
      </c>
      <c r="O887" s="12" t="str">
        <f t="shared" si="4"/>
        <v/>
      </c>
      <c r="P887" s="18" t="str">
        <f t="shared" si="3"/>
        <v>#DIV/0!</v>
      </c>
      <c r="Q887" s="12"/>
    </row>
    <row r="888">
      <c r="A888" s="1" t="s">
        <v>3189</v>
      </c>
      <c r="B888" s="7" t="s">
        <v>3190</v>
      </c>
      <c r="C888" s="2" t="s">
        <v>3191</v>
      </c>
      <c r="D888" s="1" t="s">
        <v>3192</v>
      </c>
      <c r="E888" s="16"/>
      <c r="F888" s="16"/>
      <c r="G888" s="16"/>
      <c r="H888" s="17"/>
      <c r="I888" s="12"/>
      <c r="J888" s="12"/>
      <c r="K888" s="12"/>
      <c r="L888" s="12"/>
      <c r="M888" s="18" t="str">
        <f t="shared" si="1"/>
        <v>#DIV/0!</v>
      </c>
      <c r="N888" s="18" t="str">
        <f t="shared" si="2"/>
        <v>#DIV/0!</v>
      </c>
      <c r="O888" s="12" t="str">
        <f t="shared" si="4"/>
        <v/>
      </c>
      <c r="P888" s="18" t="str">
        <f t="shared" si="3"/>
        <v>#DIV/0!</v>
      </c>
      <c r="Q888" s="12"/>
    </row>
    <row r="889">
      <c r="A889" s="1" t="s">
        <v>3193</v>
      </c>
      <c r="B889" s="7" t="s">
        <v>3194</v>
      </c>
      <c r="C889" s="2" t="s">
        <v>3195</v>
      </c>
      <c r="D889" s="7" t="s">
        <v>3196</v>
      </c>
      <c r="E889" s="16"/>
      <c r="F889" s="16"/>
      <c r="G889" s="16"/>
      <c r="H889" s="17"/>
      <c r="I889" s="12"/>
      <c r="J889" s="12"/>
      <c r="K889" s="12"/>
      <c r="L889" s="12"/>
      <c r="M889" s="18" t="str">
        <f t="shared" si="1"/>
        <v>#DIV/0!</v>
      </c>
      <c r="N889" s="18" t="str">
        <f t="shared" si="2"/>
        <v>#DIV/0!</v>
      </c>
      <c r="O889" s="12" t="str">
        <f t="shared" si="4"/>
        <v/>
      </c>
      <c r="P889" s="18" t="str">
        <f t="shared" si="3"/>
        <v>#DIV/0!</v>
      </c>
      <c r="Q889" s="12"/>
    </row>
    <row r="890">
      <c r="A890" s="1" t="s">
        <v>3197</v>
      </c>
      <c r="B890" s="7" t="s">
        <v>3198</v>
      </c>
      <c r="C890" s="2" t="s">
        <v>3199</v>
      </c>
      <c r="D890" s="1" t="s">
        <v>3200</v>
      </c>
      <c r="E890" s="16"/>
      <c r="F890" s="16"/>
      <c r="G890" s="16"/>
      <c r="H890" s="17"/>
      <c r="I890" s="12"/>
      <c r="J890" s="12"/>
      <c r="K890" s="12"/>
      <c r="L890" s="12"/>
      <c r="M890" s="18" t="str">
        <f t="shared" si="1"/>
        <v>#DIV/0!</v>
      </c>
      <c r="N890" s="18" t="str">
        <f t="shared" si="2"/>
        <v>#DIV/0!</v>
      </c>
      <c r="O890" s="12" t="str">
        <f t="shared" si="4"/>
        <v/>
      </c>
      <c r="P890" s="18" t="str">
        <f t="shared" si="3"/>
        <v>#DIV/0!</v>
      </c>
      <c r="Q890" s="12"/>
    </row>
    <row r="891">
      <c r="A891" s="1" t="s">
        <v>3201</v>
      </c>
      <c r="B891" s="7" t="s">
        <v>3202</v>
      </c>
      <c r="C891" s="2" t="s">
        <v>2146</v>
      </c>
      <c r="D891" s="7" t="s">
        <v>2147</v>
      </c>
      <c r="E891" s="16"/>
      <c r="F891" s="16"/>
      <c r="G891" s="16"/>
      <c r="H891" s="17"/>
      <c r="I891" s="12"/>
      <c r="J891" s="12"/>
      <c r="K891" s="12"/>
      <c r="L891" s="12"/>
      <c r="M891" s="18" t="str">
        <f t="shared" si="1"/>
        <v>#DIV/0!</v>
      </c>
      <c r="N891" s="18" t="str">
        <f t="shared" si="2"/>
        <v>#DIV/0!</v>
      </c>
      <c r="O891" s="12" t="str">
        <f t="shared" si="4"/>
        <v/>
      </c>
      <c r="P891" s="18" t="str">
        <f t="shared" si="3"/>
        <v>#DIV/0!</v>
      </c>
      <c r="Q891" s="12"/>
    </row>
    <row r="892">
      <c r="A892" s="1" t="s">
        <v>3203</v>
      </c>
      <c r="B892" s="7" t="s">
        <v>3204</v>
      </c>
      <c r="C892" s="2" t="s">
        <v>40</v>
      </c>
      <c r="D892" s="7" t="s">
        <v>41</v>
      </c>
      <c r="E892" s="16"/>
      <c r="F892" s="16"/>
      <c r="G892" s="16"/>
      <c r="H892" s="17"/>
      <c r="I892" s="12"/>
      <c r="J892" s="12"/>
      <c r="K892" s="12"/>
      <c r="L892" s="12"/>
      <c r="M892" s="18" t="str">
        <f t="shared" si="1"/>
        <v>#DIV/0!</v>
      </c>
      <c r="N892" s="18" t="str">
        <f t="shared" si="2"/>
        <v>#DIV/0!</v>
      </c>
      <c r="O892" s="12" t="str">
        <f t="shared" si="4"/>
        <v/>
      </c>
      <c r="P892" s="18" t="str">
        <f t="shared" si="3"/>
        <v>#DIV/0!</v>
      </c>
      <c r="Q892" s="12"/>
    </row>
    <row r="893">
      <c r="A893" s="1" t="s">
        <v>3205</v>
      </c>
      <c r="B893" s="7" t="s">
        <v>3206</v>
      </c>
      <c r="C893" s="2" t="s">
        <v>3207</v>
      </c>
      <c r="D893" s="1" t="s">
        <v>3208</v>
      </c>
      <c r="E893" s="16"/>
      <c r="F893" s="16"/>
      <c r="G893" s="16"/>
      <c r="H893" s="17"/>
      <c r="I893" s="12"/>
      <c r="J893" s="12"/>
      <c r="K893" s="12"/>
      <c r="L893" s="12"/>
      <c r="M893" s="18" t="str">
        <f t="shared" si="1"/>
        <v>#DIV/0!</v>
      </c>
      <c r="N893" s="18" t="str">
        <f t="shared" si="2"/>
        <v>#DIV/0!</v>
      </c>
      <c r="O893" s="12" t="str">
        <f t="shared" si="4"/>
        <v/>
      </c>
      <c r="P893" s="18" t="str">
        <f t="shared" si="3"/>
        <v>#DIV/0!</v>
      </c>
      <c r="Q893" s="12"/>
    </row>
    <row r="894">
      <c r="A894" s="1" t="s">
        <v>3209</v>
      </c>
      <c r="B894" s="7" t="s">
        <v>3210</v>
      </c>
      <c r="C894" s="2" t="s">
        <v>3211</v>
      </c>
      <c r="D894" s="1" t="s">
        <v>3212</v>
      </c>
      <c r="E894" s="16"/>
      <c r="F894" s="16"/>
      <c r="G894" s="16"/>
      <c r="H894" s="17"/>
      <c r="I894" s="12"/>
      <c r="J894" s="12"/>
      <c r="K894" s="12"/>
      <c r="L894" s="12"/>
      <c r="M894" s="18" t="str">
        <f t="shared" si="1"/>
        <v>#DIV/0!</v>
      </c>
      <c r="N894" s="18" t="str">
        <f t="shared" si="2"/>
        <v>#DIV/0!</v>
      </c>
      <c r="O894" s="12" t="str">
        <f t="shared" si="4"/>
        <v/>
      </c>
      <c r="P894" s="18" t="str">
        <f t="shared" si="3"/>
        <v>#DIV/0!</v>
      </c>
      <c r="Q894" s="12"/>
    </row>
    <row r="895">
      <c r="A895" s="1" t="s">
        <v>3213</v>
      </c>
      <c r="B895" s="7" t="s">
        <v>3214</v>
      </c>
      <c r="C895" s="2" t="s">
        <v>3215</v>
      </c>
      <c r="D895" s="7" t="s">
        <v>3216</v>
      </c>
      <c r="E895" s="16"/>
      <c r="F895" s="16"/>
      <c r="G895" s="16"/>
      <c r="H895" s="17"/>
      <c r="I895" s="12"/>
      <c r="J895" s="12"/>
      <c r="K895" s="12"/>
      <c r="L895" s="12"/>
      <c r="M895" s="18" t="str">
        <f t="shared" si="1"/>
        <v>#DIV/0!</v>
      </c>
      <c r="N895" s="18" t="str">
        <f t="shared" si="2"/>
        <v>#DIV/0!</v>
      </c>
      <c r="O895" s="12" t="str">
        <f t="shared" si="4"/>
        <v/>
      </c>
      <c r="P895" s="18" t="str">
        <f t="shared" si="3"/>
        <v>#DIV/0!</v>
      </c>
      <c r="Q895" s="12"/>
    </row>
    <row r="896">
      <c r="A896" s="1" t="s">
        <v>3217</v>
      </c>
      <c r="B896" s="7" t="s">
        <v>3218</v>
      </c>
      <c r="C896" s="2" t="s">
        <v>3219</v>
      </c>
      <c r="D896" s="7" t="s">
        <v>3220</v>
      </c>
      <c r="E896" s="16"/>
      <c r="F896" s="16"/>
      <c r="G896" s="16"/>
      <c r="H896" s="17"/>
      <c r="I896" s="12"/>
      <c r="J896" s="12"/>
      <c r="K896" s="12"/>
      <c r="L896" s="12"/>
      <c r="M896" s="18" t="str">
        <f t="shared" si="1"/>
        <v>#DIV/0!</v>
      </c>
      <c r="N896" s="18" t="str">
        <f t="shared" si="2"/>
        <v>#DIV/0!</v>
      </c>
      <c r="O896" s="12" t="str">
        <f t="shared" si="4"/>
        <v/>
      </c>
      <c r="P896" s="18" t="str">
        <f t="shared" si="3"/>
        <v>#DIV/0!</v>
      </c>
      <c r="Q896" s="12"/>
    </row>
    <row r="897">
      <c r="A897" s="1" t="s">
        <v>3221</v>
      </c>
      <c r="B897" s="7" t="s">
        <v>3222</v>
      </c>
      <c r="C897" s="2" t="s">
        <v>3223</v>
      </c>
      <c r="D897" s="1" t="s">
        <v>3224</v>
      </c>
      <c r="E897" s="16"/>
      <c r="F897" s="16"/>
      <c r="G897" s="16"/>
      <c r="H897" s="17"/>
      <c r="I897" s="12"/>
      <c r="J897" s="12"/>
      <c r="K897" s="12"/>
      <c r="L897" s="12"/>
      <c r="M897" s="18" t="str">
        <f t="shared" si="1"/>
        <v>#DIV/0!</v>
      </c>
      <c r="N897" s="18" t="str">
        <f t="shared" si="2"/>
        <v>#DIV/0!</v>
      </c>
      <c r="O897" s="12" t="str">
        <f t="shared" si="4"/>
        <v/>
      </c>
      <c r="P897" s="18" t="str">
        <f t="shared" si="3"/>
        <v>#DIV/0!</v>
      </c>
      <c r="Q897" s="12"/>
    </row>
    <row r="898">
      <c r="A898" s="1" t="s">
        <v>3225</v>
      </c>
      <c r="B898" s="7" t="s">
        <v>3226</v>
      </c>
      <c r="C898" s="2" t="s">
        <v>3227</v>
      </c>
      <c r="D898" s="7" t="s">
        <v>3228</v>
      </c>
      <c r="E898" s="16"/>
      <c r="F898" s="16"/>
      <c r="G898" s="16"/>
      <c r="H898" s="17"/>
      <c r="I898" s="12"/>
      <c r="J898" s="12"/>
      <c r="K898" s="12"/>
      <c r="L898" s="12"/>
      <c r="M898" s="18" t="str">
        <f t="shared" si="1"/>
        <v>#DIV/0!</v>
      </c>
      <c r="N898" s="18" t="str">
        <f t="shared" si="2"/>
        <v>#DIV/0!</v>
      </c>
      <c r="O898" s="12" t="str">
        <f t="shared" si="4"/>
        <v/>
      </c>
      <c r="P898" s="18" t="str">
        <f t="shared" si="3"/>
        <v>#DIV/0!</v>
      </c>
      <c r="Q898" s="12"/>
    </row>
    <row r="899">
      <c r="A899" s="1" t="s">
        <v>3229</v>
      </c>
      <c r="B899" s="7" t="s">
        <v>3230</v>
      </c>
      <c r="C899" s="2" t="s">
        <v>3231</v>
      </c>
      <c r="D899" s="1" t="s">
        <v>908</v>
      </c>
      <c r="E899" s="16"/>
      <c r="F899" s="16"/>
      <c r="G899" s="16"/>
      <c r="H899" s="17"/>
      <c r="I899" s="12"/>
      <c r="J899" s="12"/>
      <c r="K899" s="12"/>
      <c r="L899" s="12"/>
      <c r="M899" s="18" t="str">
        <f t="shared" si="1"/>
        <v>#DIV/0!</v>
      </c>
      <c r="N899" s="18" t="str">
        <f t="shared" si="2"/>
        <v>#DIV/0!</v>
      </c>
      <c r="O899" s="12" t="str">
        <f t="shared" si="4"/>
        <v/>
      </c>
      <c r="P899" s="18" t="str">
        <f t="shared" si="3"/>
        <v>#DIV/0!</v>
      </c>
      <c r="Q899" s="12"/>
    </row>
    <row r="900">
      <c r="A900" s="1" t="s">
        <v>3232</v>
      </c>
      <c r="B900" s="7" t="s">
        <v>3233</v>
      </c>
      <c r="C900" s="2" t="s">
        <v>3234</v>
      </c>
      <c r="D900" s="7" t="s">
        <v>3235</v>
      </c>
      <c r="E900" s="16"/>
      <c r="F900" s="16"/>
      <c r="G900" s="16"/>
      <c r="H900" s="17"/>
      <c r="I900" s="12"/>
      <c r="J900" s="12"/>
      <c r="K900" s="12"/>
      <c r="L900" s="12"/>
      <c r="M900" s="18" t="str">
        <f t="shared" si="1"/>
        <v>#DIV/0!</v>
      </c>
      <c r="N900" s="18" t="str">
        <f t="shared" si="2"/>
        <v>#DIV/0!</v>
      </c>
      <c r="O900" s="12" t="str">
        <f t="shared" si="4"/>
        <v/>
      </c>
      <c r="P900" s="18" t="str">
        <f t="shared" si="3"/>
        <v>#DIV/0!</v>
      </c>
      <c r="Q900" s="12"/>
    </row>
    <row r="901">
      <c r="A901" s="1" t="s">
        <v>3236</v>
      </c>
      <c r="B901" s="7" t="s">
        <v>3237</v>
      </c>
      <c r="C901" s="2" t="s">
        <v>1234</v>
      </c>
      <c r="D901" s="7" t="s">
        <v>1235</v>
      </c>
      <c r="E901" s="16"/>
      <c r="F901" s="16"/>
      <c r="G901" s="16"/>
      <c r="H901" s="17"/>
      <c r="I901" s="12"/>
      <c r="J901" s="12"/>
      <c r="K901" s="12"/>
      <c r="L901" s="12"/>
      <c r="M901" s="18" t="str">
        <f t="shared" si="1"/>
        <v>#DIV/0!</v>
      </c>
      <c r="N901" s="18" t="str">
        <f t="shared" si="2"/>
        <v>#DIV/0!</v>
      </c>
      <c r="O901" s="12" t="str">
        <f t="shared" si="4"/>
        <v/>
      </c>
      <c r="P901" s="18" t="str">
        <f t="shared" si="3"/>
        <v>#DIV/0!</v>
      </c>
      <c r="Q901" s="12"/>
    </row>
    <row r="902">
      <c r="A902" s="1" t="s">
        <v>3238</v>
      </c>
      <c r="B902" s="7" t="s">
        <v>3239</v>
      </c>
      <c r="C902" s="2" t="s">
        <v>268</v>
      </c>
      <c r="D902" s="7" t="s">
        <v>137</v>
      </c>
      <c r="E902" s="16"/>
      <c r="F902" s="16"/>
      <c r="G902" s="16"/>
      <c r="H902" s="17"/>
      <c r="I902" s="12"/>
      <c r="J902" s="12"/>
      <c r="K902" s="12"/>
      <c r="L902" s="12"/>
      <c r="M902" s="18" t="str">
        <f t="shared" si="1"/>
        <v>#DIV/0!</v>
      </c>
      <c r="N902" s="18" t="str">
        <f t="shared" si="2"/>
        <v>#DIV/0!</v>
      </c>
      <c r="O902" s="12" t="str">
        <f t="shared" si="4"/>
        <v/>
      </c>
      <c r="P902" s="18" t="str">
        <f t="shared" si="3"/>
        <v>#DIV/0!</v>
      </c>
      <c r="Q902" s="12"/>
    </row>
    <row r="903">
      <c r="A903" s="1" t="s">
        <v>3240</v>
      </c>
      <c r="B903" s="7" t="s">
        <v>3241</v>
      </c>
      <c r="C903" s="2" t="s">
        <v>3242</v>
      </c>
      <c r="D903" s="1" t="s">
        <v>3243</v>
      </c>
      <c r="E903" s="16"/>
      <c r="F903" s="16"/>
      <c r="G903" s="16"/>
      <c r="H903" s="17"/>
      <c r="I903" s="12"/>
      <c r="J903" s="12"/>
      <c r="K903" s="12"/>
      <c r="L903" s="12"/>
      <c r="M903" s="18" t="str">
        <f t="shared" si="1"/>
        <v>#DIV/0!</v>
      </c>
      <c r="N903" s="18" t="str">
        <f t="shared" si="2"/>
        <v>#DIV/0!</v>
      </c>
      <c r="O903" s="12" t="str">
        <f t="shared" si="4"/>
        <v/>
      </c>
      <c r="P903" s="18" t="str">
        <f t="shared" si="3"/>
        <v>#DIV/0!</v>
      </c>
      <c r="Q903" s="12"/>
    </row>
    <row r="904">
      <c r="A904" s="1" t="s">
        <v>3244</v>
      </c>
      <c r="B904" s="7" t="s">
        <v>3245</v>
      </c>
      <c r="C904" s="2" t="s">
        <v>3246</v>
      </c>
      <c r="D904" s="1" t="s">
        <v>2631</v>
      </c>
      <c r="E904" s="16"/>
      <c r="F904" s="16"/>
      <c r="G904" s="16"/>
      <c r="H904" s="17"/>
      <c r="I904" s="12"/>
      <c r="J904" s="12"/>
      <c r="K904" s="12"/>
      <c r="L904" s="12"/>
      <c r="M904" s="18" t="str">
        <f t="shared" si="1"/>
        <v>#DIV/0!</v>
      </c>
      <c r="N904" s="18" t="str">
        <f t="shared" si="2"/>
        <v>#DIV/0!</v>
      </c>
      <c r="O904" s="12" t="str">
        <f t="shared" si="4"/>
        <v/>
      </c>
      <c r="P904" s="18" t="str">
        <f t="shared" si="3"/>
        <v>#DIV/0!</v>
      </c>
      <c r="Q904" s="12"/>
    </row>
    <row r="905">
      <c r="A905" s="1" t="s">
        <v>3247</v>
      </c>
      <c r="B905" s="7" t="s">
        <v>3248</v>
      </c>
      <c r="C905" s="2" t="s">
        <v>268</v>
      </c>
      <c r="D905" s="7" t="s">
        <v>137</v>
      </c>
      <c r="E905" s="16"/>
      <c r="F905" s="16"/>
      <c r="G905" s="16"/>
      <c r="H905" s="17"/>
      <c r="I905" s="12"/>
      <c r="J905" s="12"/>
      <c r="K905" s="12"/>
      <c r="L905" s="12"/>
      <c r="M905" s="18" t="str">
        <f t="shared" si="1"/>
        <v>#DIV/0!</v>
      </c>
      <c r="N905" s="18" t="str">
        <f t="shared" si="2"/>
        <v>#DIV/0!</v>
      </c>
      <c r="O905" s="12" t="str">
        <f t="shared" si="4"/>
        <v/>
      </c>
      <c r="P905" s="18" t="str">
        <f t="shared" si="3"/>
        <v>#DIV/0!</v>
      </c>
      <c r="Q905" s="12"/>
    </row>
    <row r="906">
      <c r="A906" s="1" t="s">
        <v>3249</v>
      </c>
      <c r="B906" s="7" t="s">
        <v>3250</v>
      </c>
      <c r="C906" s="2" t="s">
        <v>3251</v>
      </c>
      <c r="D906" s="7" t="s">
        <v>3252</v>
      </c>
      <c r="E906" s="16"/>
      <c r="F906" s="16"/>
      <c r="G906" s="16"/>
      <c r="H906" s="17"/>
      <c r="I906" s="12"/>
      <c r="J906" s="12"/>
      <c r="K906" s="12"/>
      <c r="L906" s="12"/>
      <c r="M906" s="18" t="str">
        <f t="shared" si="1"/>
        <v>#DIV/0!</v>
      </c>
      <c r="N906" s="18" t="str">
        <f t="shared" si="2"/>
        <v>#DIV/0!</v>
      </c>
      <c r="O906" s="12" t="str">
        <f t="shared" si="4"/>
        <v/>
      </c>
      <c r="P906" s="18" t="str">
        <f t="shared" si="3"/>
        <v>#DIV/0!</v>
      </c>
      <c r="Q906" s="12"/>
    </row>
    <row r="907">
      <c r="A907" s="1" t="s">
        <v>3253</v>
      </c>
      <c r="B907" s="7" t="s">
        <v>3254</v>
      </c>
      <c r="C907" s="2" t="s">
        <v>3255</v>
      </c>
      <c r="D907" s="7" t="s">
        <v>3256</v>
      </c>
      <c r="E907" s="16"/>
      <c r="F907" s="16"/>
      <c r="G907" s="16"/>
      <c r="H907" s="17"/>
      <c r="I907" s="12"/>
      <c r="J907" s="12"/>
      <c r="K907" s="12"/>
      <c r="L907" s="12"/>
      <c r="M907" s="18" t="str">
        <f t="shared" si="1"/>
        <v>#DIV/0!</v>
      </c>
      <c r="N907" s="18" t="str">
        <f t="shared" si="2"/>
        <v>#DIV/0!</v>
      </c>
      <c r="O907" s="12" t="str">
        <f t="shared" si="4"/>
        <v/>
      </c>
      <c r="P907" s="18" t="str">
        <f t="shared" si="3"/>
        <v>#DIV/0!</v>
      </c>
      <c r="Q907" s="12"/>
    </row>
    <row r="908">
      <c r="A908" s="1" t="s">
        <v>3257</v>
      </c>
      <c r="B908" s="7" t="s">
        <v>3258</v>
      </c>
      <c r="C908" s="2" t="s">
        <v>172</v>
      </c>
      <c r="D908" s="7" t="s">
        <v>173</v>
      </c>
      <c r="E908" s="16"/>
      <c r="F908" s="16"/>
      <c r="G908" s="16"/>
      <c r="H908" s="17"/>
      <c r="I908" s="12"/>
      <c r="J908" s="12"/>
      <c r="K908" s="12"/>
      <c r="L908" s="12"/>
      <c r="M908" s="18" t="str">
        <f t="shared" si="1"/>
        <v>#DIV/0!</v>
      </c>
      <c r="N908" s="18" t="str">
        <f t="shared" si="2"/>
        <v>#DIV/0!</v>
      </c>
      <c r="O908" s="12" t="str">
        <f t="shared" si="4"/>
        <v/>
      </c>
      <c r="P908" s="18" t="str">
        <f t="shared" si="3"/>
        <v>#DIV/0!</v>
      </c>
      <c r="Q908" s="12"/>
    </row>
    <row r="909">
      <c r="A909" s="1" t="s">
        <v>3259</v>
      </c>
      <c r="B909" s="7" t="s">
        <v>3260</v>
      </c>
      <c r="C909" s="2" t="s">
        <v>3261</v>
      </c>
      <c r="D909" s="1" t="s">
        <v>3262</v>
      </c>
      <c r="E909" s="16"/>
      <c r="F909" s="16"/>
      <c r="G909" s="16"/>
      <c r="H909" s="17"/>
      <c r="I909" s="12"/>
      <c r="J909" s="12"/>
      <c r="K909" s="12"/>
      <c r="L909" s="12"/>
      <c r="M909" s="18" t="str">
        <f t="shared" si="1"/>
        <v>#DIV/0!</v>
      </c>
      <c r="N909" s="18" t="str">
        <f t="shared" si="2"/>
        <v>#DIV/0!</v>
      </c>
      <c r="O909" s="12" t="str">
        <f t="shared" si="4"/>
        <v/>
      </c>
      <c r="P909" s="18" t="str">
        <f t="shared" si="3"/>
        <v>#DIV/0!</v>
      </c>
      <c r="Q909" s="12"/>
    </row>
    <row r="910">
      <c r="A910" s="1" t="s">
        <v>3263</v>
      </c>
      <c r="B910" s="7" t="s">
        <v>3264</v>
      </c>
      <c r="C910" s="2" t="s">
        <v>3265</v>
      </c>
      <c r="D910" s="7" t="s">
        <v>3266</v>
      </c>
      <c r="E910" s="16"/>
      <c r="F910" s="16"/>
      <c r="G910" s="16"/>
      <c r="H910" s="17"/>
      <c r="I910" s="12"/>
      <c r="J910" s="12"/>
      <c r="K910" s="12"/>
      <c r="L910" s="12"/>
      <c r="M910" s="18" t="str">
        <f t="shared" si="1"/>
        <v>#DIV/0!</v>
      </c>
      <c r="N910" s="18" t="str">
        <f t="shared" si="2"/>
        <v>#DIV/0!</v>
      </c>
      <c r="O910" s="12" t="str">
        <f t="shared" si="4"/>
        <v/>
      </c>
      <c r="P910" s="18" t="str">
        <f t="shared" si="3"/>
        <v>#DIV/0!</v>
      </c>
      <c r="Q910" s="12"/>
    </row>
    <row r="911">
      <c r="A911" s="1" t="s">
        <v>3267</v>
      </c>
      <c r="B911" s="7" t="s">
        <v>3268</v>
      </c>
      <c r="C911" s="2" t="s">
        <v>3269</v>
      </c>
      <c r="D911" s="7" t="s">
        <v>3270</v>
      </c>
      <c r="E911" s="16"/>
      <c r="F911" s="16"/>
      <c r="G911" s="16"/>
      <c r="H911" s="17"/>
      <c r="I911" s="12"/>
      <c r="J911" s="12"/>
      <c r="K911" s="12"/>
      <c r="L911" s="12"/>
      <c r="M911" s="18" t="str">
        <f t="shared" si="1"/>
        <v>#DIV/0!</v>
      </c>
      <c r="N911" s="18" t="str">
        <f t="shared" si="2"/>
        <v>#DIV/0!</v>
      </c>
      <c r="O911" s="12" t="str">
        <f t="shared" si="4"/>
        <v/>
      </c>
      <c r="P911" s="18" t="str">
        <f t="shared" si="3"/>
        <v>#DIV/0!</v>
      </c>
      <c r="Q911" s="12"/>
    </row>
    <row r="912">
      <c r="A912" s="1" t="s">
        <v>3271</v>
      </c>
      <c r="B912" s="7" t="s">
        <v>3272</v>
      </c>
      <c r="C912" s="2" t="s">
        <v>3273</v>
      </c>
      <c r="E912" s="16"/>
      <c r="F912" s="16"/>
      <c r="G912" s="16"/>
      <c r="H912" s="17"/>
      <c r="I912" s="12"/>
      <c r="J912" s="12"/>
      <c r="K912" s="12"/>
      <c r="L912" s="12"/>
      <c r="M912" s="18" t="str">
        <f t="shared" si="1"/>
        <v>#DIV/0!</v>
      </c>
      <c r="N912" s="18" t="str">
        <f t="shared" si="2"/>
        <v>#DIV/0!</v>
      </c>
      <c r="O912" s="12" t="str">
        <f t="shared" si="4"/>
        <v/>
      </c>
      <c r="P912" s="18" t="str">
        <f t="shared" si="3"/>
        <v>#DIV/0!</v>
      </c>
      <c r="Q912" s="12"/>
    </row>
    <row r="913">
      <c r="A913" s="1" t="s">
        <v>3274</v>
      </c>
      <c r="B913" s="7" t="s">
        <v>3275</v>
      </c>
      <c r="C913" s="2" t="s">
        <v>3276</v>
      </c>
      <c r="D913" s="1" t="s">
        <v>3277</v>
      </c>
      <c r="E913" s="16"/>
      <c r="F913" s="16"/>
      <c r="G913" s="16"/>
      <c r="H913" s="17"/>
      <c r="I913" s="12"/>
      <c r="J913" s="12"/>
      <c r="K913" s="12"/>
      <c r="L913" s="12"/>
      <c r="M913" s="18" t="str">
        <f t="shared" si="1"/>
        <v>#DIV/0!</v>
      </c>
      <c r="N913" s="18" t="str">
        <f t="shared" si="2"/>
        <v>#DIV/0!</v>
      </c>
      <c r="O913" s="12" t="str">
        <f t="shared" si="4"/>
        <v/>
      </c>
      <c r="P913" s="18" t="str">
        <f t="shared" si="3"/>
        <v>#DIV/0!</v>
      </c>
      <c r="Q913" s="12"/>
    </row>
    <row r="914">
      <c r="A914" s="1" t="s">
        <v>3278</v>
      </c>
      <c r="B914" s="7" t="s">
        <v>3279</v>
      </c>
      <c r="C914" s="2" t="s">
        <v>3280</v>
      </c>
      <c r="D914" s="1" t="s">
        <v>3281</v>
      </c>
      <c r="E914" s="16"/>
      <c r="F914" s="16"/>
      <c r="G914" s="16"/>
      <c r="H914" s="17"/>
      <c r="I914" s="12"/>
      <c r="J914" s="12"/>
      <c r="K914" s="12"/>
      <c r="L914" s="12"/>
      <c r="M914" s="18" t="str">
        <f t="shared" si="1"/>
        <v>#DIV/0!</v>
      </c>
      <c r="N914" s="18" t="str">
        <f t="shared" si="2"/>
        <v>#DIV/0!</v>
      </c>
      <c r="O914" s="12" t="str">
        <f t="shared" si="4"/>
        <v/>
      </c>
      <c r="P914" s="18" t="str">
        <f t="shared" si="3"/>
        <v>#DIV/0!</v>
      </c>
      <c r="Q914" s="12"/>
    </row>
    <row r="915">
      <c r="A915" s="1" t="s">
        <v>3282</v>
      </c>
      <c r="B915" s="7" t="s">
        <v>3283</v>
      </c>
      <c r="C915" s="2" t="s">
        <v>3284</v>
      </c>
      <c r="D915" s="1" t="s">
        <v>3285</v>
      </c>
      <c r="E915" s="16"/>
      <c r="F915" s="16"/>
      <c r="G915" s="16"/>
      <c r="H915" s="17"/>
      <c r="I915" s="12"/>
      <c r="J915" s="12"/>
      <c r="K915" s="12"/>
      <c r="L915" s="12"/>
      <c r="M915" s="18" t="str">
        <f t="shared" si="1"/>
        <v>#DIV/0!</v>
      </c>
      <c r="N915" s="18" t="str">
        <f t="shared" si="2"/>
        <v>#DIV/0!</v>
      </c>
      <c r="O915" s="12" t="str">
        <f t="shared" si="4"/>
        <v/>
      </c>
      <c r="P915" s="18" t="str">
        <f t="shared" si="3"/>
        <v>#DIV/0!</v>
      </c>
      <c r="Q915" s="12"/>
    </row>
    <row r="916">
      <c r="A916" s="1" t="s">
        <v>3286</v>
      </c>
      <c r="B916" s="7" t="s">
        <v>3287</v>
      </c>
      <c r="C916" s="2" t="s">
        <v>3288</v>
      </c>
      <c r="D916" s="1" t="s">
        <v>3289</v>
      </c>
      <c r="E916" s="16"/>
      <c r="F916" s="16"/>
      <c r="G916" s="16"/>
      <c r="H916" s="17"/>
      <c r="I916" s="12"/>
      <c r="J916" s="12"/>
      <c r="K916" s="12"/>
      <c r="L916" s="12"/>
      <c r="M916" s="18" t="str">
        <f t="shared" si="1"/>
        <v>#DIV/0!</v>
      </c>
      <c r="N916" s="18" t="str">
        <f t="shared" si="2"/>
        <v>#DIV/0!</v>
      </c>
      <c r="O916" s="12" t="str">
        <f t="shared" si="4"/>
        <v/>
      </c>
      <c r="P916" s="18" t="str">
        <f t="shared" si="3"/>
        <v>#DIV/0!</v>
      </c>
      <c r="Q916" s="12"/>
    </row>
    <row r="917">
      <c r="A917" s="1" t="s">
        <v>3290</v>
      </c>
      <c r="B917" s="7" t="s">
        <v>3291</v>
      </c>
      <c r="C917" s="2" t="s">
        <v>3292</v>
      </c>
      <c r="D917" s="1" t="s">
        <v>3293</v>
      </c>
      <c r="E917" s="16"/>
      <c r="F917" s="16"/>
      <c r="G917" s="16"/>
      <c r="H917" s="17"/>
      <c r="I917" s="12"/>
      <c r="J917" s="12"/>
      <c r="K917" s="12"/>
      <c r="L917" s="12"/>
      <c r="M917" s="18" t="str">
        <f t="shared" si="1"/>
        <v>#DIV/0!</v>
      </c>
      <c r="N917" s="18" t="str">
        <f t="shared" si="2"/>
        <v>#DIV/0!</v>
      </c>
      <c r="O917" s="12" t="str">
        <f t="shared" si="4"/>
        <v/>
      </c>
      <c r="P917" s="18" t="str">
        <f t="shared" si="3"/>
        <v>#DIV/0!</v>
      </c>
      <c r="Q917" s="12"/>
    </row>
    <row r="918">
      <c r="A918" s="1" t="s">
        <v>3294</v>
      </c>
      <c r="B918" s="7" t="s">
        <v>3295</v>
      </c>
      <c r="C918" s="2" t="s">
        <v>3296</v>
      </c>
      <c r="D918" s="7" t="s">
        <v>3297</v>
      </c>
      <c r="E918" s="16"/>
      <c r="F918" s="16"/>
      <c r="G918" s="16"/>
      <c r="H918" s="17"/>
      <c r="I918" s="12"/>
      <c r="J918" s="12"/>
      <c r="K918" s="12"/>
      <c r="L918" s="12"/>
      <c r="M918" s="18" t="str">
        <f t="shared" si="1"/>
        <v>#DIV/0!</v>
      </c>
      <c r="N918" s="18" t="str">
        <f t="shared" si="2"/>
        <v>#DIV/0!</v>
      </c>
      <c r="O918" s="12" t="str">
        <f t="shared" si="4"/>
        <v/>
      </c>
      <c r="P918" s="18" t="str">
        <f t="shared" si="3"/>
        <v>#DIV/0!</v>
      </c>
      <c r="Q918" s="12"/>
    </row>
    <row r="919">
      <c r="A919" s="1" t="s">
        <v>3298</v>
      </c>
      <c r="B919" s="7" t="s">
        <v>3299</v>
      </c>
      <c r="C919" s="2" t="s">
        <v>3300</v>
      </c>
      <c r="D919" s="1" t="s">
        <v>3301</v>
      </c>
      <c r="E919" s="16"/>
      <c r="F919" s="16"/>
      <c r="G919" s="16"/>
      <c r="H919" s="17"/>
      <c r="I919" s="12"/>
      <c r="J919" s="12"/>
      <c r="K919" s="12"/>
      <c r="L919" s="12"/>
      <c r="M919" s="18" t="str">
        <f t="shared" si="1"/>
        <v>#DIV/0!</v>
      </c>
      <c r="N919" s="18" t="str">
        <f t="shared" si="2"/>
        <v>#DIV/0!</v>
      </c>
      <c r="O919" s="12" t="str">
        <f t="shared" si="4"/>
        <v/>
      </c>
      <c r="P919" s="18" t="str">
        <f t="shared" si="3"/>
        <v>#DIV/0!</v>
      </c>
      <c r="Q919" s="12"/>
    </row>
    <row r="920">
      <c r="A920" s="1" t="s">
        <v>3302</v>
      </c>
      <c r="B920" s="7" t="s">
        <v>3303</v>
      </c>
      <c r="C920" s="2" t="s">
        <v>3304</v>
      </c>
      <c r="D920" s="1" t="s">
        <v>3305</v>
      </c>
      <c r="E920" s="16"/>
      <c r="F920" s="16"/>
      <c r="G920" s="16"/>
      <c r="H920" s="17"/>
      <c r="I920" s="12"/>
      <c r="J920" s="12"/>
      <c r="K920" s="12"/>
      <c r="L920" s="12"/>
      <c r="M920" s="18" t="str">
        <f t="shared" si="1"/>
        <v>#DIV/0!</v>
      </c>
      <c r="N920" s="18" t="str">
        <f t="shared" si="2"/>
        <v>#DIV/0!</v>
      </c>
      <c r="O920" s="12" t="str">
        <f t="shared" si="4"/>
        <v/>
      </c>
      <c r="P920" s="18" t="str">
        <f t="shared" si="3"/>
        <v>#DIV/0!</v>
      </c>
      <c r="Q920" s="12"/>
    </row>
    <row r="921">
      <c r="A921" s="1" t="s">
        <v>3306</v>
      </c>
      <c r="B921" s="7" t="s">
        <v>3307</v>
      </c>
      <c r="C921" s="2" t="s">
        <v>3308</v>
      </c>
      <c r="D921" s="1" t="s">
        <v>3309</v>
      </c>
      <c r="E921" s="16"/>
      <c r="F921" s="16"/>
      <c r="G921" s="16"/>
      <c r="H921" s="17"/>
      <c r="I921" s="12"/>
      <c r="J921" s="12"/>
      <c r="K921" s="12"/>
      <c r="L921" s="12"/>
      <c r="M921" s="18" t="str">
        <f t="shared" si="1"/>
        <v>#DIV/0!</v>
      </c>
      <c r="N921" s="18" t="str">
        <f t="shared" si="2"/>
        <v>#DIV/0!</v>
      </c>
      <c r="O921" s="12" t="str">
        <f t="shared" si="4"/>
        <v/>
      </c>
      <c r="P921" s="18" t="str">
        <f t="shared" si="3"/>
        <v>#DIV/0!</v>
      </c>
      <c r="Q921" s="12"/>
    </row>
    <row r="922">
      <c r="A922" s="1" t="s">
        <v>3310</v>
      </c>
      <c r="B922" s="7" t="s">
        <v>3311</v>
      </c>
      <c r="C922" s="2" t="s">
        <v>1116</v>
      </c>
      <c r="D922" s="7" t="s">
        <v>1117</v>
      </c>
      <c r="E922" s="16"/>
      <c r="F922" s="16"/>
      <c r="G922" s="16"/>
      <c r="H922" s="17"/>
      <c r="I922" s="12"/>
      <c r="J922" s="12"/>
      <c r="K922" s="12"/>
      <c r="L922" s="12"/>
      <c r="M922" s="18" t="str">
        <f t="shared" si="1"/>
        <v>#DIV/0!</v>
      </c>
      <c r="N922" s="18" t="str">
        <f t="shared" si="2"/>
        <v>#DIV/0!</v>
      </c>
      <c r="O922" s="12" t="str">
        <f t="shared" si="4"/>
        <v/>
      </c>
      <c r="P922" s="18" t="str">
        <f t="shared" si="3"/>
        <v>#DIV/0!</v>
      </c>
      <c r="Q922" s="12"/>
    </row>
    <row r="923">
      <c r="A923" s="1" t="s">
        <v>3312</v>
      </c>
      <c r="B923" s="7" t="s">
        <v>3313</v>
      </c>
      <c r="C923" s="2" t="s">
        <v>3314</v>
      </c>
      <c r="D923" s="7" t="s">
        <v>1022</v>
      </c>
      <c r="E923" s="16"/>
      <c r="F923" s="16"/>
      <c r="G923" s="16"/>
      <c r="H923" s="17"/>
      <c r="I923" s="12"/>
      <c r="J923" s="12"/>
      <c r="K923" s="12"/>
      <c r="L923" s="12"/>
      <c r="M923" s="18" t="str">
        <f t="shared" si="1"/>
        <v>#DIV/0!</v>
      </c>
      <c r="N923" s="18" t="str">
        <f t="shared" si="2"/>
        <v>#DIV/0!</v>
      </c>
      <c r="O923" s="12" t="str">
        <f t="shared" si="4"/>
        <v/>
      </c>
      <c r="P923" s="18" t="str">
        <f t="shared" si="3"/>
        <v>#DIV/0!</v>
      </c>
      <c r="Q923" s="12"/>
    </row>
    <row r="924">
      <c r="A924" s="1" t="s">
        <v>3315</v>
      </c>
      <c r="B924" s="7" t="s">
        <v>3316</v>
      </c>
      <c r="C924" s="2" t="s">
        <v>3317</v>
      </c>
      <c r="D924" s="1" t="s">
        <v>3318</v>
      </c>
      <c r="E924" s="16"/>
      <c r="F924" s="16"/>
      <c r="G924" s="16"/>
      <c r="H924" s="17"/>
      <c r="I924" s="12"/>
      <c r="J924" s="12"/>
      <c r="K924" s="12"/>
      <c r="L924" s="12"/>
      <c r="M924" s="18" t="str">
        <f t="shared" si="1"/>
        <v>#DIV/0!</v>
      </c>
      <c r="N924" s="18" t="str">
        <f t="shared" si="2"/>
        <v>#DIV/0!</v>
      </c>
      <c r="O924" s="12" t="str">
        <f t="shared" si="4"/>
        <v/>
      </c>
      <c r="P924" s="18" t="str">
        <f t="shared" si="3"/>
        <v>#DIV/0!</v>
      </c>
      <c r="Q924" s="12"/>
    </row>
    <row r="925">
      <c r="A925" s="1" t="s">
        <v>3319</v>
      </c>
      <c r="B925" s="7" t="s">
        <v>3320</v>
      </c>
      <c r="C925" s="2" t="s">
        <v>3321</v>
      </c>
      <c r="D925" s="1" t="s">
        <v>3322</v>
      </c>
      <c r="E925" s="16"/>
      <c r="F925" s="16"/>
      <c r="G925" s="16"/>
      <c r="H925" s="17"/>
      <c r="I925" s="12"/>
      <c r="J925" s="12"/>
      <c r="K925" s="12"/>
      <c r="L925" s="12"/>
      <c r="M925" s="18" t="str">
        <f t="shared" si="1"/>
        <v>#DIV/0!</v>
      </c>
      <c r="N925" s="18" t="str">
        <f t="shared" si="2"/>
        <v>#DIV/0!</v>
      </c>
      <c r="O925" s="12" t="str">
        <f t="shared" si="4"/>
        <v/>
      </c>
      <c r="P925" s="18" t="str">
        <f t="shared" si="3"/>
        <v>#DIV/0!</v>
      </c>
      <c r="Q925" s="12"/>
    </row>
    <row r="926">
      <c r="A926" s="1" t="s">
        <v>3323</v>
      </c>
      <c r="B926" s="7" t="s">
        <v>3324</v>
      </c>
      <c r="C926" s="2" t="s">
        <v>3325</v>
      </c>
      <c r="D926" s="1" t="s">
        <v>3326</v>
      </c>
      <c r="E926" s="16"/>
      <c r="F926" s="16"/>
      <c r="G926" s="16"/>
      <c r="H926" s="17"/>
      <c r="I926" s="12"/>
      <c r="J926" s="12"/>
      <c r="K926" s="12"/>
      <c r="L926" s="12"/>
      <c r="M926" s="18" t="str">
        <f t="shared" si="1"/>
        <v>#DIV/0!</v>
      </c>
      <c r="N926" s="18" t="str">
        <f t="shared" si="2"/>
        <v>#DIV/0!</v>
      </c>
      <c r="O926" s="12" t="str">
        <f t="shared" si="4"/>
        <v/>
      </c>
      <c r="P926" s="18" t="str">
        <f t="shared" si="3"/>
        <v>#DIV/0!</v>
      </c>
      <c r="Q926" s="12"/>
    </row>
    <row r="927">
      <c r="A927" s="1" t="s">
        <v>3327</v>
      </c>
      <c r="B927" s="7" t="s">
        <v>3328</v>
      </c>
      <c r="C927" s="2" t="s">
        <v>3329</v>
      </c>
      <c r="D927" s="1" t="s">
        <v>3330</v>
      </c>
      <c r="E927" s="16"/>
      <c r="F927" s="16"/>
      <c r="G927" s="16"/>
      <c r="H927" s="17"/>
      <c r="I927" s="12"/>
      <c r="J927" s="12"/>
      <c r="K927" s="12"/>
      <c r="L927" s="12"/>
      <c r="M927" s="18" t="str">
        <f t="shared" si="1"/>
        <v>#DIV/0!</v>
      </c>
      <c r="N927" s="18" t="str">
        <f t="shared" si="2"/>
        <v>#DIV/0!</v>
      </c>
      <c r="O927" s="12" t="str">
        <f t="shared" si="4"/>
        <v/>
      </c>
      <c r="P927" s="18" t="str">
        <f t="shared" si="3"/>
        <v>#DIV/0!</v>
      </c>
      <c r="Q927" s="12"/>
    </row>
    <row r="928">
      <c r="A928" s="1" t="s">
        <v>3331</v>
      </c>
      <c r="B928" s="7" t="s">
        <v>3332</v>
      </c>
      <c r="C928" s="2" t="s">
        <v>268</v>
      </c>
      <c r="D928" s="7" t="s">
        <v>137</v>
      </c>
      <c r="E928" s="16"/>
      <c r="F928" s="16"/>
      <c r="G928" s="16"/>
      <c r="H928" s="17"/>
      <c r="I928" s="12"/>
      <c r="J928" s="12"/>
      <c r="K928" s="12"/>
      <c r="L928" s="12"/>
      <c r="M928" s="18" t="str">
        <f t="shared" si="1"/>
        <v>#DIV/0!</v>
      </c>
      <c r="N928" s="18" t="str">
        <f t="shared" si="2"/>
        <v>#DIV/0!</v>
      </c>
      <c r="O928" s="12" t="str">
        <f t="shared" si="4"/>
        <v/>
      </c>
      <c r="P928" s="18" t="str">
        <f t="shared" si="3"/>
        <v>#DIV/0!</v>
      </c>
      <c r="Q928" s="12"/>
    </row>
    <row r="929">
      <c r="A929" s="1" t="s">
        <v>3333</v>
      </c>
      <c r="B929" s="7" t="s">
        <v>3334</v>
      </c>
      <c r="C929" s="2" t="s">
        <v>3335</v>
      </c>
      <c r="D929" s="7" t="s">
        <v>3336</v>
      </c>
      <c r="E929" s="16"/>
      <c r="F929" s="16"/>
      <c r="G929" s="16"/>
      <c r="H929" s="17"/>
      <c r="I929" s="12"/>
      <c r="J929" s="12"/>
      <c r="K929" s="12"/>
      <c r="L929" s="12"/>
      <c r="M929" s="18" t="str">
        <f t="shared" si="1"/>
        <v>#DIV/0!</v>
      </c>
      <c r="N929" s="18" t="str">
        <f t="shared" si="2"/>
        <v>#DIV/0!</v>
      </c>
      <c r="O929" s="12" t="str">
        <f t="shared" si="4"/>
        <v/>
      </c>
      <c r="P929" s="18" t="str">
        <f t="shared" si="3"/>
        <v>#DIV/0!</v>
      </c>
      <c r="Q929" s="12"/>
    </row>
    <row r="930">
      <c r="A930" s="1" t="s">
        <v>3337</v>
      </c>
      <c r="B930" s="7" t="s">
        <v>3338</v>
      </c>
      <c r="C930" s="2" t="s">
        <v>508</v>
      </c>
      <c r="D930" s="7" t="s">
        <v>509</v>
      </c>
      <c r="E930" s="16"/>
      <c r="F930" s="16"/>
      <c r="G930" s="16"/>
      <c r="H930" s="17"/>
      <c r="I930" s="12"/>
      <c r="J930" s="12"/>
      <c r="K930" s="12"/>
      <c r="L930" s="12"/>
      <c r="M930" s="18" t="str">
        <f t="shared" si="1"/>
        <v>#DIV/0!</v>
      </c>
      <c r="N930" s="18" t="str">
        <f t="shared" si="2"/>
        <v>#DIV/0!</v>
      </c>
      <c r="O930" s="12" t="str">
        <f t="shared" si="4"/>
        <v/>
      </c>
      <c r="P930" s="18" t="str">
        <f t="shared" si="3"/>
        <v>#DIV/0!</v>
      </c>
      <c r="Q930" s="12"/>
    </row>
    <row r="931">
      <c r="A931" s="1" t="s">
        <v>3339</v>
      </c>
      <c r="B931" s="7" t="s">
        <v>3340</v>
      </c>
      <c r="C931" s="2" t="s">
        <v>681</v>
      </c>
      <c r="D931" s="7" t="s">
        <v>445</v>
      </c>
      <c r="E931" s="16"/>
      <c r="F931" s="16"/>
      <c r="G931" s="16"/>
      <c r="H931" s="17"/>
      <c r="I931" s="12"/>
      <c r="J931" s="12"/>
      <c r="K931" s="12"/>
      <c r="L931" s="12"/>
      <c r="M931" s="18" t="str">
        <f t="shared" si="1"/>
        <v>#DIV/0!</v>
      </c>
      <c r="N931" s="18" t="str">
        <f t="shared" si="2"/>
        <v>#DIV/0!</v>
      </c>
      <c r="O931" s="12" t="str">
        <f t="shared" si="4"/>
        <v/>
      </c>
      <c r="P931" s="18" t="str">
        <f t="shared" si="3"/>
        <v>#DIV/0!</v>
      </c>
      <c r="Q931" s="12"/>
    </row>
    <row r="932">
      <c r="A932" s="1" t="s">
        <v>3341</v>
      </c>
      <c r="B932" s="7" t="s">
        <v>3342</v>
      </c>
      <c r="C932" s="2" t="s">
        <v>973</v>
      </c>
      <c r="D932" s="1" t="s">
        <v>974</v>
      </c>
      <c r="E932" s="16"/>
      <c r="F932" s="16"/>
      <c r="G932" s="16"/>
      <c r="H932" s="17"/>
      <c r="I932" s="12"/>
      <c r="J932" s="12"/>
      <c r="K932" s="12"/>
      <c r="L932" s="12"/>
      <c r="M932" s="18" t="str">
        <f t="shared" si="1"/>
        <v>#DIV/0!</v>
      </c>
      <c r="N932" s="18" t="str">
        <f t="shared" si="2"/>
        <v>#DIV/0!</v>
      </c>
      <c r="O932" s="12" t="str">
        <f t="shared" si="4"/>
        <v/>
      </c>
      <c r="P932" s="18" t="str">
        <f t="shared" si="3"/>
        <v>#DIV/0!</v>
      </c>
      <c r="Q932" s="12"/>
    </row>
    <row r="933">
      <c r="A933" s="1" t="s">
        <v>3343</v>
      </c>
      <c r="B933" s="7" t="s">
        <v>3344</v>
      </c>
      <c r="C933" s="2" t="s">
        <v>3345</v>
      </c>
      <c r="D933" s="1" t="s">
        <v>3346</v>
      </c>
      <c r="E933" s="16"/>
      <c r="F933" s="16"/>
      <c r="G933" s="16"/>
      <c r="H933" s="17"/>
      <c r="I933" s="12"/>
      <c r="J933" s="12"/>
      <c r="K933" s="12"/>
      <c r="L933" s="12"/>
      <c r="M933" s="18" t="str">
        <f t="shared" si="1"/>
        <v>#DIV/0!</v>
      </c>
      <c r="N933" s="18" t="str">
        <f t="shared" si="2"/>
        <v>#DIV/0!</v>
      </c>
      <c r="O933" s="12" t="str">
        <f t="shared" si="4"/>
        <v/>
      </c>
      <c r="P933" s="18" t="str">
        <f t="shared" si="3"/>
        <v>#DIV/0!</v>
      </c>
      <c r="Q933" s="12"/>
    </row>
    <row r="934">
      <c r="A934" s="1" t="s">
        <v>3347</v>
      </c>
      <c r="B934" s="7" t="s">
        <v>3348</v>
      </c>
      <c r="C934" s="2" t="s">
        <v>3349</v>
      </c>
      <c r="D934" s="1" t="s">
        <v>3350</v>
      </c>
      <c r="E934" s="16"/>
      <c r="F934" s="16"/>
      <c r="G934" s="16"/>
      <c r="H934" s="17"/>
      <c r="I934" s="12"/>
      <c r="J934" s="12"/>
      <c r="K934" s="12"/>
      <c r="L934" s="12"/>
      <c r="M934" s="18" t="str">
        <f t="shared" si="1"/>
        <v>#DIV/0!</v>
      </c>
      <c r="N934" s="18" t="str">
        <f t="shared" si="2"/>
        <v>#DIV/0!</v>
      </c>
      <c r="O934" s="12" t="str">
        <f t="shared" si="4"/>
        <v/>
      </c>
      <c r="P934" s="18" t="str">
        <f t="shared" si="3"/>
        <v>#DIV/0!</v>
      </c>
      <c r="Q934" s="12"/>
    </row>
    <row r="935">
      <c r="A935" s="1" t="s">
        <v>3351</v>
      </c>
      <c r="B935" s="7" t="s">
        <v>3352</v>
      </c>
      <c r="C935" s="2" t="s">
        <v>1154</v>
      </c>
      <c r="D935" s="7" t="s">
        <v>1155</v>
      </c>
      <c r="E935" s="16"/>
      <c r="F935" s="16"/>
      <c r="G935" s="16"/>
      <c r="H935" s="17"/>
      <c r="I935" s="12"/>
      <c r="J935" s="12"/>
      <c r="K935" s="12"/>
      <c r="L935" s="12"/>
      <c r="M935" s="18" t="str">
        <f t="shared" si="1"/>
        <v>#DIV/0!</v>
      </c>
      <c r="N935" s="18" t="str">
        <f t="shared" si="2"/>
        <v>#DIV/0!</v>
      </c>
      <c r="O935" s="12" t="str">
        <f t="shared" si="4"/>
        <v/>
      </c>
      <c r="P935" s="18" t="str">
        <f t="shared" si="3"/>
        <v>#DIV/0!</v>
      </c>
      <c r="Q935" s="12"/>
    </row>
    <row r="936">
      <c r="A936" s="1" t="s">
        <v>3353</v>
      </c>
      <c r="B936" s="7" t="s">
        <v>3354</v>
      </c>
      <c r="C936" s="2" t="s">
        <v>3355</v>
      </c>
      <c r="D936" s="1" t="s">
        <v>3356</v>
      </c>
      <c r="E936" s="16"/>
      <c r="F936" s="16"/>
      <c r="G936" s="16"/>
      <c r="H936" s="17"/>
      <c r="I936" s="12"/>
      <c r="J936" s="12"/>
      <c r="K936" s="12"/>
      <c r="L936" s="12"/>
      <c r="M936" s="18" t="str">
        <f t="shared" si="1"/>
        <v>#DIV/0!</v>
      </c>
      <c r="N936" s="18" t="str">
        <f t="shared" si="2"/>
        <v>#DIV/0!</v>
      </c>
      <c r="O936" s="12" t="str">
        <f t="shared" si="4"/>
        <v/>
      </c>
      <c r="P936" s="18" t="str">
        <f t="shared" si="3"/>
        <v>#DIV/0!</v>
      </c>
      <c r="Q936" s="12"/>
    </row>
    <row r="937">
      <c r="A937" s="1" t="s">
        <v>3357</v>
      </c>
      <c r="B937" s="7" t="s">
        <v>3358</v>
      </c>
      <c r="C937" s="2" t="s">
        <v>3359</v>
      </c>
      <c r="D937" s="7" t="s">
        <v>173</v>
      </c>
      <c r="E937" s="16"/>
      <c r="F937" s="16"/>
      <c r="G937" s="16"/>
      <c r="H937" s="17"/>
      <c r="I937" s="12"/>
      <c r="J937" s="12"/>
      <c r="K937" s="12"/>
      <c r="L937" s="12"/>
      <c r="M937" s="18" t="str">
        <f t="shared" si="1"/>
        <v>#DIV/0!</v>
      </c>
      <c r="N937" s="18" t="str">
        <f t="shared" si="2"/>
        <v>#DIV/0!</v>
      </c>
      <c r="O937" s="12" t="str">
        <f t="shared" si="4"/>
        <v/>
      </c>
      <c r="P937" s="18" t="str">
        <f t="shared" si="3"/>
        <v>#DIV/0!</v>
      </c>
      <c r="Q937" s="12"/>
    </row>
    <row r="938">
      <c r="A938" s="1" t="s">
        <v>3360</v>
      </c>
      <c r="B938" s="7" t="s">
        <v>3361</v>
      </c>
      <c r="C938" s="2" t="s">
        <v>3362</v>
      </c>
      <c r="D938" s="1" t="s">
        <v>3363</v>
      </c>
      <c r="E938" s="16"/>
      <c r="F938" s="16"/>
      <c r="G938" s="16"/>
      <c r="H938" s="17"/>
      <c r="I938" s="12"/>
      <c r="J938" s="12"/>
      <c r="K938" s="12"/>
      <c r="L938" s="12"/>
      <c r="M938" s="18" t="str">
        <f t="shared" si="1"/>
        <v>#DIV/0!</v>
      </c>
      <c r="N938" s="18" t="str">
        <f t="shared" si="2"/>
        <v>#DIV/0!</v>
      </c>
      <c r="O938" s="12" t="str">
        <f t="shared" si="4"/>
        <v/>
      </c>
      <c r="P938" s="18" t="str">
        <f t="shared" si="3"/>
        <v>#DIV/0!</v>
      </c>
      <c r="Q938" s="12"/>
    </row>
    <row r="939">
      <c r="A939" s="1" t="s">
        <v>3364</v>
      </c>
      <c r="B939" s="7" t="s">
        <v>3365</v>
      </c>
      <c r="C939" s="2" t="s">
        <v>3366</v>
      </c>
      <c r="D939" s="1" t="s">
        <v>3367</v>
      </c>
      <c r="E939" s="16"/>
      <c r="F939" s="16"/>
      <c r="G939" s="16"/>
      <c r="H939" s="17"/>
      <c r="I939" s="12"/>
      <c r="J939" s="12"/>
      <c r="K939" s="12"/>
      <c r="L939" s="12"/>
      <c r="M939" s="18" t="str">
        <f t="shared" si="1"/>
        <v>#DIV/0!</v>
      </c>
      <c r="N939" s="18" t="str">
        <f t="shared" si="2"/>
        <v>#DIV/0!</v>
      </c>
      <c r="O939" s="12" t="str">
        <f t="shared" si="4"/>
        <v/>
      </c>
      <c r="P939" s="18" t="str">
        <f t="shared" si="3"/>
        <v>#DIV/0!</v>
      </c>
      <c r="Q939" s="12"/>
    </row>
    <row r="940">
      <c r="A940" s="1" t="s">
        <v>3368</v>
      </c>
      <c r="B940" s="7" t="s">
        <v>3369</v>
      </c>
      <c r="C940" s="2" t="s">
        <v>3370</v>
      </c>
      <c r="D940" s="7" t="s">
        <v>3371</v>
      </c>
      <c r="E940" s="16"/>
      <c r="F940" s="16"/>
      <c r="G940" s="16"/>
      <c r="H940" s="17"/>
      <c r="I940" s="12"/>
      <c r="J940" s="12"/>
      <c r="K940" s="12"/>
      <c r="L940" s="12"/>
      <c r="M940" s="18" t="str">
        <f t="shared" si="1"/>
        <v>#DIV/0!</v>
      </c>
      <c r="N940" s="18" t="str">
        <f t="shared" si="2"/>
        <v>#DIV/0!</v>
      </c>
      <c r="O940" s="12" t="str">
        <f t="shared" si="4"/>
        <v/>
      </c>
      <c r="P940" s="18" t="str">
        <f t="shared" si="3"/>
        <v>#DIV/0!</v>
      </c>
      <c r="Q940" s="12"/>
    </row>
    <row r="941">
      <c r="A941" s="1" t="s">
        <v>3372</v>
      </c>
      <c r="B941" s="7" t="s">
        <v>3373</v>
      </c>
      <c r="C941" s="2" t="s">
        <v>3374</v>
      </c>
      <c r="D941" s="7" t="s">
        <v>3375</v>
      </c>
      <c r="E941" s="16"/>
      <c r="F941" s="16"/>
      <c r="G941" s="16"/>
      <c r="H941" s="17"/>
      <c r="I941" s="12"/>
      <c r="J941" s="12"/>
      <c r="K941" s="12"/>
      <c r="L941" s="12"/>
      <c r="M941" s="18" t="str">
        <f t="shared" si="1"/>
        <v>#DIV/0!</v>
      </c>
      <c r="N941" s="18" t="str">
        <f t="shared" si="2"/>
        <v>#DIV/0!</v>
      </c>
      <c r="O941" s="12" t="str">
        <f t="shared" si="4"/>
        <v/>
      </c>
      <c r="P941" s="18" t="str">
        <f t="shared" si="3"/>
        <v>#DIV/0!</v>
      </c>
      <c r="Q941" s="12"/>
    </row>
    <row r="942">
      <c r="A942" s="1" t="s">
        <v>3376</v>
      </c>
      <c r="B942" s="7" t="s">
        <v>3377</v>
      </c>
      <c r="C942" s="2" t="s">
        <v>3378</v>
      </c>
      <c r="D942" s="7" t="s">
        <v>3379</v>
      </c>
      <c r="E942" s="16"/>
      <c r="F942" s="16"/>
      <c r="G942" s="16"/>
      <c r="H942" s="17"/>
      <c r="I942" s="12"/>
      <c r="J942" s="12"/>
      <c r="K942" s="12"/>
      <c r="L942" s="12"/>
      <c r="M942" s="18" t="str">
        <f t="shared" si="1"/>
        <v>#DIV/0!</v>
      </c>
      <c r="N942" s="18" t="str">
        <f t="shared" si="2"/>
        <v>#DIV/0!</v>
      </c>
      <c r="O942" s="12" t="str">
        <f t="shared" si="4"/>
        <v/>
      </c>
      <c r="P942" s="18" t="str">
        <f t="shared" si="3"/>
        <v>#DIV/0!</v>
      </c>
      <c r="Q942" s="12"/>
    </row>
    <row r="943">
      <c r="A943" s="1" t="s">
        <v>3380</v>
      </c>
      <c r="B943" s="7" t="s">
        <v>3381</v>
      </c>
      <c r="C943" s="2" t="s">
        <v>3382</v>
      </c>
      <c r="D943" s="7" t="s">
        <v>3383</v>
      </c>
      <c r="E943" s="16"/>
      <c r="F943" s="16"/>
      <c r="G943" s="16"/>
      <c r="H943" s="17"/>
      <c r="I943" s="12"/>
      <c r="J943" s="12"/>
      <c r="K943" s="12"/>
      <c r="L943" s="12"/>
      <c r="M943" s="18" t="str">
        <f t="shared" si="1"/>
        <v>#DIV/0!</v>
      </c>
      <c r="N943" s="18" t="str">
        <f t="shared" si="2"/>
        <v>#DIV/0!</v>
      </c>
      <c r="O943" s="12" t="str">
        <f t="shared" si="4"/>
        <v/>
      </c>
      <c r="P943" s="18" t="str">
        <f t="shared" si="3"/>
        <v>#DIV/0!</v>
      </c>
      <c r="Q943" s="12"/>
    </row>
    <row r="944">
      <c r="A944" s="1" t="s">
        <v>3384</v>
      </c>
      <c r="B944" s="7" t="s">
        <v>3385</v>
      </c>
      <c r="C944" s="2" t="s">
        <v>3386</v>
      </c>
      <c r="D944" s="1" t="s">
        <v>3387</v>
      </c>
      <c r="E944" s="16"/>
      <c r="F944" s="16"/>
      <c r="G944" s="16"/>
      <c r="H944" s="17"/>
      <c r="I944" s="12"/>
      <c r="J944" s="12"/>
      <c r="K944" s="12"/>
      <c r="L944" s="12"/>
      <c r="M944" s="18" t="str">
        <f t="shared" si="1"/>
        <v>#DIV/0!</v>
      </c>
      <c r="N944" s="18" t="str">
        <f t="shared" si="2"/>
        <v>#DIV/0!</v>
      </c>
      <c r="O944" s="12" t="str">
        <f t="shared" si="4"/>
        <v/>
      </c>
      <c r="P944" s="18" t="str">
        <f t="shared" si="3"/>
        <v>#DIV/0!</v>
      </c>
      <c r="Q944" s="12"/>
    </row>
    <row r="945">
      <c r="A945" s="1" t="s">
        <v>3388</v>
      </c>
      <c r="B945" s="7" t="s">
        <v>3389</v>
      </c>
      <c r="C945" s="2" t="s">
        <v>3390</v>
      </c>
      <c r="D945" s="7" t="s">
        <v>3391</v>
      </c>
      <c r="E945" s="16"/>
      <c r="F945" s="16"/>
      <c r="G945" s="16"/>
      <c r="H945" s="17"/>
      <c r="I945" s="12"/>
      <c r="J945" s="12"/>
      <c r="K945" s="12"/>
      <c r="L945" s="12"/>
      <c r="M945" s="18" t="str">
        <f t="shared" si="1"/>
        <v>#DIV/0!</v>
      </c>
      <c r="N945" s="18" t="str">
        <f t="shared" si="2"/>
        <v>#DIV/0!</v>
      </c>
      <c r="O945" s="12" t="str">
        <f t="shared" si="4"/>
        <v/>
      </c>
      <c r="P945" s="18" t="str">
        <f t="shared" si="3"/>
        <v>#DIV/0!</v>
      </c>
      <c r="Q945" s="12"/>
    </row>
    <row r="946">
      <c r="A946" s="1" t="s">
        <v>3392</v>
      </c>
      <c r="B946" s="7" t="s">
        <v>3393</v>
      </c>
      <c r="C946" s="2" t="s">
        <v>3394</v>
      </c>
      <c r="D946" s="1" t="s">
        <v>3395</v>
      </c>
      <c r="E946" s="16"/>
      <c r="F946" s="16"/>
      <c r="G946" s="16"/>
      <c r="H946" s="17"/>
      <c r="I946" s="12"/>
      <c r="J946" s="12"/>
      <c r="K946" s="12"/>
      <c r="L946" s="12"/>
      <c r="M946" s="18" t="str">
        <f t="shared" si="1"/>
        <v>#DIV/0!</v>
      </c>
      <c r="N946" s="18" t="str">
        <f t="shared" si="2"/>
        <v>#DIV/0!</v>
      </c>
      <c r="O946" s="12" t="str">
        <f t="shared" si="4"/>
        <v/>
      </c>
      <c r="P946" s="18" t="str">
        <f t="shared" si="3"/>
        <v>#DIV/0!</v>
      </c>
      <c r="Q946" s="12"/>
    </row>
    <row r="947">
      <c r="A947" s="1" t="s">
        <v>3396</v>
      </c>
      <c r="B947" s="7" t="s">
        <v>3397</v>
      </c>
      <c r="C947" s="2" t="s">
        <v>3398</v>
      </c>
      <c r="D947" s="1" t="s">
        <v>3399</v>
      </c>
      <c r="E947" s="16"/>
      <c r="F947" s="16"/>
      <c r="G947" s="16"/>
      <c r="H947" s="17"/>
      <c r="I947" s="12"/>
      <c r="J947" s="12"/>
      <c r="K947" s="12"/>
      <c r="L947" s="12"/>
      <c r="M947" s="18" t="str">
        <f t="shared" si="1"/>
        <v>#DIV/0!</v>
      </c>
      <c r="N947" s="18" t="str">
        <f t="shared" si="2"/>
        <v>#DIV/0!</v>
      </c>
      <c r="O947" s="12" t="str">
        <f t="shared" si="4"/>
        <v/>
      </c>
      <c r="P947" s="18" t="str">
        <f t="shared" si="3"/>
        <v>#DIV/0!</v>
      </c>
      <c r="Q947" s="12"/>
    </row>
    <row r="948">
      <c r="A948" s="1" t="s">
        <v>3400</v>
      </c>
      <c r="B948" s="7" t="s">
        <v>3401</v>
      </c>
      <c r="C948" s="2" t="s">
        <v>3402</v>
      </c>
      <c r="D948" s="7" t="s">
        <v>3403</v>
      </c>
      <c r="E948" s="16"/>
      <c r="F948" s="16"/>
      <c r="G948" s="16"/>
      <c r="H948" s="17"/>
      <c r="I948" s="12"/>
      <c r="J948" s="12"/>
      <c r="K948" s="12"/>
      <c r="L948" s="12"/>
      <c r="M948" s="18" t="str">
        <f t="shared" si="1"/>
        <v>#DIV/0!</v>
      </c>
      <c r="N948" s="18" t="str">
        <f t="shared" si="2"/>
        <v>#DIV/0!</v>
      </c>
      <c r="O948" s="12" t="str">
        <f t="shared" si="4"/>
        <v/>
      </c>
      <c r="P948" s="18" t="str">
        <f t="shared" si="3"/>
        <v>#DIV/0!</v>
      </c>
      <c r="Q948" s="12"/>
    </row>
    <row r="949">
      <c r="A949" s="1" t="s">
        <v>3404</v>
      </c>
      <c r="B949" s="7" t="s">
        <v>3405</v>
      </c>
      <c r="C949" s="2" t="s">
        <v>3406</v>
      </c>
      <c r="D949" s="7" t="s">
        <v>3407</v>
      </c>
      <c r="E949" s="16"/>
      <c r="F949" s="16"/>
      <c r="G949" s="16"/>
      <c r="H949" s="17"/>
      <c r="I949" s="12"/>
      <c r="J949" s="12"/>
      <c r="K949" s="12"/>
      <c r="L949" s="12"/>
      <c r="M949" s="18" t="str">
        <f t="shared" si="1"/>
        <v>#DIV/0!</v>
      </c>
      <c r="N949" s="18" t="str">
        <f t="shared" si="2"/>
        <v>#DIV/0!</v>
      </c>
      <c r="O949" s="12" t="str">
        <f t="shared" si="4"/>
        <v/>
      </c>
      <c r="P949" s="18" t="str">
        <f t="shared" si="3"/>
        <v>#DIV/0!</v>
      </c>
      <c r="Q949" s="12"/>
    </row>
    <row r="950">
      <c r="A950" s="1" t="s">
        <v>3408</v>
      </c>
      <c r="B950" s="7" t="s">
        <v>3409</v>
      </c>
      <c r="C950" s="2" t="s">
        <v>3410</v>
      </c>
      <c r="D950" s="1" t="s">
        <v>3411</v>
      </c>
      <c r="E950" s="16"/>
      <c r="F950" s="16"/>
      <c r="G950" s="16"/>
      <c r="H950" s="17"/>
      <c r="I950" s="12"/>
      <c r="J950" s="12"/>
      <c r="K950" s="12"/>
      <c r="L950" s="12"/>
      <c r="M950" s="18" t="str">
        <f t="shared" si="1"/>
        <v>#DIV/0!</v>
      </c>
      <c r="N950" s="18" t="str">
        <f t="shared" si="2"/>
        <v>#DIV/0!</v>
      </c>
      <c r="O950" s="12" t="str">
        <f t="shared" si="4"/>
        <v/>
      </c>
      <c r="P950" s="18" t="str">
        <f t="shared" si="3"/>
        <v>#DIV/0!</v>
      </c>
      <c r="Q950" s="12"/>
    </row>
    <row r="951">
      <c r="A951" s="1" t="s">
        <v>3412</v>
      </c>
      <c r="B951" s="7" t="s">
        <v>3413</v>
      </c>
      <c r="C951" s="2" t="s">
        <v>3414</v>
      </c>
      <c r="D951" s="1" t="s">
        <v>3415</v>
      </c>
      <c r="E951" s="16"/>
      <c r="F951" s="16"/>
      <c r="G951" s="16"/>
      <c r="H951" s="17"/>
      <c r="I951" s="12"/>
      <c r="J951" s="12"/>
      <c r="K951" s="12"/>
      <c r="L951" s="12"/>
      <c r="M951" s="18" t="str">
        <f t="shared" si="1"/>
        <v>#DIV/0!</v>
      </c>
      <c r="N951" s="18" t="str">
        <f t="shared" si="2"/>
        <v>#DIV/0!</v>
      </c>
      <c r="O951" s="12" t="str">
        <f t="shared" si="4"/>
        <v/>
      </c>
      <c r="P951" s="18" t="str">
        <f t="shared" si="3"/>
        <v>#DIV/0!</v>
      </c>
      <c r="Q951" s="12"/>
    </row>
    <row r="952">
      <c r="A952" s="1" t="s">
        <v>3416</v>
      </c>
      <c r="B952" s="7" t="s">
        <v>3417</v>
      </c>
      <c r="C952" s="2" t="s">
        <v>3418</v>
      </c>
      <c r="D952" s="7" t="s">
        <v>3419</v>
      </c>
      <c r="E952" s="16"/>
      <c r="F952" s="16"/>
      <c r="G952" s="16"/>
      <c r="H952" s="17"/>
      <c r="I952" s="12"/>
      <c r="J952" s="12"/>
      <c r="K952" s="12"/>
      <c r="L952" s="12"/>
      <c r="M952" s="18" t="str">
        <f t="shared" si="1"/>
        <v>#DIV/0!</v>
      </c>
      <c r="N952" s="18" t="str">
        <f t="shared" si="2"/>
        <v>#DIV/0!</v>
      </c>
      <c r="O952" s="12" t="str">
        <f t="shared" si="4"/>
        <v/>
      </c>
      <c r="P952" s="18" t="str">
        <f t="shared" si="3"/>
        <v>#DIV/0!</v>
      </c>
      <c r="Q952" s="12"/>
    </row>
    <row r="953">
      <c r="A953" s="1" t="s">
        <v>3420</v>
      </c>
      <c r="B953" s="7" t="s">
        <v>3421</v>
      </c>
      <c r="C953" s="2" t="s">
        <v>268</v>
      </c>
      <c r="D953" s="7" t="s">
        <v>137</v>
      </c>
      <c r="E953" s="16"/>
      <c r="F953" s="16"/>
      <c r="G953" s="16"/>
      <c r="H953" s="17"/>
      <c r="I953" s="12"/>
      <c r="J953" s="12"/>
      <c r="K953" s="12"/>
      <c r="L953" s="12"/>
      <c r="M953" s="18" t="str">
        <f t="shared" si="1"/>
        <v>#DIV/0!</v>
      </c>
      <c r="N953" s="18" t="str">
        <f t="shared" si="2"/>
        <v>#DIV/0!</v>
      </c>
      <c r="O953" s="12" t="str">
        <f t="shared" si="4"/>
        <v/>
      </c>
      <c r="P953" s="18" t="str">
        <f t="shared" si="3"/>
        <v>#DIV/0!</v>
      </c>
      <c r="Q953" s="12"/>
    </row>
    <row r="954">
      <c r="A954" s="1" t="s">
        <v>3422</v>
      </c>
      <c r="B954" s="7" t="s">
        <v>3423</v>
      </c>
      <c r="C954" s="2" t="s">
        <v>3424</v>
      </c>
      <c r="D954" s="7" t="s">
        <v>3425</v>
      </c>
      <c r="E954" s="16"/>
      <c r="F954" s="16"/>
      <c r="G954" s="16"/>
      <c r="H954" s="17"/>
      <c r="I954" s="12"/>
      <c r="J954" s="12"/>
      <c r="K954" s="12"/>
      <c r="L954" s="12"/>
      <c r="M954" s="18" t="str">
        <f t="shared" si="1"/>
        <v>#DIV/0!</v>
      </c>
      <c r="N954" s="18" t="str">
        <f t="shared" si="2"/>
        <v>#DIV/0!</v>
      </c>
      <c r="O954" s="12" t="str">
        <f t="shared" si="4"/>
        <v/>
      </c>
      <c r="P954" s="18" t="str">
        <f t="shared" si="3"/>
        <v>#DIV/0!</v>
      </c>
      <c r="Q954" s="12"/>
    </row>
    <row r="955">
      <c r="A955" s="1" t="s">
        <v>3426</v>
      </c>
      <c r="B955" s="7" t="s">
        <v>3427</v>
      </c>
      <c r="C955" s="2" t="s">
        <v>3428</v>
      </c>
      <c r="D955" s="7" t="s">
        <v>3429</v>
      </c>
      <c r="E955" s="16"/>
      <c r="F955" s="16"/>
      <c r="G955" s="16"/>
      <c r="H955" s="17"/>
      <c r="I955" s="12"/>
      <c r="J955" s="12"/>
      <c r="K955" s="12"/>
      <c r="L955" s="12"/>
      <c r="M955" s="18" t="str">
        <f t="shared" si="1"/>
        <v>#DIV/0!</v>
      </c>
      <c r="N955" s="18" t="str">
        <f t="shared" si="2"/>
        <v>#DIV/0!</v>
      </c>
      <c r="O955" s="12" t="str">
        <f t="shared" si="4"/>
        <v/>
      </c>
      <c r="P955" s="18" t="str">
        <f t="shared" si="3"/>
        <v>#DIV/0!</v>
      </c>
      <c r="Q955" s="12"/>
    </row>
    <row r="956">
      <c r="A956" s="1" t="s">
        <v>3430</v>
      </c>
      <c r="B956" s="7" t="s">
        <v>3431</v>
      </c>
      <c r="C956" s="2" t="s">
        <v>268</v>
      </c>
      <c r="D956" s="7" t="s">
        <v>137</v>
      </c>
      <c r="E956" s="16"/>
      <c r="F956" s="16"/>
      <c r="G956" s="16"/>
      <c r="H956" s="17"/>
      <c r="I956" s="12"/>
      <c r="J956" s="12"/>
      <c r="K956" s="12"/>
      <c r="L956" s="12"/>
      <c r="M956" s="18" t="str">
        <f t="shared" si="1"/>
        <v>#DIV/0!</v>
      </c>
      <c r="N956" s="18" t="str">
        <f t="shared" si="2"/>
        <v>#DIV/0!</v>
      </c>
      <c r="O956" s="12" t="str">
        <f t="shared" si="4"/>
        <v/>
      </c>
      <c r="P956" s="18" t="str">
        <f t="shared" si="3"/>
        <v>#DIV/0!</v>
      </c>
      <c r="Q956" s="12"/>
    </row>
    <row r="957">
      <c r="A957" s="1" t="s">
        <v>3432</v>
      </c>
      <c r="B957" s="7" t="s">
        <v>3433</v>
      </c>
      <c r="C957" s="2" t="s">
        <v>176</v>
      </c>
      <c r="D957" s="7" t="s">
        <v>177</v>
      </c>
      <c r="E957" s="16"/>
      <c r="F957" s="16"/>
      <c r="G957" s="16"/>
      <c r="H957" s="17"/>
      <c r="I957" s="12"/>
      <c r="J957" s="12"/>
      <c r="K957" s="12"/>
      <c r="L957" s="12"/>
      <c r="M957" s="18" t="str">
        <f t="shared" si="1"/>
        <v>#DIV/0!</v>
      </c>
      <c r="N957" s="18" t="str">
        <f t="shared" si="2"/>
        <v>#DIV/0!</v>
      </c>
      <c r="O957" s="12" t="str">
        <f t="shared" si="4"/>
        <v/>
      </c>
      <c r="P957" s="18" t="str">
        <f t="shared" si="3"/>
        <v>#DIV/0!</v>
      </c>
      <c r="Q957" s="12"/>
    </row>
    <row r="958">
      <c r="A958" s="1" t="s">
        <v>3434</v>
      </c>
      <c r="B958" s="7" t="s">
        <v>3435</v>
      </c>
      <c r="C958" s="2" t="s">
        <v>3359</v>
      </c>
      <c r="D958" s="7" t="s">
        <v>173</v>
      </c>
      <c r="E958" s="16"/>
      <c r="F958" s="16"/>
      <c r="G958" s="16"/>
      <c r="H958" s="17"/>
      <c r="I958" s="12"/>
      <c r="J958" s="12"/>
      <c r="K958" s="12"/>
      <c r="L958" s="12"/>
      <c r="M958" s="18" t="str">
        <f t="shared" si="1"/>
        <v>#DIV/0!</v>
      </c>
      <c r="N958" s="18" t="str">
        <f t="shared" si="2"/>
        <v>#DIV/0!</v>
      </c>
      <c r="O958" s="12" t="str">
        <f t="shared" si="4"/>
        <v/>
      </c>
      <c r="P958" s="18" t="str">
        <f t="shared" si="3"/>
        <v>#DIV/0!</v>
      </c>
      <c r="Q958" s="12"/>
    </row>
    <row r="959">
      <c r="A959" s="1" t="s">
        <v>3436</v>
      </c>
      <c r="B959" s="7" t="s">
        <v>3437</v>
      </c>
      <c r="C959" s="2" t="s">
        <v>3438</v>
      </c>
      <c r="D959" s="1" t="s">
        <v>3439</v>
      </c>
      <c r="E959" s="16"/>
      <c r="F959" s="16"/>
      <c r="G959" s="16"/>
      <c r="H959" s="17"/>
      <c r="I959" s="12"/>
      <c r="J959" s="12"/>
      <c r="K959" s="12"/>
      <c r="L959" s="12"/>
      <c r="M959" s="18" t="str">
        <f t="shared" si="1"/>
        <v>#DIV/0!</v>
      </c>
      <c r="N959" s="18" t="str">
        <f t="shared" si="2"/>
        <v>#DIV/0!</v>
      </c>
      <c r="O959" s="12" t="str">
        <f t="shared" si="4"/>
        <v/>
      </c>
      <c r="P959" s="18" t="str">
        <f t="shared" si="3"/>
        <v>#DIV/0!</v>
      </c>
      <c r="Q959" s="12"/>
    </row>
    <row r="960">
      <c r="A960" s="1" t="s">
        <v>3440</v>
      </c>
      <c r="B960" s="7" t="s">
        <v>3441</v>
      </c>
      <c r="C960" s="2" t="s">
        <v>3442</v>
      </c>
      <c r="D960" s="1" t="s">
        <v>3443</v>
      </c>
      <c r="E960" s="16"/>
      <c r="F960" s="16"/>
      <c r="G960" s="16"/>
      <c r="H960" s="17"/>
      <c r="I960" s="12"/>
      <c r="J960" s="12"/>
      <c r="K960" s="12"/>
      <c r="L960" s="12"/>
      <c r="M960" s="18" t="str">
        <f t="shared" si="1"/>
        <v>#DIV/0!</v>
      </c>
      <c r="N960" s="18" t="str">
        <f t="shared" si="2"/>
        <v>#DIV/0!</v>
      </c>
      <c r="O960" s="12" t="str">
        <f t="shared" si="4"/>
        <v/>
      </c>
      <c r="P960" s="18" t="str">
        <f t="shared" si="3"/>
        <v>#DIV/0!</v>
      </c>
      <c r="Q960" s="12"/>
    </row>
    <row r="961">
      <c r="A961" s="1" t="s">
        <v>3444</v>
      </c>
      <c r="B961" s="7" t="s">
        <v>3445</v>
      </c>
      <c r="C961" s="2" t="s">
        <v>3446</v>
      </c>
      <c r="D961" s="1" t="s">
        <v>3447</v>
      </c>
      <c r="E961" s="16"/>
      <c r="F961" s="16"/>
      <c r="G961" s="16"/>
      <c r="H961" s="17"/>
      <c r="I961" s="12"/>
      <c r="J961" s="12"/>
      <c r="K961" s="12"/>
      <c r="L961" s="12"/>
      <c r="M961" s="18" t="str">
        <f t="shared" si="1"/>
        <v>#DIV/0!</v>
      </c>
      <c r="N961" s="18" t="str">
        <f t="shared" si="2"/>
        <v>#DIV/0!</v>
      </c>
      <c r="O961" s="12" t="str">
        <f t="shared" si="4"/>
        <v/>
      </c>
      <c r="P961" s="18" t="str">
        <f t="shared" si="3"/>
        <v>#DIV/0!</v>
      </c>
      <c r="Q961" s="12"/>
    </row>
    <row r="962">
      <c r="A962" s="1" t="s">
        <v>3448</v>
      </c>
      <c r="B962" s="7" t="s">
        <v>3449</v>
      </c>
      <c r="C962" s="2" t="s">
        <v>1104</v>
      </c>
      <c r="D962" s="7" t="s">
        <v>1105</v>
      </c>
      <c r="E962" s="16"/>
      <c r="F962" s="16"/>
      <c r="G962" s="16"/>
      <c r="H962" s="17"/>
      <c r="I962" s="12"/>
      <c r="J962" s="12"/>
      <c r="K962" s="12"/>
      <c r="L962" s="12"/>
      <c r="M962" s="18" t="str">
        <f t="shared" si="1"/>
        <v>#DIV/0!</v>
      </c>
      <c r="N962" s="18" t="str">
        <f t="shared" si="2"/>
        <v>#DIV/0!</v>
      </c>
      <c r="O962" s="12" t="str">
        <f t="shared" si="4"/>
        <v/>
      </c>
      <c r="P962" s="18" t="str">
        <f t="shared" si="3"/>
        <v>#DIV/0!</v>
      </c>
      <c r="Q962" s="12"/>
    </row>
    <row r="963">
      <c r="A963" s="1" t="s">
        <v>3450</v>
      </c>
      <c r="B963" s="7" t="s">
        <v>3451</v>
      </c>
      <c r="C963" s="2" t="s">
        <v>136</v>
      </c>
      <c r="D963" s="7" t="s">
        <v>137</v>
      </c>
      <c r="E963" s="16"/>
      <c r="F963" s="16"/>
      <c r="G963" s="16"/>
      <c r="H963" s="17"/>
      <c r="I963" s="12"/>
      <c r="J963" s="12"/>
      <c r="K963" s="12"/>
      <c r="L963" s="12"/>
      <c r="M963" s="18" t="str">
        <f t="shared" si="1"/>
        <v>#DIV/0!</v>
      </c>
      <c r="N963" s="18" t="str">
        <f t="shared" si="2"/>
        <v>#DIV/0!</v>
      </c>
      <c r="O963" s="12" t="str">
        <f t="shared" si="4"/>
        <v/>
      </c>
      <c r="P963" s="18" t="str">
        <f t="shared" si="3"/>
        <v>#DIV/0!</v>
      </c>
      <c r="Q963" s="12"/>
    </row>
    <row r="964">
      <c r="A964" s="1" t="s">
        <v>3452</v>
      </c>
      <c r="B964" s="7" t="s">
        <v>3453</v>
      </c>
      <c r="C964" s="2" t="s">
        <v>1041</v>
      </c>
      <c r="D964" s="7" t="s">
        <v>445</v>
      </c>
      <c r="E964" s="16"/>
      <c r="F964" s="16"/>
      <c r="G964" s="16"/>
      <c r="H964" s="17"/>
      <c r="I964" s="12"/>
      <c r="J964" s="12"/>
      <c r="K964" s="12"/>
      <c r="L964" s="12"/>
      <c r="M964" s="18" t="str">
        <f t="shared" si="1"/>
        <v>#DIV/0!</v>
      </c>
      <c r="N964" s="18" t="str">
        <f t="shared" si="2"/>
        <v>#DIV/0!</v>
      </c>
      <c r="O964" s="12" t="str">
        <f t="shared" si="4"/>
        <v/>
      </c>
      <c r="P964" s="18" t="str">
        <f t="shared" si="3"/>
        <v>#DIV/0!</v>
      </c>
      <c r="Q964" s="12"/>
    </row>
    <row r="965">
      <c r="A965" s="1" t="s">
        <v>3454</v>
      </c>
      <c r="B965" s="7" t="s">
        <v>3455</v>
      </c>
      <c r="C965" s="2" t="s">
        <v>3456</v>
      </c>
      <c r="D965" s="7" t="s">
        <v>3457</v>
      </c>
      <c r="E965" s="16"/>
      <c r="F965" s="16"/>
      <c r="G965" s="16"/>
      <c r="H965" s="17"/>
      <c r="I965" s="12"/>
      <c r="J965" s="12"/>
      <c r="K965" s="12"/>
      <c r="L965" s="12"/>
      <c r="M965" s="18" t="str">
        <f t="shared" si="1"/>
        <v>#DIV/0!</v>
      </c>
      <c r="N965" s="18" t="str">
        <f t="shared" si="2"/>
        <v>#DIV/0!</v>
      </c>
      <c r="O965" s="12" t="str">
        <f t="shared" si="4"/>
        <v/>
      </c>
      <c r="P965" s="18" t="str">
        <f t="shared" si="3"/>
        <v>#DIV/0!</v>
      </c>
      <c r="Q965" s="12"/>
    </row>
    <row r="966">
      <c r="A966" s="1" t="s">
        <v>3458</v>
      </c>
      <c r="B966" s="7" t="s">
        <v>3459</v>
      </c>
      <c r="C966" s="2" t="s">
        <v>3460</v>
      </c>
      <c r="D966" s="1" t="s">
        <v>3461</v>
      </c>
      <c r="E966" s="16"/>
      <c r="F966" s="16"/>
      <c r="G966" s="16"/>
      <c r="H966" s="17"/>
      <c r="I966" s="12"/>
      <c r="J966" s="12"/>
      <c r="K966" s="12"/>
      <c r="L966" s="12"/>
      <c r="M966" s="18" t="str">
        <f t="shared" si="1"/>
        <v>#DIV/0!</v>
      </c>
      <c r="N966" s="18" t="str">
        <f t="shared" si="2"/>
        <v>#DIV/0!</v>
      </c>
      <c r="O966" s="12" t="str">
        <f t="shared" si="4"/>
        <v/>
      </c>
      <c r="P966" s="18" t="str">
        <f t="shared" si="3"/>
        <v>#DIV/0!</v>
      </c>
      <c r="Q966" s="12"/>
    </row>
    <row r="967">
      <c r="A967" s="1" t="s">
        <v>3462</v>
      </c>
      <c r="B967" s="7" t="s">
        <v>3463</v>
      </c>
      <c r="C967" s="2" t="s">
        <v>3464</v>
      </c>
      <c r="D967" s="1" t="s">
        <v>3465</v>
      </c>
      <c r="E967" s="16"/>
      <c r="F967" s="16"/>
      <c r="G967" s="16"/>
      <c r="H967" s="17"/>
      <c r="I967" s="12"/>
      <c r="J967" s="12"/>
      <c r="K967" s="12"/>
      <c r="L967" s="12"/>
      <c r="M967" s="18" t="str">
        <f t="shared" si="1"/>
        <v>#DIV/0!</v>
      </c>
      <c r="N967" s="18" t="str">
        <f t="shared" si="2"/>
        <v>#DIV/0!</v>
      </c>
      <c r="O967" s="12" t="str">
        <f t="shared" si="4"/>
        <v/>
      </c>
      <c r="P967" s="18" t="str">
        <f t="shared" si="3"/>
        <v>#DIV/0!</v>
      </c>
      <c r="Q967" s="12"/>
    </row>
    <row r="968">
      <c r="A968" s="1" t="s">
        <v>3466</v>
      </c>
      <c r="B968" s="7" t="s">
        <v>3467</v>
      </c>
      <c r="C968" s="2" t="s">
        <v>1104</v>
      </c>
      <c r="D968" s="7" t="s">
        <v>1105</v>
      </c>
      <c r="E968" s="16"/>
      <c r="F968" s="16"/>
      <c r="G968" s="16"/>
      <c r="H968" s="17"/>
      <c r="I968" s="12"/>
      <c r="J968" s="12"/>
      <c r="K968" s="12"/>
      <c r="L968" s="12"/>
      <c r="M968" s="18" t="str">
        <f t="shared" si="1"/>
        <v>#DIV/0!</v>
      </c>
      <c r="N968" s="18" t="str">
        <f t="shared" si="2"/>
        <v>#DIV/0!</v>
      </c>
      <c r="O968" s="12" t="str">
        <f t="shared" si="4"/>
        <v/>
      </c>
      <c r="P968" s="18" t="str">
        <f t="shared" si="3"/>
        <v>#DIV/0!</v>
      </c>
      <c r="Q968" s="12"/>
    </row>
    <row r="969">
      <c r="A969" s="1" t="s">
        <v>3468</v>
      </c>
      <c r="B969" s="7" t="s">
        <v>3469</v>
      </c>
      <c r="C969" s="2" t="s">
        <v>3470</v>
      </c>
      <c r="D969" s="7" t="s">
        <v>137</v>
      </c>
      <c r="E969" s="16"/>
      <c r="F969" s="16"/>
      <c r="G969" s="16"/>
      <c r="H969" s="17"/>
      <c r="I969" s="12"/>
      <c r="J969" s="12"/>
      <c r="K969" s="12"/>
      <c r="L969" s="12"/>
      <c r="M969" s="18" t="str">
        <f t="shared" si="1"/>
        <v>#DIV/0!</v>
      </c>
      <c r="N969" s="18" t="str">
        <f t="shared" si="2"/>
        <v>#DIV/0!</v>
      </c>
      <c r="O969" s="12" t="str">
        <f t="shared" si="4"/>
        <v/>
      </c>
      <c r="P969" s="18" t="str">
        <f t="shared" si="3"/>
        <v>#DIV/0!</v>
      </c>
      <c r="Q969" s="12"/>
    </row>
    <row r="970">
      <c r="A970" s="1" t="s">
        <v>3471</v>
      </c>
      <c r="B970" s="7" t="s">
        <v>3472</v>
      </c>
      <c r="C970" s="2" t="s">
        <v>3473</v>
      </c>
      <c r="D970" s="1" t="s">
        <v>3474</v>
      </c>
      <c r="E970" s="16"/>
      <c r="F970" s="16"/>
      <c r="G970" s="16"/>
      <c r="H970" s="17"/>
      <c r="I970" s="12"/>
      <c r="J970" s="12"/>
      <c r="K970" s="12"/>
      <c r="L970" s="12"/>
      <c r="M970" s="18" t="str">
        <f t="shared" si="1"/>
        <v>#DIV/0!</v>
      </c>
      <c r="N970" s="18" t="str">
        <f t="shared" si="2"/>
        <v>#DIV/0!</v>
      </c>
      <c r="O970" s="12" t="str">
        <f t="shared" si="4"/>
        <v/>
      </c>
      <c r="P970" s="18" t="str">
        <f t="shared" si="3"/>
        <v>#DIV/0!</v>
      </c>
      <c r="Q970" s="12"/>
    </row>
    <row r="971">
      <c r="A971" s="1" t="s">
        <v>3475</v>
      </c>
      <c r="B971" s="7" t="s">
        <v>3476</v>
      </c>
      <c r="C971" s="2" t="s">
        <v>44</v>
      </c>
      <c r="D971" s="7" t="s">
        <v>45</v>
      </c>
      <c r="E971" s="16"/>
      <c r="F971" s="16"/>
      <c r="G971" s="16"/>
      <c r="H971" s="17"/>
      <c r="I971" s="12"/>
      <c r="J971" s="12"/>
      <c r="K971" s="12"/>
      <c r="L971" s="12"/>
      <c r="M971" s="18" t="str">
        <f t="shared" si="1"/>
        <v>#DIV/0!</v>
      </c>
      <c r="N971" s="18" t="str">
        <f t="shared" si="2"/>
        <v>#DIV/0!</v>
      </c>
      <c r="O971" s="12" t="str">
        <f t="shared" si="4"/>
        <v/>
      </c>
      <c r="P971" s="18" t="str">
        <f t="shared" si="3"/>
        <v>#DIV/0!</v>
      </c>
      <c r="Q971" s="12"/>
    </row>
    <row r="972">
      <c r="A972" s="1" t="s">
        <v>3477</v>
      </c>
      <c r="B972" s="7" t="s">
        <v>3478</v>
      </c>
      <c r="C972" s="2" t="s">
        <v>3479</v>
      </c>
      <c r="D972" s="7" t="s">
        <v>173</v>
      </c>
      <c r="E972" s="16"/>
      <c r="F972" s="16"/>
      <c r="G972" s="16"/>
      <c r="H972" s="17"/>
      <c r="I972" s="12"/>
      <c r="J972" s="12"/>
      <c r="K972" s="12"/>
      <c r="L972" s="12"/>
      <c r="M972" s="18" t="str">
        <f t="shared" si="1"/>
        <v>#DIV/0!</v>
      </c>
      <c r="N972" s="18" t="str">
        <f t="shared" si="2"/>
        <v>#DIV/0!</v>
      </c>
      <c r="O972" s="12" t="str">
        <f t="shared" si="4"/>
        <v/>
      </c>
      <c r="P972" s="18" t="str">
        <f t="shared" si="3"/>
        <v>#DIV/0!</v>
      </c>
      <c r="Q972" s="12"/>
    </row>
    <row r="973">
      <c r="A973" s="1" t="s">
        <v>3480</v>
      </c>
      <c r="B973" s="7" t="s">
        <v>3481</v>
      </c>
      <c r="C973" s="2" t="s">
        <v>3482</v>
      </c>
      <c r="D973" s="1" t="s">
        <v>3483</v>
      </c>
      <c r="E973" s="16"/>
      <c r="F973" s="16"/>
      <c r="G973" s="16"/>
      <c r="H973" s="17"/>
      <c r="I973" s="12"/>
      <c r="J973" s="12"/>
      <c r="K973" s="12"/>
      <c r="L973" s="12"/>
      <c r="M973" s="18" t="str">
        <f t="shared" si="1"/>
        <v>#DIV/0!</v>
      </c>
      <c r="N973" s="18" t="str">
        <f t="shared" si="2"/>
        <v>#DIV/0!</v>
      </c>
      <c r="O973" s="12" t="str">
        <f t="shared" si="4"/>
        <v/>
      </c>
      <c r="P973" s="18" t="str">
        <f t="shared" si="3"/>
        <v>#DIV/0!</v>
      </c>
      <c r="Q973" s="12"/>
    </row>
    <row r="974">
      <c r="A974" s="1" t="s">
        <v>3484</v>
      </c>
      <c r="B974" s="7" t="s">
        <v>3485</v>
      </c>
      <c r="C974" s="2" t="s">
        <v>3486</v>
      </c>
      <c r="D974" s="1" t="s">
        <v>3487</v>
      </c>
      <c r="E974" s="16"/>
      <c r="F974" s="16"/>
      <c r="G974" s="16"/>
      <c r="H974" s="17"/>
      <c r="I974" s="12"/>
      <c r="J974" s="12"/>
      <c r="K974" s="12"/>
      <c r="L974" s="12"/>
      <c r="M974" s="18" t="str">
        <f t="shared" si="1"/>
        <v>#DIV/0!</v>
      </c>
      <c r="N974" s="18" t="str">
        <f t="shared" si="2"/>
        <v>#DIV/0!</v>
      </c>
      <c r="O974" s="12" t="str">
        <f t="shared" si="4"/>
        <v/>
      </c>
      <c r="P974" s="18" t="str">
        <f t="shared" si="3"/>
        <v>#DIV/0!</v>
      </c>
      <c r="Q974" s="12"/>
    </row>
    <row r="975">
      <c r="A975" s="1" t="s">
        <v>3488</v>
      </c>
      <c r="B975" s="7" t="s">
        <v>3489</v>
      </c>
      <c r="C975" s="2" t="s">
        <v>3490</v>
      </c>
      <c r="D975" s="1" t="s">
        <v>3491</v>
      </c>
      <c r="E975" s="16"/>
      <c r="F975" s="16"/>
      <c r="G975" s="16"/>
      <c r="H975" s="17"/>
      <c r="I975" s="12"/>
      <c r="J975" s="12"/>
      <c r="K975" s="12"/>
      <c r="L975" s="12"/>
      <c r="M975" s="18" t="str">
        <f t="shared" si="1"/>
        <v>#DIV/0!</v>
      </c>
      <c r="N975" s="18" t="str">
        <f t="shared" si="2"/>
        <v>#DIV/0!</v>
      </c>
      <c r="O975" s="12" t="str">
        <f t="shared" si="4"/>
        <v/>
      </c>
      <c r="P975" s="18" t="str">
        <f t="shared" si="3"/>
        <v>#DIV/0!</v>
      </c>
      <c r="Q975" s="12"/>
    </row>
    <row r="976">
      <c r="A976" s="1" t="s">
        <v>3492</v>
      </c>
      <c r="B976" s="7" t="s">
        <v>3493</v>
      </c>
      <c r="C976" s="2" t="s">
        <v>3494</v>
      </c>
      <c r="D976" s="7" t="s">
        <v>3495</v>
      </c>
      <c r="E976" s="16"/>
      <c r="F976" s="16"/>
      <c r="G976" s="16"/>
      <c r="H976" s="17"/>
      <c r="I976" s="12"/>
      <c r="J976" s="12"/>
      <c r="K976" s="12"/>
      <c r="L976" s="12"/>
      <c r="M976" s="18" t="str">
        <f t="shared" si="1"/>
        <v>#DIV/0!</v>
      </c>
      <c r="N976" s="18" t="str">
        <f t="shared" si="2"/>
        <v>#DIV/0!</v>
      </c>
      <c r="O976" s="12" t="str">
        <f t="shared" si="4"/>
        <v/>
      </c>
      <c r="P976" s="18" t="str">
        <f t="shared" si="3"/>
        <v>#DIV/0!</v>
      </c>
      <c r="Q976" s="12"/>
    </row>
    <row r="977">
      <c r="A977" s="1" t="s">
        <v>3496</v>
      </c>
      <c r="B977" s="7" t="s">
        <v>3497</v>
      </c>
      <c r="C977" s="13" t="s">
        <v>2695</v>
      </c>
      <c r="D977" s="7" t="s">
        <v>2696</v>
      </c>
      <c r="E977" s="16"/>
      <c r="F977" s="16"/>
      <c r="G977" s="16"/>
      <c r="H977" s="17"/>
      <c r="I977" s="12"/>
      <c r="J977" s="12"/>
      <c r="K977" s="12"/>
      <c r="L977" s="12"/>
      <c r="M977" s="18" t="str">
        <f t="shared" si="1"/>
        <v>#DIV/0!</v>
      </c>
      <c r="N977" s="18" t="str">
        <f t="shared" si="2"/>
        <v>#DIV/0!</v>
      </c>
      <c r="O977" s="12" t="str">
        <f t="shared" si="4"/>
        <v/>
      </c>
      <c r="P977" s="18" t="str">
        <f t="shared" si="3"/>
        <v>#DIV/0!</v>
      </c>
      <c r="Q977" s="12"/>
    </row>
    <row r="978">
      <c r="A978" s="1" t="s">
        <v>3498</v>
      </c>
      <c r="B978" s="7" t="s">
        <v>3499</v>
      </c>
      <c r="C978" s="2" t="s">
        <v>3500</v>
      </c>
      <c r="D978" s="7" t="s">
        <v>3501</v>
      </c>
      <c r="E978" s="16"/>
      <c r="F978" s="16"/>
      <c r="G978" s="16"/>
      <c r="H978" s="17"/>
      <c r="I978" s="12"/>
      <c r="J978" s="12"/>
      <c r="K978" s="12"/>
      <c r="L978" s="12"/>
      <c r="M978" s="18" t="str">
        <f t="shared" si="1"/>
        <v>#DIV/0!</v>
      </c>
      <c r="N978" s="18" t="str">
        <f t="shared" si="2"/>
        <v>#DIV/0!</v>
      </c>
      <c r="O978" s="12" t="str">
        <f t="shared" si="4"/>
        <v/>
      </c>
      <c r="P978" s="18" t="str">
        <f t="shared" si="3"/>
        <v>#DIV/0!</v>
      </c>
      <c r="Q978" s="12"/>
    </row>
    <row r="979">
      <c r="A979" s="1" t="s">
        <v>3502</v>
      </c>
      <c r="B979" s="7" t="s">
        <v>3503</v>
      </c>
      <c r="C979" s="2" t="s">
        <v>863</v>
      </c>
      <c r="D979" s="1" t="s">
        <v>864</v>
      </c>
      <c r="E979" s="16"/>
      <c r="F979" s="16"/>
      <c r="G979" s="16"/>
      <c r="H979" s="17"/>
      <c r="I979" s="12"/>
      <c r="J979" s="12"/>
      <c r="K979" s="12"/>
      <c r="L979" s="12"/>
      <c r="M979" s="18" t="str">
        <f t="shared" si="1"/>
        <v>#DIV/0!</v>
      </c>
      <c r="N979" s="18" t="str">
        <f t="shared" si="2"/>
        <v>#DIV/0!</v>
      </c>
      <c r="O979" s="12" t="str">
        <f t="shared" si="4"/>
        <v/>
      </c>
      <c r="P979" s="18" t="str">
        <f t="shared" si="3"/>
        <v>#DIV/0!</v>
      </c>
      <c r="Q979" s="12"/>
    </row>
    <row r="980">
      <c r="A980" s="1" t="s">
        <v>3504</v>
      </c>
      <c r="B980" s="7" t="s">
        <v>3505</v>
      </c>
      <c r="C980" s="2" t="s">
        <v>3506</v>
      </c>
      <c r="D980" s="1" t="s">
        <v>3507</v>
      </c>
      <c r="E980" s="16"/>
      <c r="F980" s="16"/>
      <c r="G980" s="16"/>
      <c r="H980" s="17"/>
      <c r="I980" s="12"/>
      <c r="J980" s="12"/>
      <c r="K980" s="12"/>
      <c r="L980" s="12"/>
      <c r="M980" s="18" t="str">
        <f t="shared" si="1"/>
        <v>#DIV/0!</v>
      </c>
      <c r="N980" s="18" t="str">
        <f t="shared" si="2"/>
        <v>#DIV/0!</v>
      </c>
      <c r="O980" s="12" t="str">
        <f t="shared" si="4"/>
        <v/>
      </c>
      <c r="P980" s="18" t="str">
        <f t="shared" si="3"/>
        <v>#DIV/0!</v>
      </c>
      <c r="Q980" s="12"/>
    </row>
    <row r="981">
      <c r="A981" s="1" t="s">
        <v>3508</v>
      </c>
      <c r="B981" s="7" t="s">
        <v>3509</v>
      </c>
      <c r="C981" s="2" t="s">
        <v>3510</v>
      </c>
      <c r="D981" s="1" t="s">
        <v>161</v>
      </c>
      <c r="E981" s="16"/>
      <c r="F981" s="16"/>
      <c r="G981" s="16"/>
      <c r="H981" s="17"/>
      <c r="I981" s="12"/>
      <c r="J981" s="12"/>
      <c r="K981" s="12"/>
      <c r="L981" s="12"/>
      <c r="M981" s="18" t="str">
        <f t="shared" si="1"/>
        <v>#DIV/0!</v>
      </c>
      <c r="N981" s="18" t="str">
        <f t="shared" si="2"/>
        <v>#DIV/0!</v>
      </c>
      <c r="O981" s="12" t="str">
        <f t="shared" si="4"/>
        <v/>
      </c>
      <c r="P981" s="18" t="str">
        <f t="shared" si="3"/>
        <v>#DIV/0!</v>
      </c>
      <c r="Q981" s="12"/>
    </row>
    <row r="982">
      <c r="A982" s="1" t="s">
        <v>3511</v>
      </c>
      <c r="B982" s="7" t="s">
        <v>3512</v>
      </c>
      <c r="C982" s="2" t="s">
        <v>3513</v>
      </c>
      <c r="D982" s="7" t="s">
        <v>740</v>
      </c>
      <c r="E982" s="16"/>
      <c r="F982" s="16"/>
      <c r="G982" s="16"/>
      <c r="H982" s="17"/>
      <c r="I982" s="12"/>
      <c r="J982" s="12"/>
      <c r="K982" s="12"/>
      <c r="L982" s="12"/>
      <c r="M982" s="18" t="str">
        <f t="shared" si="1"/>
        <v>#DIV/0!</v>
      </c>
      <c r="N982" s="18" t="str">
        <f t="shared" si="2"/>
        <v>#DIV/0!</v>
      </c>
      <c r="O982" s="12" t="str">
        <f t="shared" si="4"/>
        <v/>
      </c>
      <c r="P982" s="18" t="str">
        <f t="shared" si="3"/>
        <v>#DIV/0!</v>
      </c>
      <c r="Q982" s="12"/>
    </row>
    <row r="983">
      <c r="A983" s="1" t="s">
        <v>3514</v>
      </c>
      <c r="B983" s="7" t="s">
        <v>3515</v>
      </c>
      <c r="C983" s="2" t="s">
        <v>3516</v>
      </c>
      <c r="D983" s="7" t="s">
        <v>3517</v>
      </c>
      <c r="E983" s="16"/>
      <c r="F983" s="16"/>
      <c r="G983" s="16"/>
      <c r="H983" s="17"/>
      <c r="I983" s="12"/>
      <c r="J983" s="12"/>
      <c r="K983" s="12"/>
      <c r="L983" s="12"/>
      <c r="M983" s="18" t="str">
        <f t="shared" si="1"/>
        <v>#DIV/0!</v>
      </c>
      <c r="N983" s="18" t="str">
        <f t="shared" si="2"/>
        <v>#DIV/0!</v>
      </c>
      <c r="O983" s="12" t="str">
        <f t="shared" si="4"/>
        <v/>
      </c>
      <c r="P983" s="18" t="str">
        <f t="shared" si="3"/>
        <v>#DIV/0!</v>
      </c>
      <c r="Q983" s="12"/>
    </row>
    <row r="984">
      <c r="A984" s="1" t="s">
        <v>3518</v>
      </c>
      <c r="B984" s="7" t="s">
        <v>3519</v>
      </c>
      <c r="C984" s="2" t="s">
        <v>3520</v>
      </c>
      <c r="D984" s="1" t="s">
        <v>3521</v>
      </c>
      <c r="E984" s="16"/>
      <c r="F984" s="16"/>
      <c r="G984" s="16"/>
      <c r="H984" s="17"/>
      <c r="I984" s="12"/>
      <c r="J984" s="12"/>
      <c r="K984" s="12"/>
      <c r="L984" s="12"/>
      <c r="M984" s="18" t="str">
        <f t="shared" si="1"/>
        <v>#DIV/0!</v>
      </c>
      <c r="N984" s="18" t="str">
        <f t="shared" si="2"/>
        <v>#DIV/0!</v>
      </c>
      <c r="O984" s="12" t="str">
        <f t="shared" si="4"/>
        <v/>
      </c>
      <c r="P984" s="18" t="str">
        <f t="shared" si="3"/>
        <v>#DIV/0!</v>
      </c>
      <c r="Q984" s="12"/>
    </row>
    <row r="985">
      <c r="A985" s="1" t="s">
        <v>3522</v>
      </c>
      <c r="B985" s="7" t="s">
        <v>3523</v>
      </c>
      <c r="C985" s="2" t="s">
        <v>3524</v>
      </c>
      <c r="D985" s="1" t="s">
        <v>864</v>
      </c>
      <c r="E985" s="16"/>
      <c r="F985" s="16"/>
      <c r="G985" s="16"/>
      <c r="H985" s="17"/>
      <c r="I985" s="12"/>
      <c r="J985" s="12"/>
      <c r="K985" s="12"/>
      <c r="L985" s="12"/>
      <c r="M985" s="18" t="str">
        <f t="shared" si="1"/>
        <v>#DIV/0!</v>
      </c>
      <c r="N985" s="18" t="str">
        <f t="shared" si="2"/>
        <v>#DIV/0!</v>
      </c>
      <c r="O985" s="12" t="str">
        <f t="shared" si="4"/>
        <v/>
      </c>
      <c r="P985" s="18" t="str">
        <f t="shared" si="3"/>
        <v>#DIV/0!</v>
      </c>
      <c r="Q985" s="12"/>
    </row>
    <row r="986">
      <c r="A986" s="1" t="s">
        <v>3525</v>
      </c>
      <c r="B986" s="7" t="s">
        <v>3526</v>
      </c>
      <c r="C986" s="2" t="s">
        <v>3527</v>
      </c>
      <c r="D986" s="7" t="s">
        <v>482</v>
      </c>
      <c r="E986" s="16"/>
      <c r="F986" s="16"/>
      <c r="G986" s="16"/>
      <c r="H986" s="17"/>
      <c r="I986" s="12"/>
      <c r="J986" s="12"/>
      <c r="K986" s="12"/>
      <c r="L986" s="12"/>
      <c r="M986" s="18" t="str">
        <f t="shared" si="1"/>
        <v>#DIV/0!</v>
      </c>
      <c r="N986" s="18" t="str">
        <f t="shared" si="2"/>
        <v>#DIV/0!</v>
      </c>
      <c r="O986" s="12" t="str">
        <f t="shared" si="4"/>
        <v/>
      </c>
      <c r="P986" s="18" t="str">
        <f t="shared" si="3"/>
        <v>#DIV/0!</v>
      </c>
      <c r="Q986" s="12"/>
    </row>
    <row r="987">
      <c r="A987" s="1" t="s">
        <v>3528</v>
      </c>
      <c r="B987" s="7" t="s">
        <v>3529</v>
      </c>
      <c r="C987" s="2" t="s">
        <v>3530</v>
      </c>
      <c r="D987" s="7" t="s">
        <v>3531</v>
      </c>
      <c r="E987" s="16"/>
      <c r="F987" s="16"/>
      <c r="G987" s="16"/>
      <c r="H987" s="17"/>
      <c r="I987" s="12"/>
      <c r="J987" s="12"/>
      <c r="K987" s="12"/>
      <c r="L987" s="12"/>
      <c r="M987" s="18" t="str">
        <f t="shared" si="1"/>
        <v>#DIV/0!</v>
      </c>
      <c r="N987" s="18" t="str">
        <f t="shared" si="2"/>
        <v>#DIV/0!</v>
      </c>
      <c r="O987" s="12" t="str">
        <f t="shared" si="4"/>
        <v/>
      </c>
      <c r="P987" s="18" t="str">
        <f t="shared" si="3"/>
        <v>#DIV/0!</v>
      </c>
      <c r="Q987" s="12"/>
    </row>
    <row r="988">
      <c r="A988" s="1" t="s">
        <v>3532</v>
      </c>
      <c r="B988" s="7" t="s">
        <v>3533</v>
      </c>
      <c r="C988" s="2" t="s">
        <v>172</v>
      </c>
      <c r="D988" s="7" t="s">
        <v>173</v>
      </c>
      <c r="E988" s="16"/>
      <c r="F988" s="16"/>
      <c r="G988" s="16"/>
      <c r="H988" s="17"/>
      <c r="I988" s="12"/>
      <c r="J988" s="12"/>
      <c r="K988" s="12"/>
      <c r="L988" s="12"/>
      <c r="M988" s="18" t="str">
        <f t="shared" si="1"/>
        <v>#DIV/0!</v>
      </c>
      <c r="N988" s="18" t="str">
        <f t="shared" si="2"/>
        <v>#DIV/0!</v>
      </c>
      <c r="O988" s="12" t="str">
        <f t="shared" si="4"/>
        <v/>
      </c>
      <c r="P988" s="18" t="str">
        <f t="shared" si="3"/>
        <v>#DIV/0!</v>
      </c>
      <c r="Q988" s="12"/>
    </row>
    <row r="989">
      <c r="A989" s="1" t="s">
        <v>3534</v>
      </c>
      <c r="B989" s="7" t="s">
        <v>3535</v>
      </c>
      <c r="C989" s="2" t="s">
        <v>3536</v>
      </c>
      <c r="D989" s="7" t="s">
        <v>3537</v>
      </c>
      <c r="E989" s="16"/>
      <c r="F989" s="16"/>
      <c r="G989" s="16"/>
      <c r="H989" s="17"/>
      <c r="I989" s="12"/>
      <c r="J989" s="12"/>
      <c r="K989" s="12"/>
      <c r="L989" s="12"/>
      <c r="M989" s="18" t="str">
        <f t="shared" si="1"/>
        <v>#DIV/0!</v>
      </c>
      <c r="N989" s="18" t="str">
        <f t="shared" si="2"/>
        <v>#DIV/0!</v>
      </c>
      <c r="O989" s="12" t="str">
        <f t="shared" si="4"/>
        <v/>
      </c>
      <c r="P989" s="18" t="str">
        <f t="shared" si="3"/>
        <v>#DIV/0!</v>
      </c>
      <c r="Q989" s="12"/>
    </row>
    <row r="990">
      <c r="A990" s="1" t="s">
        <v>3538</v>
      </c>
      <c r="B990" s="7" t="s">
        <v>3539</v>
      </c>
      <c r="C990" s="2" t="s">
        <v>1532</v>
      </c>
      <c r="D990" s="7" t="s">
        <v>1533</v>
      </c>
      <c r="E990" s="16"/>
      <c r="F990" s="16"/>
      <c r="G990" s="16"/>
      <c r="H990" s="17"/>
      <c r="I990" s="12"/>
      <c r="J990" s="12"/>
      <c r="K990" s="12"/>
      <c r="L990" s="12"/>
      <c r="M990" s="18" t="str">
        <f t="shared" si="1"/>
        <v>#DIV/0!</v>
      </c>
      <c r="N990" s="18" t="str">
        <f t="shared" si="2"/>
        <v>#DIV/0!</v>
      </c>
      <c r="O990" s="12" t="str">
        <f t="shared" si="4"/>
        <v/>
      </c>
      <c r="P990" s="18" t="str">
        <f t="shared" si="3"/>
        <v>#DIV/0!</v>
      </c>
      <c r="Q990" s="12"/>
    </row>
    <row r="991">
      <c r="A991" s="1" t="s">
        <v>3540</v>
      </c>
      <c r="B991" s="7" t="s">
        <v>3541</v>
      </c>
      <c r="C991" s="2" t="s">
        <v>1021</v>
      </c>
      <c r="D991" s="7" t="s">
        <v>1022</v>
      </c>
      <c r="E991" s="16"/>
      <c r="F991" s="16"/>
      <c r="G991" s="16"/>
      <c r="H991" s="17"/>
      <c r="I991" s="12"/>
      <c r="J991" s="12"/>
      <c r="K991" s="12"/>
      <c r="L991" s="12"/>
      <c r="M991" s="18" t="str">
        <f t="shared" si="1"/>
        <v>#DIV/0!</v>
      </c>
      <c r="N991" s="18" t="str">
        <f t="shared" si="2"/>
        <v>#DIV/0!</v>
      </c>
      <c r="O991" s="12" t="str">
        <f t="shared" si="4"/>
        <v/>
      </c>
      <c r="P991" s="18" t="str">
        <f t="shared" si="3"/>
        <v>#DIV/0!</v>
      </c>
      <c r="Q991" s="12"/>
    </row>
    <row r="992">
      <c r="A992" s="1" t="s">
        <v>3542</v>
      </c>
      <c r="B992" s="7" t="s">
        <v>3543</v>
      </c>
      <c r="C992" s="2" t="s">
        <v>3544</v>
      </c>
      <c r="D992" s="7" t="s">
        <v>173</v>
      </c>
      <c r="E992" s="16"/>
      <c r="F992" s="16"/>
      <c r="G992" s="16"/>
      <c r="H992" s="17"/>
      <c r="I992" s="12"/>
      <c r="J992" s="12"/>
      <c r="K992" s="12"/>
      <c r="L992" s="12"/>
      <c r="M992" s="18" t="str">
        <f t="shared" si="1"/>
        <v>#DIV/0!</v>
      </c>
      <c r="N992" s="18" t="str">
        <f t="shared" si="2"/>
        <v>#DIV/0!</v>
      </c>
      <c r="O992" s="12" t="str">
        <f t="shared" si="4"/>
        <v/>
      </c>
      <c r="P992" s="18" t="str">
        <f t="shared" si="3"/>
        <v>#DIV/0!</v>
      </c>
      <c r="Q992" s="12"/>
    </row>
    <row r="993">
      <c r="A993" s="1" t="s">
        <v>3545</v>
      </c>
      <c r="B993" s="7" t="s">
        <v>3546</v>
      </c>
      <c r="C993" s="2" t="s">
        <v>3547</v>
      </c>
      <c r="D993" s="7" t="s">
        <v>3548</v>
      </c>
      <c r="E993" s="16"/>
      <c r="F993" s="16"/>
      <c r="G993" s="16"/>
      <c r="H993" s="17"/>
      <c r="I993" s="12"/>
      <c r="J993" s="12"/>
      <c r="K993" s="12"/>
      <c r="L993" s="12"/>
      <c r="M993" s="18" t="str">
        <f t="shared" si="1"/>
        <v>#DIV/0!</v>
      </c>
      <c r="N993" s="18" t="str">
        <f t="shared" si="2"/>
        <v>#DIV/0!</v>
      </c>
      <c r="O993" s="12" t="str">
        <f t="shared" si="4"/>
        <v/>
      </c>
      <c r="P993" s="18" t="str">
        <f t="shared" si="3"/>
        <v>#DIV/0!</v>
      </c>
      <c r="Q993" s="12"/>
    </row>
    <row r="994">
      <c r="A994" s="1" t="s">
        <v>3549</v>
      </c>
      <c r="B994" s="7" t="s">
        <v>3550</v>
      </c>
      <c r="C994" s="2" t="s">
        <v>3551</v>
      </c>
      <c r="D994" s="7" t="s">
        <v>3552</v>
      </c>
      <c r="E994" s="16"/>
      <c r="F994" s="16"/>
      <c r="G994" s="16"/>
      <c r="H994" s="17"/>
      <c r="I994" s="12"/>
      <c r="J994" s="12"/>
      <c r="K994" s="12"/>
      <c r="L994" s="12"/>
      <c r="M994" s="18" t="str">
        <f t="shared" si="1"/>
        <v>#DIV/0!</v>
      </c>
      <c r="N994" s="18" t="str">
        <f t="shared" si="2"/>
        <v>#DIV/0!</v>
      </c>
      <c r="O994" s="12" t="str">
        <f t="shared" si="4"/>
        <v/>
      </c>
      <c r="P994" s="18" t="str">
        <f t="shared" si="3"/>
        <v>#DIV/0!</v>
      </c>
      <c r="Q994" s="12"/>
    </row>
    <row r="995">
      <c r="A995" s="1" t="s">
        <v>3553</v>
      </c>
      <c r="B995" s="7" t="s">
        <v>3554</v>
      </c>
      <c r="C995" s="2" t="s">
        <v>577</v>
      </c>
      <c r="D995" s="7" t="s">
        <v>296</v>
      </c>
      <c r="E995" s="16"/>
      <c r="F995" s="16"/>
      <c r="G995" s="16"/>
      <c r="H995" s="17"/>
      <c r="I995" s="12"/>
      <c r="J995" s="12"/>
      <c r="K995" s="12"/>
      <c r="L995" s="12"/>
      <c r="M995" s="18" t="str">
        <f t="shared" si="1"/>
        <v>#DIV/0!</v>
      </c>
      <c r="N995" s="18" t="str">
        <f t="shared" si="2"/>
        <v>#DIV/0!</v>
      </c>
      <c r="O995" s="12" t="str">
        <f t="shared" si="4"/>
        <v/>
      </c>
      <c r="P995" s="18" t="str">
        <f t="shared" si="3"/>
        <v>#DIV/0!</v>
      </c>
      <c r="Q995" s="12"/>
    </row>
    <row r="996">
      <c r="A996" s="1" t="s">
        <v>3555</v>
      </c>
      <c r="B996" s="7" t="s">
        <v>3556</v>
      </c>
      <c r="C996" s="2" t="s">
        <v>3557</v>
      </c>
      <c r="D996" s="1" t="s">
        <v>3558</v>
      </c>
      <c r="E996" s="16"/>
      <c r="F996" s="16"/>
      <c r="G996" s="16"/>
      <c r="H996" s="17"/>
      <c r="I996" s="12"/>
      <c r="J996" s="12"/>
      <c r="K996" s="12"/>
      <c r="L996" s="12"/>
      <c r="M996" s="18" t="str">
        <f t="shared" si="1"/>
        <v>#DIV/0!</v>
      </c>
      <c r="N996" s="18" t="str">
        <f t="shared" si="2"/>
        <v>#DIV/0!</v>
      </c>
      <c r="O996" s="12" t="str">
        <f t="shared" si="4"/>
        <v/>
      </c>
      <c r="P996" s="18" t="str">
        <f t="shared" si="3"/>
        <v>#DIV/0!</v>
      </c>
      <c r="Q996" s="12"/>
    </row>
    <row r="997">
      <c r="A997" s="1" t="s">
        <v>3559</v>
      </c>
      <c r="B997" s="7" t="s">
        <v>3560</v>
      </c>
      <c r="C997" s="2" t="s">
        <v>1013</v>
      </c>
      <c r="D997" s="7" t="s">
        <v>1014</v>
      </c>
      <c r="E997" s="16"/>
      <c r="F997" s="16"/>
      <c r="G997" s="16"/>
      <c r="H997" s="17"/>
      <c r="I997" s="12"/>
      <c r="J997" s="12"/>
      <c r="K997" s="12"/>
      <c r="L997" s="12"/>
      <c r="M997" s="18" t="str">
        <f t="shared" si="1"/>
        <v>#DIV/0!</v>
      </c>
      <c r="N997" s="18" t="str">
        <f t="shared" si="2"/>
        <v>#DIV/0!</v>
      </c>
      <c r="O997" s="12" t="str">
        <f t="shared" si="4"/>
        <v/>
      </c>
      <c r="P997" s="18" t="str">
        <f t="shared" si="3"/>
        <v>#DIV/0!</v>
      </c>
      <c r="Q997" s="12"/>
    </row>
    <row r="998">
      <c r="A998" s="1" t="s">
        <v>3561</v>
      </c>
      <c r="B998" s="7" t="s">
        <v>3562</v>
      </c>
      <c r="C998" s="2" t="s">
        <v>3563</v>
      </c>
      <c r="D998" s="7" t="s">
        <v>566</v>
      </c>
      <c r="E998" s="16"/>
      <c r="F998" s="16"/>
      <c r="G998" s="16"/>
      <c r="H998" s="17"/>
      <c r="I998" s="12"/>
      <c r="J998" s="12"/>
      <c r="K998" s="12"/>
      <c r="L998" s="12"/>
      <c r="M998" s="18" t="str">
        <f t="shared" si="1"/>
        <v>#DIV/0!</v>
      </c>
      <c r="N998" s="18" t="str">
        <f t="shared" si="2"/>
        <v>#DIV/0!</v>
      </c>
      <c r="O998" s="12" t="str">
        <f t="shared" si="4"/>
        <v/>
      </c>
      <c r="P998" s="18" t="str">
        <f t="shared" si="3"/>
        <v>#DIV/0!</v>
      </c>
      <c r="Q998" s="12"/>
    </row>
    <row r="999">
      <c r="A999" s="1" t="s">
        <v>3564</v>
      </c>
      <c r="B999" s="7" t="s">
        <v>3565</v>
      </c>
      <c r="C999" s="2" t="s">
        <v>3566</v>
      </c>
      <c r="D999" s="1" t="s">
        <v>3567</v>
      </c>
      <c r="E999" s="16"/>
      <c r="F999" s="16"/>
      <c r="G999" s="16"/>
      <c r="H999" s="17"/>
      <c r="I999" s="12"/>
      <c r="J999" s="12"/>
      <c r="K999" s="12"/>
      <c r="L999" s="12"/>
      <c r="M999" s="18" t="str">
        <f t="shared" si="1"/>
        <v>#DIV/0!</v>
      </c>
      <c r="N999" s="18" t="str">
        <f t="shared" si="2"/>
        <v>#DIV/0!</v>
      </c>
      <c r="O999" s="12" t="str">
        <f t="shared" si="4"/>
        <v/>
      </c>
      <c r="P999" s="18" t="str">
        <f t="shared" si="3"/>
        <v>#DIV/0!</v>
      </c>
      <c r="Q999" s="12"/>
    </row>
    <row r="1000">
      <c r="A1000" s="1" t="s">
        <v>3568</v>
      </c>
      <c r="B1000" s="7" t="s">
        <v>3569</v>
      </c>
      <c r="C1000" s="2" t="s">
        <v>3570</v>
      </c>
      <c r="D1000" s="1" t="s">
        <v>3571</v>
      </c>
      <c r="E1000" s="16"/>
      <c r="F1000" s="16"/>
      <c r="G1000" s="16"/>
      <c r="H1000" s="17"/>
      <c r="I1000" s="12"/>
      <c r="J1000" s="12"/>
      <c r="K1000" s="12"/>
      <c r="L1000" s="12"/>
      <c r="M1000" s="18" t="str">
        <f t="shared" si="1"/>
        <v>#DIV/0!</v>
      </c>
      <c r="N1000" s="18" t="str">
        <f t="shared" si="2"/>
        <v>#DIV/0!</v>
      </c>
      <c r="O1000" s="12" t="str">
        <f t="shared" si="4"/>
        <v/>
      </c>
      <c r="P1000" s="18" t="str">
        <f t="shared" si="3"/>
        <v>#DIV/0!</v>
      </c>
      <c r="Q1000" s="12"/>
    </row>
    <row r="1001">
      <c r="A1001" s="1" t="s">
        <v>3572</v>
      </c>
      <c r="B1001" s="7" t="s">
        <v>3573</v>
      </c>
      <c r="C1001" s="2" t="s">
        <v>3574</v>
      </c>
      <c r="D1001" s="7" t="s">
        <v>3575</v>
      </c>
      <c r="E1001" s="16"/>
      <c r="F1001" s="16"/>
      <c r="G1001" s="16"/>
      <c r="H1001" s="17"/>
      <c r="I1001" s="12"/>
      <c r="J1001" s="12"/>
      <c r="K1001" s="12"/>
      <c r="L1001" s="12"/>
      <c r="M1001" s="18" t="str">
        <f t="shared" si="1"/>
        <v>#DIV/0!</v>
      </c>
      <c r="N1001" s="18" t="str">
        <f t="shared" si="2"/>
        <v>#DIV/0!</v>
      </c>
      <c r="O1001" s="12" t="str">
        <f t="shared" si="4"/>
        <v/>
      </c>
      <c r="P1001" s="18" t="str">
        <f t="shared" si="3"/>
        <v>#DIV/0!</v>
      </c>
      <c r="Q1001" s="12"/>
    </row>
    <row r="1002">
      <c r="C1002" s="20"/>
      <c r="E1002" s="16"/>
      <c r="F1002" s="16"/>
      <c r="G1002" s="16"/>
      <c r="H1002" s="17"/>
      <c r="I1002" s="12"/>
      <c r="J1002" s="12"/>
      <c r="K1002" s="12"/>
      <c r="L1002" s="12"/>
      <c r="M1002" s="18" t="str">
        <f t="shared" si="1"/>
        <v>#DIV/0!</v>
      </c>
      <c r="N1002" s="18" t="str">
        <f t="shared" si="2"/>
        <v>#DIV/0!</v>
      </c>
      <c r="O1002" s="12" t="str">
        <f t="shared" si="4"/>
        <v/>
      </c>
      <c r="P1002" s="18" t="str">
        <f t="shared" si="3"/>
        <v>#DIV/0!</v>
      </c>
      <c r="Q1002" s="12"/>
    </row>
    <row r="1003">
      <c r="C1003" s="20"/>
      <c r="E1003" s="16"/>
      <c r="F1003" s="16"/>
      <c r="G1003" s="16"/>
      <c r="H1003" s="17"/>
      <c r="I1003" s="12"/>
      <c r="J1003" s="12"/>
      <c r="K1003" s="12"/>
      <c r="L1003" s="12"/>
      <c r="M1003" s="18" t="str">
        <f t="shared" si="1"/>
        <v>#DIV/0!</v>
      </c>
      <c r="N1003" s="18" t="str">
        <f t="shared" si="2"/>
        <v>#DIV/0!</v>
      </c>
      <c r="O1003" s="12" t="str">
        <f t="shared" si="4"/>
        <v/>
      </c>
      <c r="P1003" s="18" t="str">
        <f t="shared" si="3"/>
        <v>#DIV/0!</v>
      </c>
      <c r="Q1003" s="12"/>
    </row>
  </sheetData>
  <autoFilter ref="$A$1:$H$1001"/>
  <hyperlinks>
    <hyperlink r:id="rId1" ref="B2"/>
    <hyperlink r:id="rId2" ref="D2"/>
    <hyperlink r:id="rId3" ref="B3"/>
    <hyperlink r:id="rId4" ref="B4"/>
    <hyperlink r:id="rId5" ref="B5"/>
    <hyperlink r:id="rId6" ref="B6"/>
    <hyperlink r:id="rId7" ref="D6"/>
    <hyperlink r:id="rId8" ref="B7"/>
    <hyperlink r:id="rId9" ref="D7"/>
    <hyperlink r:id="rId10" ref="B8"/>
    <hyperlink r:id="rId11" ref="D8"/>
    <hyperlink r:id="rId12" ref="B9"/>
    <hyperlink r:id="rId13" ref="B10"/>
    <hyperlink r:id="rId14" ref="D10"/>
    <hyperlink r:id="rId15" ref="B11"/>
    <hyperlink r:id="rId16" ref="B12"/>
    <hyperlink r:id="rId17" ref="B13"/>
    <hyperlink r:id="rId18" ref="B14"/>
    <hyperlink r:id="rId19" ref="D14"/>
    <hyperlink r:id="rId20" ref="B15"/>
    <hyperlink r:id="rId21" ref="D15"/>
    <hyperlink r:id="rId22" ref="B16"/>
    <hyperlink r:id="rId23" ref="D16"/>
    <hyperlink r:id="rId24" ref="B17"/>
    <hyperlink r:id="rId25" ref="B18"/>
    <hyperlink r:id="rId26" ref="B19"/>
    <hyperlink r:id="rId27" ref="B20"/>
    <hyperlink r:id="rId28" ref="D20"/>
    <hyperlink r:id="rId29" ref="B21"/>
    <hyperlink r:id="rId30" ref="B22"/>
    <hyperlink r:id="rId31" ref="B23"/>
    <hyperlink r:id="rId32" ref="B24"/>
    <hyperlink r:id="rId33" ref="D24"/>
    <hyperlink r:id="rId34" ref="B25"/>
    <hyperlink r:id="rId35" ref="D25"/>
    <hyperlink r:id="rId36" ref="B26"/>
    <hyperlink r:id="rId37" ref="D26"/>
    <hyperlink r:id="rId38" ref="B27"/>
    <hyperlink r:id="rId39" ref="B28"/>
    <hyperlink r:id="rId40" ref="B29"/>
    <hyperlink r:id="rId41" ref="B30"/>
    <hyperlink r:id="rId42" ref="D30"/>
    <hyperlink r:id="rId43" ref="B31"/>
    <hyperlink r:id="rId44" ref="D31"/>
    <hyperlink r:id="rId45" ref="B32"/>
    <hyperlink r:id="rId46" ref="D32"/>
    <hyperlink r:id="rId47" ref="B33"/>
    <hyperlink r:id="rId48" ref="D33"/>
    <hyperlink r:id="rId49" ref="B34"/>
    <hyperlink r:id="rId50" ref="B35"/>
    <hyperlink r:id="rId51" ref="B36"/>
    <hyperlink r:id="rId52" ref="B37"/>
    <hyperlink r:id="rId53" ref="D37"/>
    <hyperlink r:id="rId54" ref="B38"/>
    <hyperlink r:id="rId55" ref="D38"/>
    <hyperlink r:id="rId56" ref="B39"/>
    <hyperlink r:id="rId57" ref="D39"/>
    <hyperlink r:id="rId58" ref="B40"/>
    <hyperlink r:id="rId59" ref="D40"/>
    <hyperlink r:id="rId60" ref="B41"/>
    <hyperlink r:id="rId61" ref="B42"/>
    <hyperlink r:id="rId62" ref="D42"/>
    <hyperlink r:id="rId63" ref="B43"/>
    <hyperlink r:id="rId64" ref="B44"/>
    <hyperlink r:id="rId65" ref="D44"/>
    <hyperlink r:id="rId66" ref="B45"/>
    <hyperlink r:id="rId67" ref="B46"/>
    <hyperlink r:id="rId68" ref="B47"/>
    <hyperlink r:id="rId69" ref="D47"/>
    <hyperlink r:id="rId70" ref="B48"/>
    <hyperlink r:id="rId71" ref="B49"/>
    <hyperlink r:id="rId72" ref="B50"/>
    <hyperlink r:id="rId73" ref="D50"/>
    <hyperlink r:id="rId74" ref="B51"/>
    <hyperlink r:id="rId75" ref="B52"/>
    <hyperlink r:id="rId76" ref="B53"/>
    <hyperlink r:id="rId77" ref="D53"/>
    <hyperlink r:id="rId78" ref="B54"/>
    <hyperlink r:id="rId79" ref="B55"/>
    <hyperlink r:id="rId80" ref="B56"/>
    <hyperlink r:id="rId81" ref="D56"/>
    <hyperlink r:id="rId82" ref="B57"/>
    <hyperlink r:id="rId83" ref="D57"/>
    <hyperlink r:id="rId84" ref="B58"/>
    <hyperlink r:id="rId85" ref="B59"/>
    <hyperlink r:id="rId86" ref="D59"/>
    <hyperlink r:id="rId87" ref="B60"/>
    <hyperlink r:id="rId88" ref="B61"/>
    <hyperlink r:id="rId89" ref="D61"/>
    <hyperlink r:id="rId90" ref="B62"/>
    <hyperlink r:id="rId91" ref="D62"/>
    <hyperlink r:id="rId92" ref="B63"/>
    <hyperlink r:id="rId93" ref="B64"/>
    <hyperlink r:id="rId94" ref="D64"/>
    <hyperlink r:id="rId95" ref="B65"/>
    <hyperlink r:id="rId96" ref="B66"/>
    <hyperlink r:id="rId97" ref="B67"/>
    <hyperlink r:id="rId98" ref="B68"/>
    <hyperlink r:id="rId99" ref="D68"/>
    <hyperlink r:id="rId100" ref="B69"/>
    <hyperlink r:id="rId101" ref="B70"/>
    <hyperlink r:id="rId102" ref="D70"/>
    <hyperlink r:id="rId103" ref="B71"/>
    <hyperlink r:id="rId104" ref="D71"/>
    <hyperlink r:id="rId105" ref="B72"/>
    <hyperlink r:id="rId106" ref="B73"/>
    <hyperlink r:id="rId107" ref="D73"/>
    <hyperlink r:id="rId108" ref="B74"/>
    <hyperlink r:id="rId109" ref="D74"/>
    <hyperlink r:id="rId110" ref="B75"/>
    <hyperlink r:id="rId111" ref="B76"/>
    <hyperlink r:id="rId112" ref="B77"/>
    <hyperlink r:id="rId113" ref="D77"/>
    <hyperlink r:id="rId114" ref="B78"/>
    <hyperlink r:id="rId115" ref="B79"/>
    <hyperlink r:id="rId116" ref="B80"/>
    <hyperlink r:id="rId117" ref="B81"/>
    <hyperlink r:id="rId118" ref="B82"/>
    <hyperlink r:id="rId119" ref="D82"/>
    <hyperlink r:id="rId120" ref="B83"/>
    <hyperlink r:id="rId121" ref="B84"/>
    <hyperlink r:id="rId122" ref="B85"/>
    <hyperlink r:id="rId123" ref="B86"/>
    <hyperlink r:id="rId124" ref="B87"/>
    <hyperlink r:id="rId125" ref="D87"/>
    <hyperlink r:id="rId126" ref="B88"/>
    <hyperlink r:id="rId127" ref="D88"/>
    <hyperlink r:id="rId128" ref="B89"/>
    <hyperlink r:id="rId129" ref="B90"/>
    <hyperlink r:id="rId130" ref="B91"/>
    <hyperlink r:id="rId131" ref="D91"/>
    <hyperlink r:id="rId132" ref="B92"/>
    <hyperlink r:id="rId133" ref="B93"/>
    <hyperlink r:id="rId134" ref="B94"/>
    <hyperlink r:id="rId135" ref="D94"/>
    <hyperlink r:id="rId136" ref="B95"/>
    <hyperlink r:id="rId137" ref="B96"/>
    <hyperlink r:id="rId138" ref="D96"/>
    <hyperlink r:id="rId139" ref="B97"/>
    <hyperlink r:id="rId140" ref="B98"/>
    <hyperlink r:id="rId141" ref="D98"/>
    <hyperlink r:id="rId142" ref="B99"/>
    <hyperlink r:id="rId143" ref="D99"/>
    <hyperlink r:id="rId144" ref="B100"/>
    <hyperlink r:id="rId145" ref="B101"/>
    <hyperlink r:id="rId146" ref="B102"/>
    <hyperlink r:id="rId147" ref="D102"/>
    <hyperlink r:id="rId148" ref="B103"/>
    <hyperlink r:id="rId149" ref="B104"/>
    <hyperlink r:id="rId150" ref="B105"/>
    <hyperlink r:id="rId151" ref="D105"/>
    <hyperlink r:id="rId152" ref="B106"/>
    <hyperlink r:id="rId153" ref="D106"/>
    <hyperlink r:id="rId154" ref="B107"/>
    <hyperlink r:id="rId155" ref="B108"/>
    <hyperlink r:id="rId156" ref="D108"/>
    <hyperlink r:id="rId157" ref="B109"/>
    <hyperlink r:id="rId158" ref="D109"/>
    <hyperlink r:id="rId159" ref="B110"/>
    <hyperlink r:id="rId160" ref="D110"/>
    <hyperlink r:id="rId161" ref="B111"/>
    <hyperlink r:id="rId162" ref="B112"/>
    <hyperlink r:id="rId163" ref="B113"/>
    <hyperlink r:id="rId164" ref="D113"/>
    <hyperlink r:id="rId165" ref="B114"/>
    <hyperlink r:id="rId166" ref="D114"/>
    <hyperlink r:id="rId167" ref="B115"/>
    <hyperlink r:id="rId168" ref="B116"/>
    <hyperlink r:id="rId169" ref="B117"/>
    <hyperlink r:id="rId170" ref="B118"/>
    <hyperlink r:id="rId171" ref="D118"/>
    <hyperlink r:id="rId172" ref="B119"/>
    <hyperlink r:id="rId173" ref="D119"/>
    <hyperlink r:id="rId174" ref="B120"/>
    <hyperlink r:id="rId175" ref="D120"/>
    <hyperlink r:id="rId176" ref="B121"/>
    <hyperlink r:id="rId177" ref="D121"/>
    <hyperlink r:id="rId178" ref="B122"/>
    <hyperlink r:id="rId179" ref="B123"/>
    <hyperlink r:id="rId180" ref="B124"/>
    <hyperlink r:id="rId181" ref="B125"/>
    <hyperlink r:id="rId182" ref="B126"/>
    <hyperlink r:id="rId183" ref="D126"/>
    <hyperlink r:id="rId184" ref="B127"/>
    <hyperlink r:id="rId185" ref="D127"/>
    <hyperlink r:id="rId186" ref="B128"/>
    <hyperlink r:id="rId187" ref="B129"/>
    <hyperlink r:id="rId188" ref="B130"/>
    <hyperlink r:id="rId189" ref="D130"/>
    <hyperlink r:id="rId190" ref="B131"/>
    <hyperlink r:id="rId191" ref="B132"/>
    <hyperlink r:id="rId192" ref="B133"/>
    <hyperlink r:id="rId193" ref="B134"/>
    <hyperlink r:id="rId194" ref="B135"/>
    <hyperlink r:id="rId195" ref="D135"/>
    <hyperlink r:id="rId196" ref="B136"/>
    <hyperlink r:id="rId197" ref="D136"/>
    <hyperlink r:id="rId198" ref="B137"/>
    <hyperlink r:id="rId199" ref="B138"/>
    <hyperlink r:id="rId200" ref="D138"/>
    <hyperlink r:id="rId201" ref="B139"/>
    <hyperlink r:id="rId202" ref="B140"/>
    <hyperlink r:id="rId203" ref="D140"/>
    <hyperlink r:id="rId204" ref="B141"/>
    <hyperlink r:id="rId205" ref="D141"/>
    <hyperlink r:id="rId206" ref="B142"/>
    <hyperlink r:id="rId207" ref="D142"/>
    <hyperlink r:id="rId208" ref="B143"/>
    <hyperlink r:id="rId209" ref="B144"/>
    <hyperlink r:id="rId210" ref="D144"/>
    <hyperlink r:id="rId211" ref="B145"/>
    <hyperlink r:id="rId212" ref="B146"/>
    <hyperlink r:id="rId213" ref="D146"/>
    <hyperlink r:id="rId214" ref="B147"/>
    <hyperlink r:id="rId215" ref="D147"/>
    <hyperlink r:id="rId216" ref="B148"/>
    <hyperlink r:id="rId217" ref="B149"/>
    <hyperlink r:id="rId218" ref="D149"/>
    <hyperlink r:id="rId219" ref="B150"/>
    <hyperlink r:id="rId220" ref="B151"/>
    <hyperlink r:id="rId221" ref="B152"/>
    <hyperlink r:id="rId222" ref="B153"/>
    <hyperlink r:id="rId223" ref="B154"/>
    <hyperlink r:id="rId224" ref="D154"/>
    <hyperlink r:id="rId225" ref="B155"/>
    <hyperlink r:id="rId226" ref="B156"/>
    <hyperlink r:id="rId227" ref="D156"/>
    <hyperlink r:id="rId228" ref="B157"/>
    <hyperlink r:id="rId229" ref="D157"/>
    <hyperlink r:id="rId230" ref="B158"/>
    <hyperlink r:id="rId231" ref="B159"/>
    <hyperlink r:id="rId232" ref="B160"/>
    <hyperlink r:id="rId233" ref="D160"/>
    <hyperlink r:id="rId234" ref="B161"/>
    <hyperlink r:id="rId235" ref="B162"/>
    <hyperlink r:id="rId236" ref="D162"/>
    <hyperlink r:id="rId237" ref="B163"/>
    <hyperlink r:id="rId238" ref="D163"/>
    <hyperlink r:id="rId239" ref="B164"/>
    <hyperlink r:id="rId240" ref="D164"/>
    <hyperlink r:id="rId241" ref="B165"/>
    <hyperlink r:id="rId242" ref="D165"/>
    <hyperlink r:id="rId243" ref="B166"/>
    <hyperlink r:id="rId244" ref="D166"/>
    <hyperlink r:id="rId245" ref="B167"/>
    <hyperlink r:id="rId246" ref="B168"/>
    <hyperlink r:id="rId247" ref="B169"/>
    <hyperlink r:id="rId248" ref="B170"/>
    <hyperlink r:id="rId249" ref="D170"/>
    <hyperlink r:id="rId250" ref="B171"/>
    <hyperlink r:id="rId251" ref="B172"/>
    <hyperlink r:id="rId252" ref="B173"/>
    <hyperlink r:id="rId253" ref="B174"/>
    <hyperlink r:id="rId254" ref="D174"/>
    <hyperlink r:id="rId255" ref="B175"/>
    <hyperlink r:id="rId256" ref="B176"/>
    <hyperlink r:id="rId257" ref="B177"/>
    <hyperlink r:id="rId258" ref="B178"/>
    <hyperlink r:id="rId259" ref="D178"/>
    <hyperlink r:id="rId260" ref="B179"/>
    <hyperlink r:id="rId261" ref="B180"/>
    <hyperlink r:id="rId262" ref="D180"/>
    <hyperlink r:id="rId263" ref="B181"/>
    <hyperlink r:id="rId264" ref="B182"/>
    <hyperlink r:id="rId265" ref="B183"/>
    <hyperlink r:id="rId266" ref="D183"/>
    <hyperlink r:id="rId267" ref="B184"/>
    <hyperlink r:id="rId268" ref="B185"/>
    <hyperlink r:id="rId269" ref="B186"/>
    <hyperlink r:id="rId270" ref="D186"/>
    <hyperlink r:id="rId271" ref="B187"/>
    <hyperlink r:id="rId272" ref="B188"/>
    <hyperlink r:id="rId273" ref="B189"/>
    <hyperlink r:id="rId274" ref="D189"/>
    <hyperlink r:id="rId275" ref="B190"/>
    <hyperlink r:id="rId276" ref="B191"/>
    <hyperlink r:id="rId277" ref="B192"/>
    <hyperlink r:id="rId278" ref="B193"/>
    <hyperlink r:id="rId279" ref="D193"/>
    <hyperlink r:id="rId280" ref="B194"/>
    <hyperlink r:id="rId281" ref="D194"/>
    <hyperlink r:id="rId282" ref="B195"/>
    <hyperlink r:id="rId283" ref="B196"/>
    <hyperlink r:id="rId284" ref="B197"/>
    <hyperlink r:id="rId285" ref="D197"/>
    <hyperlink r:id="rId286" ref="B198"/>
    <hyperlink r:id="rId287" ref="B199"/>
    <hyperlink r:id="rId288" ref="D199"/>
    <hyperlink r:id="rId289" ref="B200"/>
    <hyperlink r:id="rId290" ref="B201"/>
    <hyperlink r:id="rId291" ref="D201"/>
    <hyperlink r:id="rId292" ref="B202"/>
    <hyperlink r:id="rId293" ref="B203"/>
    <hyperlink r:id="rId294" ref="B204"/>
    <hyperlink r:id="rId295" ref="D204"/>
    <hyperlink r:id="rId296" ref="B205"/>
    <hyperlink r:id="rId297" ref="B206"/>
    <hyperlink r:id="rId298" ref="D206"/>
    <hyperlink r:id="rId299" ref="B207"/>
    <hyperlink r:id="rId300" ref="B208"/>
    <hyperlink r:id="rId301" ref="D208"/>
    <hyperlink r:id="rId302" ref="B209"/>
    <hyperlink r:id="rId303" ref="B210"/>
    <hyperlink r:id="rId304" ref="B211"/>
    <hyperlink r:id="rId305" ref="D211"/>
    <hyperlink r:id="rId306" ref="B212"/>
    <hyperlink r:id="rId307" ref="D212"/>
    <hyperlink r:id="rId308" ref="B213"/>
    <hyperlink r:id="rId309" ref="B214"/>
    <hyperlink r:id="rId310" ref="B215"/>
    <hyperlink r:id="rId311" ref="B216"/>
    <hyperlink r:id="rId312" ref="D216"/>
    <hyperlink r:id="rId313" ref="B217"/>
    <hyperlink r:id="rId314" ref="B218"/>
    <hyperlink r:id="rId315" ref="B219"/>
    <hyperlink r:id="rId316" ref="D219"/>
    <hyperlink r:id="rId317" ref="B220"/>
    <hyperlink r:id="rId318" ref="B221"/>
    <hyperlink r:id="rId319" ref="B222"/>
    <hyperlink r:id="rId320" ref="B223"/>
    <hyperlink r:id="rId321" ref="B224"/>
    <hyperlink r:id="rId322" ref="B225"/>
    <hyperlink r:id="rId323" ref="B226"/>
    <hyperlink r:id="rId324" ref="D226"/>
    <hyperlink r:id="rId325" ref="B227"/>
    <hyperlink r:id="rId326" ref="D227"/>
    <hyperlink r:id="rId327" ref="B228"/>
    <hyperlink r:id="rId328" ref="B229"/>
    <hyperlink r:id="rId329" ref="D229"/>
    <hyperlink r:id="rId330" ref="B230"/>
    <hyperlink r:id="rId331" ref="D230"/>
    <hyperlink r:id="rId332" ref="B231"/>
    <hyperlink r:id="rId333" ref="D231"/>
    <hyperlink r:id="rId334" ref="B232"/>
    <hyperlink r:id="rId335" ref="B233"/>
    <hyperlink r:id="rId336" ref="B234"/>
    <hyperlink r:id="rId337" ref="D234"/>
    <hyperlink r:id="rId338" ref="B235"/>
    <hyperlink r:id="rId339" ref="B236"/>
    <hyperlink r:id="rId340" ref="B237"/>
    <hyperlink r:id="rId341" ref="D237"/>
    <hyperlink r:id="rId342" ref="B238"/>
    <hyperlink r:id="rId343" ref="B239"/>
    <hyperlink r:id="rId344" ref="B240"/>
    <hyperlink r:id="rId345" ref="D240"/>
    <hyperlink r:id="rId346" ref="B241"/>
    <hyperlink r:id="rId347" ref="D241"/>
    <hyperlink r:id="rId348" ref="B242"/>
    <hyperlink r:id="rId349" ref="B243"/>
    <hyperlink r:id="rId350" ref="B244"/>
    <hyperlink r:id="rId351" ref="B245"/>
    <hyperlink r:id="rId352" ref="D245"/>
    <hyperlink r:id="rId353" ref="B246"/>
    <hyperlink r:id="rId354" ref="B247"/>
    <hyperlink r:id="rId355" ref="B248"/>
    <hyperlink r:id="rId356" ref="B249"/>
    <hyperlink r:id="rId357" ref="B250"/>
    <hyperlink r:id="rId358" ref="B251"/>
    <hyperlink r:id="rId359" ref="B252"/>
    <hyperlink r:id="rId360" ref="D252"/>
    <hyperlink r:id="rId361" ref="B253"/>
    <hyperlink r:id="rId362" ref="B254"/>
    <hyperlink r:id="rId363" ref="B255"/>
    <hyperlink r:id="rId364" ref="D255"/>
    <hyperlink r:id="rId365" ref="B256"/>
    <hyperlink r:id="rId366" ref="D256"/>
    <hyperlink r:id="rId367" ref="B257"/>
    <hyperlink r:id="rId368" ref="D257"/>
    <hyperlink r:id="rId369" ref="B258"/>
    <hyperlink r:id="rId370" ref="D258"/>
    <hyperlink r:id="rId371" ref="B259"/>
    <hyperlink r:id="rId372" ref="D259"/>
    <hyperlink r:id="rId373" ref="B260"/>
    <hyperlink r:id="rId374" ref="B261"/>
    <hyperlink r:id="rId375" ref="D261"/>
    <hyperlink r:id="rId376" ref="B262"/>
    <hyperlink r:id="rId377" ref="D262"/>
    <hyperlink r:id="rId378" ref="B263"/>
    <hyperlink r:id="rId379" ref="B264"/>
    <hyperlink r:id="rId380" ref="D264"/>
    <hyperlink r:id="rId381" ref="B265"/>
    <hyperlink r:id="rId382" ref="D265"/>
    <hyperlink r:id="rId383" ref="B266"/>
    <hyperlink r:id="rId384" ref="B267"/>
    <hyperlink r:id="rId385" ref="D267"/>
    <hyperlink r:id="rId386" ref="B268"/>
    <hyperlink r:id="rId387" ref="B269"/>
    <hyperlink r:id="rId388" ref="D269"/>
    <hyperlink r:id="rId389" ref="B270"/>
    <hyperlink r:id="rId390" ref="D270"/>
    <hyperlink r:id="rId391" ref="B271"/>
    <hyperlink r:id="rId392" ref="D271"/>
    <hyperlink r:id="rId393" ref="B272"/>
    <hyperlink r:id="rId394" ref="D272"/>
    <hyperlink r:id="rId395" ref="B273"/>
    <hyperlink r:id="rId396" ref="D273"/>
    <hyperlink r:id="rId397" ref="B274"/>
    <hyperlink r:id="rId398" ref="B275"/>
    <hyperlink r:id="rId399" ref="B276"/>
    <hyperlink r:id="rId400" ref="B277"/>
    <hyperlink r:id="rId401" ref="B278"/>
    <hyperlink r:id="rId402" ref="D278"/>
    <hyperlink r:id="rId403" ref="B279"/>
    <hyperlink r:id="rId404" ref="B280"/>
    <hyperlink r:id="rId405" ref="D280"/>
    <hyperlink r:id="rId406" ref="B281"/>
    <hyperlink r:id="rId407" ref="B282"/>
    <hyperlink r:id="rId408" ref="B283"/>
    <hyperlink r:id="rId409" ref="D283"/>
    <hyperlink r:id="rId410" ref="B284"/>
    <hyperlink r:id="rId411" ref="B285"/>
    <hyperlink r:id="rId412" ref="D285"/>
    <hyperlink r:id="rId413" ref="B286"/>
    <hyperlink r:id="rId414" ref="D286"/>
    <hyperlink r:id="rId415" ref="B287"/>
    <hyperlink r:id="rId416" ref="D287"/>
    <hyperlink r:id="rId417" ref="B288"/>
    <hyperlink r:id="rId418" ref="D288"/>
    <hyperlink r:id="rId419" ref="B289"/>
    <hyperlink r:id="rId420" ref="D289"/>
    <hyperlink r:id="rId421" ref="B290"/>
    <hyperlink r:id="rId422" ref="B291"/>
    <hyperlink r:id="rId423" ref="D291"/>
    <hyperlink r:id="rId424" ref="B292"/>
    <hyperlink r:id="rId425" ref="B293"/>
    <hyperlink r:id="rId426" ref="D293"/>
    <hyperlink r:id="rId427" ref="B294"/>
    <hyperlink r:id="rId428" ref="B295"/>
    <hyperlink r:id="rId429" ref="D295"/>
    <hyperlink r:id="rId430" ref="B296"/>
    <hyperlink r:id="rId431" ref="D296"/>
    <hyperlink r:id="rId432" ref="B297"/>
    <hyperlink r:id="rId433" ref="D297"/>
    <hyperlink r:id="rId434" ref="B298"/>
    <hyperlink r:id="rId435" ref="B299"/>
    <hyperlink r:id="rId436" ref="D299"/>
    <hyperlink r:id="rId437" ref="B300"/>
    <hyperlink r:id="rId438" ref="D300"/>
    <hyperlink r:id="rId439" ref="B301"/>
    <hyperlink r:id="rId440" ref="D301"/>
    <hyperlink r:id="rId441" ref="B302"/>
    <hyperlink r:id="rId442" ref="B303"/>
    <hyperlink r:id="rId443" ref="D303"/>
    <hyperlink r:id="rId444" ref="B304"/>
    <hyperlink r:id="rId445" ref="D304"/>
    <hyperlink r:id="rId446" ref="B305"/>
    <hyperlink r:id="rId447" ref="D305"/>
    <hyperlink r:id="rId448" ref="B306"/>
    <hyperlink r:id="rId449" ref="D306"/>
    <hyperlink r:id="rId450" ref="B307"/>
    <hyperlink r:id="rId451" ref="B308"/>
    <hyperlink r:id="rId452" ref="B309"/>
    <hyperlink r:id="rId453" ref="B310"/>
    <hyperlink r:id="rId454" ref="D310"/>
    <hyperlink r:id="rId455" ref="B311"/>
    <hyperlink r:id="rId456" ref="B312"/>
    <hyperlink r:id="rId457" ref="D312"/>
    <hyperlink r:id="rId458" ref="B313"/>
    <hyperlink r:id="rId459" ref="B314"/>
    <hyperlink r:id="rId460" ref="D314"/>
    <hyperlink r:id="rId461" ref="B315"/>
    <hyperlink r:id="rId462" ref="D315"/>
    <hyperlink r:id="rId463" ref="B316"/>
    <hyperlink r:id="rId464" ref="B317"/>
    <hyperlink r:id="rId465" ref="D317"/>
    <hyperlink r:id="rId466" ref="B318"/>
    <hyperlink r:id="rId467" ref="D318"/>
    <hyperlink r:id="rId468" ref="B319"/>
    <hyperlink r:id="rId469" ref="B320"/>
    <hyperlink r:id="rId470" ref="D320"/>
    <hyperlink r:id="rId471" ref="B321"/>
    <hyperlink r:id="rId472" ref="D321"/>
    <hyperlink r:id="rId473" ref="B322"/>
    <hyperlink r:id="rId474" ref="D322"/>
    <hyperlink r:id="rId475" ref="B323"/>
    <hyperlink r:id="rId476" ref="D323"/>
    <hyperlink r:id="rId477" ref="B324"/>
    <hyperlink r:id="rId478" ref="B325"/>
    <hyperlink r:id="rId479" ref="B326"/>
    <hyperlink r:id="rId480" ref="B327"/>
    <hyperlink r:id="rId481" ref="D327"/>
    <hyperlink r:id="rId482" ref="B328"/>
    <hyperlink r:id="rId483" ref="D328"/>
    <hyperlink r:id="rId484" ref="B329"/>
    <hyperlink r:id="rId485" ref="D329"/>
    <hyperlink r:id="rId486" ref="B330"/>
    <hyperlink r:id="rId487" ref="D330"/>
    <hyperlink r:id="rId488" ref="B331"/>
    <hyperlink r:id="rId489" ref="D331"/>
    <hyperlink r:id="rId490" ref="B332"/>
    <hyperlink r:id="rId491" ref="D332"/>
    <hyperlink r:id="rId492" ref="B333"/>
    <hyperlink r:id="rId493" ref="B334"/>
    <hyperlink r:id="rId494" ref="B335"/>
    <hyperlink r:id="rId495" ref="B336"/>
    <hyperlink r:id="rId496" ref="B337"/>
    <hyperlink r:id="rId497" ref="D337"/>
    <hyperlink r:id="rId498" ref="B338"/>
    <hyperlink r:id="rId499" ref="B339"/>
    <hyperlink r:id="rId500" ref="B340"/>
    <hyperlink r:id="rId501" ref="B341"/>
    <hyperlink r:id="rId502" ref="B342"/>
    <hyperlink r:id="rId503" ref="D342"/>
    <hyperlink r:id="rId504" ref="B343"/>
    <hyperlink r:id="rId505" ref="D343"/>
    <hyperlink r:id="rId506" ref="B344"/>
    <hyperlink r:id="rId507" ref="D344"/>
    <hyperlink r:id="rId508" ref="B345"/>
    <hyperlink r:id="rId509" ref="D345"/>
    <hyperlink r:id="rId510" ref="B346"/>
    <hyperlink r:id="rId511" ref="D346"/>
    <hyperlink r:id="rId512" ref="B347"/>
    <hyperlink r:id="rId513" ref="D347"/>
    <hyperlink r:id="rId514" ref="B348"/>
    <hyperlink r:id="rId515" ref="B349"/>
    <hyperlink r:id="rId516" ref="D349"/>
    <hyperlink r:id="rId517" ref="B350"/>
    <hyperlink r:id="rId518" ref="B351"/>
    <hyperlink r:id="rId519" ref="B352"/>
    <hyperlink r:id="rId520" ref="D352"/>
    <hyperlink r:id="rId521" ref="B353"/>
    <hyperlink r:id="rId522" ref="B354"/>
    <hyperlink r:id="rId523" ref="D354"/>
    <hyperlink r:id="rId524" ref="B355"/>
    <hyperlink r:id="rId525" ref="B356"/>
    <hyperlink r:id="rId526" ref="B357"/>
    <hyperlink r:id="rId527" ref="B358"/>
    <hyperlink r:id="rId528" ref="D358"/>
    <hyperlink r:id="rId529" ref="B359"/>
    <hyperlink r:id="rId530" ref="B360"/>
    <hyperlink r:id="rId531" ref="B361"/>
    <hyperlink r:id="rId532" ref="B362"/>
    <hyperlink r:id="rId533" ref="D362"/>
    <hyperlink r:id="rId534" ref="B363"/>
    <hyperlink r:id="rId535" ref="B364"/>
    <hyperlink r:id="rId536" ref="B365"/>
    <hyperlink r:id="rId537" ref="B366"/>
    <hyperlink r:id="rId538" ref="B367"/>
    <hyperlink r:id="rId539" ref="B368"/>
    <hyperlink r:id="rId540" ref="B369"/>
    <hyperlink r:id="rId541" ref="D369"/>
    <hyperlink r:id="rId542" ref="B370"/>
    <hyperlink r:id="rId543" ref="B371"/>
    <hyperlink r:id="rId544" ref="B372"/>
    <hyperlink r:id="rId545" ref="D372"/>
    <hyperlink r:id="rId546" ref="B373"/>
    <hyperlink r:id="rId547" ref="D373"/>
    <hyperlink r:id="rId548" ref="B374"/>
    <hyperlink r:id="rId549" ref="B375"/>
    <hyperlink r:id="rId550" ref="D375"/>
    <hyperlink r:id="rId551" ref="B376"/>
    <hyperlink r:id="rId552" ref="B377"/>
    <hyperlink r:id="rId553" ref="D377"/>
    <hyperlink r:id="rId554" ref="B378"/>
    <hyperlink r:id="rId555" ref="D378"/>
    <hyperlink r:id="rId556" ref="B379"/>
    <hyperlink r:id="rId557" ref="B380"/>
    <hyperlink r:id="rId558" ref="B381"/>
    <hyperlink r:id="rId559" ref="B382"/>
    <hyperlink r:id="rId560" ref="B383"/>
    <hyperlink r:id="rId561" ref="D383"/>
    <hyperlink r:id="rId562" ref="B384"/>
    <hyperlink r:id="rId563" ref="B385"/>
    <hyperlink r:id="rId564" ref="D385"/>
    <hyperlink r:id="rId565" ref="B386"/>
    <hyperlink r:id="rId566" ref="B387"/>
    <hyperlink r:id="rId567" ref="D387"/>
    <hyperlink r:id="rId568" ref="B388"/>
    <hyperlink r:id="rId569" ref="B389"/>
    <hyperlink r:id="rId570" ref="B390"/>
    <hyperlink r:id="rId571" ref="D390"/>
    <hyperlink r:id="rId572" ref="B391"/>
    <hyperlink r:id="rId573" ref="D391"/>
    <hyperlink r:id="rId574" ref="B392"/>
    <hyperlink r:id="rId575" ref="D392"/>
    <hyperlink r:id="rId576" ref="B393"/>
    <hyperlink r:id="rId577" ref="B394"/>
    <hyperlink r:id="rId578" ref="D394"/>
    <hyperlink r:id="rId579" ref="B395"/>
    <hyperlink r:id="rId580" ref="D395"/>
    <hyperlink r:id="rId581" ref="B396"/>
    <hyperlink r:id="rId582" ref="D396"/>
    <hyperlink r:id="rId583" ref="B397"/>
    <hyperlink r:id="rId584" ref="B398"/>
    <hyperlink r:id="rId585" ref="D398"/>
    <hyperlink r:id="rId586" ref="B399"/>
    <hyperlink r:id="rId587" ref="D399"/>
    <hyperlink r:id="rId588" ref="B400"/>
    <hyperlink r:id="rId589" ref="D400"/>
    <hyperlink r:id="rId590" ref="B401"/>
    <hyperlink r:id="rId591" ref="D401"/>
    <hyperlink r:id="rId592" ref="B402"/>
    <hyperlink r:id="rId593" ref="B403"/>
    <hyperlink r:id="rId594" ref="D403"/>
    <hyperlink r:id="rId595" ref="B404"/>
    <hyperlink r:id="rId596" ref="D404"/>
    <hyperlink r:id="rId597" ref="B405"/>
    <hyperlink r:id="rId598" ref="D405"/>
    <hyperlink r:id="rId599" ref="B406"/>
    <hyperlink r:id="rId600" ref="B407"/>
    <hyperlink r:id="rId601" ref="D407"/>
    <hyperlink r:id="rId602" ref="B408"/>
    <hyperlink r:id="rId603" ref="B409"/>
    <hyperlink r:id="rId604" ref="D409"/>
    <hyperlink r:id="rId605" ref="B410"/>
    <hyperlink r:id="rId606" ref="D410"/>
    <hyperlink r:id="rId607" ref="B411"/>
    <hyperlink r:id="rId608" ref="B412"/>
    <hyperlink r:id="rId609" ref="D412"/>
    <hyperlink r:id="rId610" ref="B413"/>
    <hyperlink r:id="rId611" ref="B414"/>
    <hyperlink r:id="rId612" ref="D414"/>
    <hyperlink r:id="rId613" ref="B415"/>
    <hyperlink r:id="rId614" ref="B416"/>
    <hyperlink r:id="rId615" ref="B417"/>
    <hyperlink r:id="rId616" ref="D417"/>
    <hyperlink r:id="rId617" ref="B418"/>
    <hyperlink r:id="rId618" ref="D418"/>
    <hyperlink r:id="rId619" ref="B419"/>
    <hyperlink r:id="rId620" ref="D419"/>
    <hyperlink r:id="rId621" ref="B420"/>
    <hyperlink r:id="rId622" ref="D420"/>
    <hyperlink r:id="rId623" ref="B421"/>
    <hyperlink r:id="rId624" ref="D421"/>
    <hyperlink r:id="rId625" ref="B422"/>
    <hyperlink r:id="rId626" ref="B423"/>
    <hyperlink r:id="rId627" ref="D423"/>
    <hyperlink r:id="rId628" ref="B424"/>
    <hyperlink r:id="rId629" ref="B425"/>
    <hyperlink r:id="rId630" ref="D425"/>
    <hyperlink r:id="rId631" ref="B426"/>
    <hyperlink r:id="rId632" ref="D426"/>
    <hyperlink r:id="rId633" ref="B427"/>
    <hyperlink r:id="rId634" ref="D427"/>
    <hyperlink r:id="rId635" ref="B428"/>
    <hyperlink r:id="rId636" ref="D428"/>
    <hyperlink r:id="rId637" ref="B429"/>
    <hyperlink r:id="rId638" ref="D429"/>
    <hyperlink r:id="rId639" ref="B430"/>
    <hyperlink r:id="rId640" ref="B431"/>
    <hyperlink r:id="rId641" ref="D431"/>
    <hyperlink r:id="rId642" ref="B432"/>
    <hyperlink r:id="rId643" ref="B433"/>
    <hyperlink r:id="rId644" ref="B434"/>
    <hyperlink r:id="rId645" ref="B435"/>
    <hyperlink r:id="rId646" ref="B436"/>
    <hyperlink r:id="rId647" ref="D436"/>
    <hyperlink r:id="rId648" ref="B437"/>
    <hyperlink r:id="rId649" ref="D437"/>
    <hyperlink r:id="rId650" ref="B438"/>
    <hyperlink r:id="rId651" ref="D438"/>
    <hyperlink r:id="rId652" ref="B439"/>
    <hyperlink r:id="rId653" ref="B440"/>
    <hyperlink r:id="rId654" ref="D440"/>
    <hyperlink r:id="rId655" ref="B441"/>
    <hyperlink r:id="rId656" ref="B442"/>
    <hyperlink r:id="rId657" ref="B443"/>
    <hyperlink r:id="rId658" ref="B444"/>
    <hyperlink r:id="rId659" ref="D444"/>
    <hyperlink r:id="rId660" ref="B445"/>
    <hyperlink r:id="rId661" ref="B446"/>
    <hyperlink r:id="rId662" ref="D446"/>
    <hyperlink r:id="rId663" ref="B447"/>
    <hyperlink r:id="rId664" ref="B448"/>
    <hyperlink r:id="rId665" ref="B449"/>
    <hyperlink r:id="rId666" ref="D449"/>
    <hyperlink r:id="rId667" ref="B450"/>
    <hyperlink r:id="rId668" ref="D450"/>
    <hyperlink r:id="rId669" ref="B451"/>
    <hyperlink r:id="rId670" ref="D451"/>
    <hyperlink r:id="rId671" ref="B452"/>
    <hyperlink r:id="rId672" ref="D452"/>
    <hyperlink r:id="rId673" ref="B453"/>
    <hyperlink r:id="rId674" ref="B454"/>
    <hyperlink r:id="rId675" ref="D454"/>
    <hyperlink r:id="rId676" ref="B455"/>
    <hyperlink r:id="rId677" ref="D455"/>
    <hyperlink r:id="rId678" ref="B456"/>
    <hyperlink r:id="rId679" ref="D456"/>
    <hyperlink r:id="rId680" ref="B457"/>
    <hyperlink r:id="rId681" ref="B458"/>
    <hyperlink r:id="rId682" ref="D458"/>
    <hyperlink r:id="rId683" ref="B459"/>
    <hyperlink r:id="rId684" ref="B460"/>
    <hyperlink r:id="rId685" ref="B461"/>
    <hyperlink r:id="rId686" ref="B462"/>
    <hyperlink r:id="rId687" ref="D462"/>
    <hyperlink r:id="rId688" ref="B463"/>
    <hyperlink r:id="rId689" ref="B464"/>
    <hyperlink r:id="rId690" ref="B465"/>
    <hyperlink r:id="rId691" ref="D465"/>
    <hyperlink r:id="rId692" ref="B466"/>
    <hyperlink r:id="rId693" ref="D466"/>
    <hyperlink r:id="rId694" ref="B467"/>
    <hyperlink r:id="rId695" ref="D467"/>
    <hyperlink r:id="rId696" ref="B468"/>
    <hyperlink r:id="rId697" ref="B469"/>
    <hyperlink r:id="rId698" ref="B470"/>
    <hyperlink r:id="rId699" ref="D470"/>
    <hyperlink r:id="rId700" ref="B471"/>
    <hyperlink r:id="rId701" ref="D471"/>
    <hyperlink r:id="rId702" ref="B472"/>
    <hyperlink r:id="rId703" ref="D472"/>
    <hyperlink r:id="rId704" ref="B473"/>
    <hyperlink r:id="rId705" ref="B474"/>
    <hyperlink r:id="rId706" ref="D474"/>
    <hyperlink r:id="rId707" ref="B475"/>
    <hyperlink r:id="rId708" ref="D475"/>
    <hyperlink r:id="rId709" ref="B476"/>
    <hyperlink r:id="rId710" ref="D476"/>
    <hyperlink r:id="rId711" ref="B477"/>
    <hyperlink r:id="rId712" ref="D477"/>
    <hyperlink r:id="rId713" ref="B478"/>
    <hyperlink r:id="rId714" ref="D478"/>
    <hyperlink r:id="rId715" ref="B479"/>
    <hyperlink r:id="rId716" ref="D479"/>
    <hyperlink r:id="rId717" ref="B480"/>
    <hyperlink r:id="rId718" ref="D480"/>
    <hyperlink r:id="rId719" ref="B481"/>
    <hyperlink r:id="rId720" ref="B482"/>
    <hyperlink r:id="rId721" ref="B483"/>
    <hyperlink r:id="rId722" ref="D483"/>
    <hyperlink r:id="rId723" ref="B484"/>
    <hyperlink r:id="rId724" ref="B485"/>
    <hyperlink r:id="rId725" ref="D485"/>
    <hyperlink r:id="rId726" ref="B486"/>
    <hyperlink r:id="rId727" ref="B487"/>
    <hyperlink r:id="rId728" ref="D487"/>
    <hyperlink r:id="rId729" ref="B488"/>
    <hyperlink r:id="rId730" ref="B489"/>
    <hyperlink r:id="rId731" ref="D489"/>
    <hyperlink r:id="rId732" ref="B490"/>
    <hyperlink r:id="rId733" ref="D490"/>
    <hyperlink r:id="rId734" ref="B491"/>
    <hyperlink r:id="rId735" ref="D491"/>
    <hyperlink r:id="rId736" ref="B492"/>
    <hyperlink r:id="rId737" ref="D492"/>
    <hyperlink r:id="rId738" ref="B493"/>
    <hyperlink r:id="rId739" ref="B494"/>
    <hyperlink r:id="rId740" ref="D494"/>
    <hyperlink r:id="rId741" ref="B495"/>
    <hyperlink r:id="rId742" ref="B496"/>
    <hyperlink r:id="rId743" ref="B497"/>
    <hyperlink r:id="rId744" ref="D497"/>
    <hyperlink r:id="rId745" ref="B498"/>
    <hyperlink r:id="rId746" ref="D498"/>
    <hyperlink r:id="rId747" ref="B499"/>
    <hyperlink r:id="rId748" ref="D499"/>
    <hyperlink r:id="rId749" ref="B500"/>
    <hyperlink r:id="rId750" ref="B501"/>
    <hyperlink r:id="rId751" ref="D501"/>
    <hyperlink r:id="rId752" ref="B502"/>
    <hyperlink r:id="rId753" ref="D502"/>
    <hyperlink r:id="rId754" ref="B503"/>
    <hyperlink r:id="rId755" ref="D503"/>
    <hyperlink r:id="rId756" ref="B504"/>
    <hyperlink r:id="rId757" ref="D504"/>
    <hyperlink r:id="rId758" ref="B505"/>
    <hyperlink r:id="rId759" ref="B506"/>
    <hyperlink r:id="rId760" ref="B507"/>
    <hyperlink r:id="rId761" ref="B508"/>
    <hyperlink r:id="rId762" ref="B509"/>
    <hyperlink r:id="rId763" ref="D509"/>
    <hyperlink r:id="rId764" ref="B510"/>
    <hyperlink r:id="rId765" ref="D510"/>
    <hyperlink r:id="rId766" ref="B511"/>
    <hyperlink r:id="rId767" ref="B512"/>
    <hyperlink r:id="rId768" ref="D512"/>
    <hyperlink r:id="rId769" ref="B513"/>
    <hyperlink r:id="rId770" ref="B514"/>
    <hyperlink r:id="rId771" ref="B515"/>
    <hyperlink r:id="rId772" ref="D515"/>
    <hyperlink r:id="rId773" ref="B516"/>
    <hyperlink r:id="rId774" ref="B517"/>
    <hyperlink r:id="rId775" ref="B518"/>
    <hyperlink r:id="rId776" ref="B519"/>
    <hyperlink r:id="rId777" ref="D519"/>
    <hyperlink r:id="rId778" ref="B520"/>
    <hyperlink r:id="rId779" ref="D520"/>
    <hyperlink r:id="rId780" ref="B521"/>
    <hyperlink r:id="rId781" ref="B522"/>
    <hyperlink r:id="rId782" ref="D522"/>
    <hyperlink r:id="rId783" ref="B523"/>
    <hyperlink r:id="rId784" ref="D523"/>
    <hyperlink r:id="rId785" ref="B524"/>
    <hyperlink r:id="rId786" ref="B525"/>
    <hyperlink r:id="rId787" ref="B526"/>
    <hyperlink r:id="rId788" ref="B527"/>
    <hyperlink r:id="rId789" ref="D527"/>
    <hyperlink r:id="rId790" ref="B528"/>
    <hyperlink r:id="rId791" ref="D528"/>
    <hyperlink r:id="rId792" ref="B529"/>
    <hyperlink r:id="rId793" ref="B530"/>
    <hyperlink r:id="rId794" ref="D530"/>
    <hyperlink r:id="rId795" ref="B531"/>
    <hyperlink r:id="rId796" ref="B532"/>
    <hyperlink r:id="rId797" ref="D532"/>
    <hyperlink r:id="rId798" ref="B533"/>
    <hyperlink r:id="rId799" ref="D533"/>
    <hyperlink r:id="rId800" ref="B534"/>
    <hyperlink r:id="rId801" ref="B535"/>
    <hyperlink r:id="rId802" ref="D535"/>
    <hyperlink r:id="rId803" ref="B536"/>
    <hyperlink r:id="rId804" ref="B537"/>
    <hyperlink r:id="rId805" ref="B538"/>
    <hyperlink r:id="rId806" ref="D538"/>
    <hyperlink r:id="rId807" ref="B539"/>
    <hyperlink r:id="rId808" ref="B540"/>
    <hyperlink r:id="rId809" ref="B541"/>
    <hyperlink r:id="rId810" ref="B542"/>
    <hyperlink r:id="rId811" ref="D542"/>
    <hyperlink r:id="rId812" ref="B543"/>
    <hyperlink r:id="rId813" ref="B544"/>
    <hyperlink r:id="rId814" ref="D544"/>
    <hyperlink r:id="rId815" ref="B545"/>
    <hyperlink r:id="rId816" ref="D545"/>
    <hyperlink r:id="rId817" ref="B546"/>
    <hyperlink r:id="rId818" ref="B547"/>
    <hyperlink r:id="rId819" ref="B548"/>
    <hyperlink r:id="rId820" ref="D548"/>
    <hyperlink r:id="rId821" ref="B549"/>
    <hyperlink r:id="rId822" ref="B550"/>
    <hyperlink r:id="rId823" ref="B551"/>
    <hyperlink r:id="rId824" ref="B552"/>
    <hyperlink r:id="rId825" ref="B553"/>
    <hyperlink r:id="rId826" ref="B554"/>
    <hyperlink r:id="rId827" ref="B555"/>
    <hyperlink r:id="rId828" ref="B556"/>
    <hyperlink r:id="rId829" ref="D556"/>
    <hyperlink r:id="rId830" ref="B557"/>
    <hyperlink r:id="rId831" ref="D557"/>
    <hyperlink r:id="rId832" ref="B558"/>
    <hyperlink r:id="rId833" ref="B559"/>
    <hyperlink r:id="rId834" ref="B560"/>
    <hyperlink r:id="rId835" ref="B561"/>
    <hyperlink r:id="rId836" ref="D561"/>
    <hyperlink r:id="rId837" ref="B562"/>
    <hyperlink r:id="rId838" ref="B563"/>
    <hyperlink r:id="rId839" ref="D563"/>
    <hyperlink r:id="rId840" ref="B564"/>
    <hyperlink r:id="rId841" ref="D564"/>
    <hyperlink r:id="rId842" ref="B565"/>
    <hyperlink r:id="rId843" ref="D565"/>
    <hyperlink r:id="rId844" ref="B566"/>
    <hyperlink r:id="rId845" ref="D566"/>
    <hyperlink r:id="rId846" ref="B567"/>
    <hyperlink r:id="rId847" ref="D567"/>
    <hyperlink r:id="rId848" ref="B568"/>
    <hyperlink r:id="rId849" ref="D568"/>
    <hyperlink r:id="rId850" ref="B569"/>
    <hyperlink r:id="rId851" ref="B570"/>
    <hyperlink r:id="rId852" ref="D570"/>
    <hyperlink r:id="rId853" ref="B571"/>
    <hyperlink r:id="rId854" ref="B572"/>
    <hyperlink r:id="rId855" ref="B573"/>
    <hyperlink r:id="rId856" ref="D573"/>
    <hyperlink r:id="rId857" ref="B574"/>
    <hyperlink r:id="rId858" ref="D574"/>
    <hyperlink r:id="rId859" ref="B575"/>
    <hyperlink r:id="rId860" ref="B576"/>
    <hyperlink r:id="rId861" ref="D576"/>
    <hyperlink r:id="rId862" ref="B577"/>
    <hyperlink r:id="rId863" ref="B578"/>
    <hyperlink r:id="rId864" ref="D578"/>
    <hyperlink r:id="rId865" ref="B579"/>
    <hyperlink r:id="rId866" ref="B580"/>
    <hyperlink r:id="rId867" ref="D580"/>
    <hyperlink r:id="rId868" ref="B581"/>
    <hyperlink r:id="rId869" ref="D581"/>
    <hyperlink r:id="rId870" ref="B582"/>
    <hyperlink r:id="rId871" ref="B583"/>
    <hyperlink r:id="rId872" ref="D583"/>
    <hyperlink r:id="rId873" ref="B584"/>
    <hyperlink r:id="rId874" ref="B585"/>
    <hyperlink r:id="rId875" ref="B586"/>
    <hyperlink r:id="rId876" ref="D586"/>
    <hyperlink r:id="rId877" ref="B587"/>
    <hyperlink r:id="rId878" ref="D587"/>
    <hyperlink r:id="rId879" ref="B588"/>
    <hyperlink r:id="rId880" ref="B589"/>
    <hyperlink r:id="rId881" ref="D589"/>
    <hyperlink r:id="rId882" ref="B590"/>
    <hyperlink r:id="rId883" ref="D590"/>
    <hyperlink r:id="rId884" ref="B591"/>
    <hyperlink r:id="rId885" ref="B592"/>
    <hyperlink r:id="rId886" ref="B593"/>
    <hyperlink r:id="rId887" ref="B594"/>
    <hyperlink r:id="rId888" ref="B595"/>
    <hyperlink r:id="rId889" ref="D595"/>
    <hyperlink r:id="rId890" ref="B596"/>
    <hyperlink r:id="rId891" ref="B597"/>
    <hyperlink r:id="rId892" ref="D597"/>
    <hyperlink r:id="rId893" ref="B598"/>
    <hyperlink r:id="rId894" ref="B599"/>
    <hyperlink r:id="rId895" ref="D599"/>
    <hyperlink r:id="rId896" ref="B600"/>
    <hyperlink r:id="rId897" ref="B601"/>
    <hyperlink r:id="rId898" ref="B602"/>
    <hyperlink r:id="rId899" ref="B603"/>
    <hyperlink r:id="rId900" ref="D603"/>
    <hyperlink r:id="rId901" ref="B604"/>
    <hyperlink r:id="rId902" ref="B605"/>
    <hyperlink r:id="rId903" ref="B606"/>
    <hyperlink r:id="rId904" ref="D606"/>
    <hyperlink r:id="rId905" ref="B607"/>
    <hyperlink r:id="rId906" ref="D607"/>
    <hyperlink r:id="rId907" ref="B608"/>
    <hyperlink r:id="rId908" ref="B609"/>
    <hyperlink r:id="rId909" ref="D609"/>
    <hyperlink r:id="rId910" ref="B610"/>
    <hyperlink r:id="rId911" ref="B611"/>
    <hyperlink r:id="rId912" ref="D611"/>
    <hyperlink r:id="rId913" ref="B612"/>
    <hyperlink r:id="rId914" ref="D612"/>
    <hyperlink r:id="rId915" ref="B613"/>
    <hyperlink r:id="rId916" ref="B614"/>
    <hyperlink r:id="rId917" ref="D614"/>
    <hyperlink r:id="rId918" ref="B615"/>
    <hyperlink r:id="rId919" ref="D615"/>
    <hyperlink r:id="rId920" ref="B616"/>
    <hyperlink r:id="rId921" ref="D616"/>
    <hyperlink r:id="rId922" ref="B617"/>
    <hyperlink r:id="rId923" ref="B618"/>
    <hyperlink r:id="rId924" ref="B619"/>
    <hyperlink r:id="rId925" ref="B620"/>
    <hyperlink r:id="rId926" ref="D620"/>
    <hyperlink r:id="rId927" ref="B621"/>
    <hyperlink r:id="rId928" ref="D621"/>
    <hyperlink r:id="rId929" ref="B622"/>
    <hyperlink r:id="rId930" ref="D622"/>
    <hyperlink r:id="rId931" ref="B623"/>
    <hyperlink r:id="rId932" ref="B624"/>
    <hyperlink r:id="rId933" ref="B625"/>
    <hyperlink r:id="rId934" ref="B626"/>
    <hyperlink r:id="rId935" ref="B627"/>
    <hyperlink r:id="rId936" ref="D627"/>
    <hyperlink r:id="rId937" ref="B628"/>
    <hyperlink r:id="rId938" ref="D628"/>
    <hyperlink r:id="rId939" ref="B629"/>
    <hyperlink r:id="rId940" ref="B630"/>
    <hyperlink r:id="rId941" ref="D630"/>
    <hyperlink r:id="rId942" ref="B631"/>
    <hyperlink r:id="rId943" ref="B632"/>
    <hyperlink r:id="rId944" ref="B633"/>
    <hyperlink r:id="rId945" ref="D633"/>
    <hyperlink r:id="rId946" ref="B634"/>
    <hyperlink r:id="rId947" ref="B635"/>
    <hyperlink r:id="rId948" ref="B636"/>
    <hyperlink r:id="rId949" ref="D636"/>
    <hyperlink r:id="rId950" ref="B637"/>
    <hyperlink r:id="rId951" ref="B638"/>
    <hyperlink r:id="rId952" ref="B639"/>
    <hyperlink r:id="rId953" ref="D639"/>
    <hyperlink r:id="rId954" ref="B640"/>
    <hyperlink r:id="rId955" ref="B641"/>
    <hyperlink r:id="rId956" ref="B642"/>
    <hyperlink r:id="rId957" ref="B643"/>
    <hyperlink r:id="rId958" ref="B644"/>
    <hyperlink r:id="rId959" ref="D644"/>
    <hyperlink r:id="rId960" ref="B645"/>
    <hyperlink r:id="rId961" ref="B646"/>
    <hyperlink r:id="rId962" ref="B647"/>
    <hyperlink r:id="rId963" ref="B648"/>
    <hyperlink r:id="rId964" ref="B649"/>
    <hyperlink r:id="rId965" ref="B650"/>
    <hyperlink r:id="rId966" ref="D650"/>
    <hyperlink r:id="rId967" ref="B651"/>
    <hyperlink r:id="rId968" ref="D651"/>
    <hyperlink r:id="rId969" ref="B652"/>
    <hyperlink r:id="rId970" ref="D652"/>
    <hyperlink r:id="rId971" ref="B653"/>
    <hyperlink r:id="rId972" ref="B654"/>
    <hyperlink r:id="rId973" ref="B655"/>
    <hyperlink r:id="rId974" ref="D655"/>
    <hyperlink r:id="rId975" ref="B656"/>
    <hyperlink r:id="rId976" ref="B657"/>
    <hyperlink r:id="rId977" ref="B658"/>
    <hyperlink r:id="rId978" ref="B659"/>
    <hyperlink r:id="rId979" ref="D659"/>
    <hyperlink r:id="rId980" ref="B660"/>
    <hyperlink r:id="rId981" ref="B661"/>
    <hyperlink r:id="rId982" ref="D661"/>
    <hyperlink r:id="rId983" ref="B662"/>
    <hyperlink r:id="rId984" ref="D662"/>
    <hyperlink r:id="rId985" ref="B663"/>
    <hyperlink r:id="rId986" ref="D663"/>
    <hyperlink r:id="rId987" ref="B664"/>
    <hyperlink r:id="rId988" ref="D664"/>
    <hyperlink r:id="rId989" ref="B665"/>
    <hyperlink r:id="rId990" ref="B666"/>
    <hyperlink r:id="rId991" ref="D666"/>
    <hyperlink r:id="rId992" ref="B667"/>
    <hyperlink r:id="rId993" ref="B668"/>
    <hyperlink r:id="rId994" ref="B669"/>
    <hyperlink r:id="rId995" ref="B670"/>
    <hyperlink r:id="rId996" ref="B671"/>
    <hyperlink r:id="rId997" ref="D671"/>
    <hyperlink r:id="rId998" ref="B672"/>
    <hyperlink r:id="rId999" ref="B673"/>
    <hyperlink r:id="rId1000" ref="B674"/>
    <hyperlink r:id="rId1001" ref="B675"/>
    <hyperlink r:id="rId1002" ref="B676"/>
    <hyperlink r:id="rId1003" ref="B677"/>
    <hyperlink r:id="rId1004" ref="B678"/>
    <hyperlink r:id="rId1005" ref="B679"/>
    <hyperlink r:id="rId1006" ref="B680"/>
    <hyperlink r:id="rId1007" ref="D680"/>
    <hyperlink r:id="rId1008" ref="B681"/>
    <hyperlink r:id="rId1009" ref="B682"/>
    <hyperlink r:id="rId1010" ref="D682"/>
    <hyperlink r:id="rId1011" ref="B683"/>
    <hyperlink r:id="rId1012" ref="B684"/>
    <hyperlink r:id="rId1013" ref="B685"/>
    <hyperlink r:id="rId1014" ref="B686"/>
    <hyperlink r:id="rId1015" ref="B687"/>
    <hyperlink r:id="rId1016" ref="D687"/>
    <hyperlink r:id="rId1017" ref="B688"/>
    <hyperlink r:id="rId1018" ref="B689"/>
    <hyperlink r:id="rId1019" ref="B690"/>
    <hyperlink r:id="rId1020" ref="D690"/>
    <hyperlink r:id="rId1021" ref="B691"/>
    <hyperlink r:id="rId1022" ref="B692"/>
    <hyperlink r:id="rId1023" ref="D692"/>
    <hyperlink r:id="rId1024" ref="B693"/>
    <hyperlink r:id="rId1025" ref="B694"/>
    <hyperlink r:id="rId1026" ref="D694"/>
    <hyperlink r:id="rId1027" ref="B695"/>
    <hyperlink r:id="rId1028" ref="B696"/>
    <hyperlink r:id="rId1029" ref="D696"/>
    <hyperlink r:id="rId1030" ref="B697"/>
    <hyperlink r:id="rId1031" ref="B698"/>
    <hyperlink r:id="rId1032" ref="D698"/>
    <hyperlink r:id="rId1033" ref="B699"/>
    <hyperlink r:id="rId1034" ref="B700"/>
    <hyperlink r:id="rId1035" ref="D700"/>
    <hyperlink r:id="rId1036" ref="B701"/>
    <hyperlink r:id="rId1037" ref="D701"/>
    <hyperlink r:id="rId1038" ref="B702"/>
    <hyperlink r:id="rId1039" ref="B703"/>
    <hyperlink r:id="rId1040" ref="D703"/>
    <hyperlink r:id="rId1041" ref="B704"/>
    <hyperlink r:id="rId1042" ref="D704"/>
    <hyperlink r:id="rId1043" ref="B705"/>
    <hyperlink r:id="rId1044" ref="D705"/>
    <hyperlink r:id="rId1045" ref="B706"/>
    <hyperlink r:id="rId1046" ref="D706"/>
    <hyperlink r:id="rId1047" ref="B707"/>
    <hyperlink r:id="rId1048" ref="D707"/>
    <hyperlink r:id="rId1049" ref="B708"/>
    <hyperlink r:id="rId1050" ref="B709"/>
    <hyperlink r:id="rId1051" ref="B710"/>
    <hyperlink r:id="rId1052" ref="B711"/>
    <hyperlink r:id="rId1053" ref="B712"/>
    <hyperlink r:id="rId1054" ref="B713"/>
    <hyperlink r:id="rId1055" ref="D713"/>
    <hyperlink r:id="rId1056" ref="B714"/>
    <hyperlink r:id="rId1057" ref="D714"/>
    <hyperlink r:id="rId1058" ref="B715"/>
    <hyperlink r:id="rId1059" ref="D715"/>
    <hyperlink r:id="rId1060" ref="B716"/>
    <hyperlink r:id="rId1061" ref="D716"/>
    <hyperlink r:id="rId1062" ref="B717"/>
    <hyperlink r:id="rId1063" ref="D717"/>
    <hyperlink r:id="rId1064" ref="B718"/>
    <hyperlink r:id="rId1065" ref="D718"/>
    <hyperlink r:id="rId1066" ref="B719"/>
    <hyperlink r:id="rId1067" ref="B720"/>
    <hyperlink r:id="rId1068" ref="D720"/>
    <hyperlink r:id="rId1069" ref="B721"/>
    <hyperlink r:id="rId1070" ref="D721"/>
    <hyperlink r:id="rId1071" ref="B722"/>
    <hyperlink r:id="rId1072" ref="B723"/>
    <hyperlink r:id="rId1073" ref="B724"/>
    <hyperlink r:id="rId1074" ref="D724"/>
    <hyperlink r:id="rId1075" ref="B725"/>
    <hyperlink r:id="rId1076" ref="B726"/>
    <hyperlink r:id="rId1077" ref="B727"/>
    <hyperlink r:id="rId1078" ref="D727"/>
    <hyperlink r:id="rId1079" ref="B728"/>
    <hyperlink r:id="rId1080" ref="D728"/>
    <hyperlink r:id="rId1081" ref="B729"/>
    <hyperlink r:id="rId1082" ref="B730"/>
    <hyperlink r:id="rId1083" ref="B731"/>
    <hyperlink r:id="rId1084" ref="B732"/>
    <hyperlink r:id="rId1085" ref="B733"/>
    <hyperlink r:id="rId1086" ref="D733"/>
    <hyperlink r:id="rId1087" ref="B734"/>
    <hyperlink r:id="rId1088" ref="B735"/>
    <hyperlink r:id="rId1089" ref="B736"/>
    <hyperlink r:id="rId1090" ref="D736"/>
    <hyperlink r:id="rId1091" ref="B737"/>
    <hyperlink r:id="rId1092" ref="D737"/>
    <hyperlink r:id="rId1093" ref="B738"/>
    <hyperlink r:id="rId1094" ref="B739"/>
    <hyperlink r:id="rId1095" ref="B740"/>
    <hyperlink r:id="rId1096" ref="B741"/>
    <hyperlink r:id="rId1097" ref="B742"/>
    <hyperlink r:id="rId1098" ref="B743"/>
    <hyperlink r:id="rId1099" ref="D743"/>
    <hyperlink r:id="rId1100" ref="B744"/>
    <hyperlink r:id="rId1101" ref="D744"/>
    <hyperlink r:id="rId1102" ref="B745"/>
    <hyperlink r:id="rId1103" ref="B746"/>
    <hyperlink r:id="rId1104" ref="B747"/>
    <hyperlink r:id="rId1105" ref="D747"/>
    <hyperlink r:id="rId1106" ref="B748"/>
    <hyperlink r:id="rId1107" ref="D748"/>
    <hyperlink r:id="rId1108" ref="B749"/>
    <hyperlink r:id="rId1109" ref="D749"/>
    <hyperlink r:id="rId1110" ref="B750"/>
    <hyperlink r:id="rId1111" ref="D750"/>
    <hyperlink r:id="rId1112" ref="B751"/>
    <hyperlink r:id="rId1113" ref="B752"/>
    <hyperlink r:id="rId1114" ref="D752"/>
    <hyperlink r:id="rId1115" ref="B753"/>
    <hyperlink r:id="rId1116" ref="B754"/>
    <hyperlink r:id="rId1117" ref="B755"/>
    <hyperlink r:id="rId1118" ref="D755"/>
    <hyperlink r:id="rId1119" ref="B756"/>
    <hyperlink r:id="rId1120" ref="D756"/>
    <hyperlink r:id="rId1121" ref="B757"/>
    <hyperlink r:id="rId1122" ref="B758"/>
    <hyperlink r:id="rId1123" ref="D758"/>
    <hyperlink r:id="rId1124" ref="B759"/>
    <hyperlink r:id="rId1125" ref="D759"/>
    <hyperlink r:id="rId1126" ref="B760"/>
    <hyperlink r:id="rId1127" ref="B761"/>
    <hyperlink r:id="rId1128" ref="B762"/>
    <hyperlink r:id="rId1129" ref="B763"/>
    <hyperlink r:id="rId1130" ref="B764"/>
    <hyperlink r:id="rId1131" ref="D764"/>
    <hyperlink r:id="rId1132" ref="B765"/>
    <hyperlink r:id="rId1133" ref="B766"/>
    <hyperlink r:id="rId1134" ref="B767"/>
    <hyperlink r:id="rId1135" ref="B768"/>
    <hyperlink r:id="rId1136" ref="B769"/>
    <hyperlink r:id="rId1137" ref="D769"/>
    <hyperlink r:id="rId1138" ref="B770"/>
    <hyperlink r:id="rId1139" ref="D770"/>
    <hyperlink r:id="rId1140" ref="B771"/>
    <hyperlink r:id="rId1141" ref="B772"/>
    <hyperlink r:id="rId1142" ref="B773"/>
    <hyperlink r:id="rId1143" ref="D773"/>
    <hyperlink r:id="rId1144" ref="B774"/>
    <hyperlink r:id="rId1145" ref="B775"/>
    <hyperlink r:id="rId1146" ref="D775"/>
    <hyperlink r:id="rId1147" ref="B776"/>
    <hyperlink r:id="rId1148" ref="D776"/>
    <hyperlink r:id="rId1149" ref="B777"/>
    <hyperlink r:id="rId1150" ref="D777"/>
    <hyperlink r:id="rId1151" ref="B778"/>
    <hyperlink r:id="rId1152" ref="D778"/>
    <hyperlink r:id="rId1153" ref="B779"/>
    <hyperlink r:id="rId1154" ref="B780"/>
    <hyperlink r:id="rId1155" ref="D780"/>
    <hyperlink r:id="rId1156" ref="B781"/>
    <hyperlink r:id="rId1157" ref="D781"/>
    <hyperlink r:id="rId1158" ref="B782"/>
    <hyperlink r:id="rId1159" ref="B783"/>
    <hyperlink r:id="rId1160" ref="D783"/>
    <hyperlink r:id="rId1161" ref="B784"/>
    <hyperlink r:id="rId1162" ref="B785"/>
    <hyperlink r:id="rId1163" ref="D785"/>
    <hyperlink r:id="rId1164" ref="B786"/>
    <hyperlink r:id="rId1165" ref="D786"/>
    <hyperlink r:id="rId1166" ref="B787"/>
    <hyperlink r:id="rId1167" ref="D787"/>
    <hyperlink r:id="rId1168" ref="B788"/>
    <hyperlink r:id="rId1169" ref="B789"/>
    <hyperlink r:id="rId1170" ref="B790"/>
    <hyperlink r:id="rId1171" ref="B791"/>
    <hyperlink r:id="rId1172" ref="B792"/>
    <hyperlink r:id="rId1173" ref="B793"/>
    <hyperlink r:id="rId1174" ref="D793"/>
    <hyperlink r:id="rId1175" ref="B794"/>
    <hyperlink r:id="rId1176" ref="D794"/>
    <hyperlink r:id="rId1177" ref="B795"/>
    <hyperlink r:id="rId1178" ref="D795"/>
    <hyperlink r:id="rId1179" ref="B796"/>
    <hyperlink r:id="rId1180" ref="D796"/>
    <hyperlink r:id="rId1181" ref="B797"/>
    <hyperlink r:id="rId1182" ref="D797"/>
    <hyperlink r:id="rId1183" ref="B798"/>
    <hyperlink r:id="rId1184" ref="B799"/>
    <hyperlink r:id="rId1185" ref="B800"/>
    <hyperlink r:id="rId1186" ref="D800"/>
    <hyperlink r:id="rId1187" ref="B801"/>
    <hyperlink r:id="rId1188" ref="B802"/>
    <hyperlink r:id="rId1189" ref="D802"/>
    <hyperlink r:id="rId1190" ref="B803"/>
    <hyperlink r:id="rId1191" ref="B804"/>
    <hyperlink r:id="rId1192" ref="B805"/>
    <hyperlink r:id="rId1193" ref="D805"/>
    <hyperlink r:id="rId1194" ref="B806"/>
    <hyperlink r:id="rId1195" ref="B807"/>
    <hyperlink r:id="rId1196" ref="D807"/>
    <hyperlink r:id="rId1197" ref="B808"/>
    <hyperlink r:id="rId1198" ref="D808"/>
    <hyperlink r:id="rId1199" ref="B809"/>
    <hyperlink r:id="rId1200" ref="B810"/>
    <hyperlink r:id="rId1201" ref="B811"/>
    <hyperlink r:id="rId1202" ref="B812"/>
    <hyperlink r:id="rId1203" ref="D812"/>
    <hyperlink r:id="rId1204" ref="B813"/>
    <hyperlink r:id="rId1205" ref="D813"/>
    <hyperlink r:id="rId1206" ref="B814"/>
    <hyperlink r:id="rId1207" ref="D814"/>
    <hyperlink r:id="rId1208" ref="B815"/>
    <hyperlink r:id="rId1209" ref="B816"/>
    <hyperlink r:id="rId1210" ref="D816"/>
    <hyperlink r:id="rId1211" ref="B817"/>
    <hyperlink r:id="rId1212" ref="B818"/>
    <hyperlink r:id="rId1213" ref="D818"/>
    <hyperlink r:id="rId1214" ref="B819"/>
    <hyperlink r:id="rId1215" ref="B820"/>
    <hyperlink r:id="rId1216" ref="D820"/>
    <hyperlink r:id="rId1217" ref="B821"/>
    <hyperlink r:id="rId1218" ref="D821"/>
    <hyperlink r:id="rId1219" ref="B822"/>
    <hyperlink r:id="rId1220" ref="D822"/>
    <hyperlink r:id="rId1221" ref="B823"/>
    <hyperlink r:id="rId1222" ref="D823"/>
    <hyperlink r:id="rId1223" ref="B824"/>
    <hyperlink r:id="rId1224" ref="D824"/>
    <hyperlink r:id="rId1225" ref="B825"/>
    <hyperlink r:id="rId1226" ref="D825"/>
    <hyperlink r:id="rId1227" ref="B826"/>
    <hyperlink r:id="rId1228" ref="D826"/>
    <hyperlink r:id="rId1229" ref="B827"/>
    <hyperlink r:id="rId1230" ref="B828"/>
    <hyperlink r:id="rId1231" ref="B829"/>
    <hyperlink r:id="rId1232" ref="D829"/>
    <hyperlink r:id="rId1233" ref="B830"/>
    <hyperlink r:id="rId1234" ref="D830"/>
    <hyperlink r:id="rId1235" ref="B831"/>
    <hyperlink r:id="rId1236" ref="B832"/>
    <hyperlink r:id="rId1237" ref="B833"/>
    <hyperlink r:id="rId1238" ref="B834"/>
    <hyperlink r:id="rId1239" ref="B835"/>
    <hyperlink r:id="rId1240" ref="B836"/>
    <hyperlink r:id="rId1241" ref="D836"/>
    <hyperlink r:id="rId1242" ref="B837"/>
    <hyperlink r:id="rId1243" ref="D837"/>
    <hyperlink r:id="rId1244" ref="B838"/>
    <hyperlink r:id="rId1245" ref="B839"/>
    <hyperlink r:id="rId1246" ref="B840"/>
    <hyperlink r:id="rId1247" ref="B841"/>
    <hyperlink r:id="rId1248" ref="D841"/>
    <hyperlink r:id="rId1249" ref="B842"/>
    <hyperlink r:id="rId1250" ref="D842"/>
    <hyperlink r:id="rId1251" ref="B843"/>
    <hyperlink r:id="rId1252" ref="B844"/>
    <hyperlink r:id="rId1253" ref="B845"/>
    <hyperlink r:id="rId1254" ref="D845"/>
    <hyperlink r:id="rId1255" ref="B846"/>
    <hyperlink r:id="rId1256" ref="B847"/>
    <hyperlink r:id="rId1257" ref="B848"/>
    <hyperlink r:id="rId1258" ref="D848"/>
    <hyperlink r:id="rId1259" ref="B849"/>
    <hyperlink r:id="rId1260" ref="B850"/>
    <hyperlink r:id="rId1261" ref="D850"/>
    <hyperlink r:id="rId1262" ref="B851"/>
    <hyperlink r:id="rId1263" ref="B852"/>
    <hyperlink r:id="rId1264" ref="B853"/>
    <hyperlink r:id="rId1265" ref="D853"/>
    <hyperlink r:id="rId1266" ref="B854"/>
    <hyperlink r:id="rId1267" ref="B855"/>
    <hyperlink r:id="rId1268" ref="B856"/>
    <hyperlink r:id="rId1269" ref="D856"/>
    <hyperlink r:id="rId1270" ref="B857"/>
    <hyperlink r:id="rId1271" ref="D857"/>
    <hyperlink r:id="rId1272" ref="B858"/>
    <hyperlink r:id="rId1273" ref="B859"/>
    <hyperlink r:id="rId1274" ref="B860"/>
    <hyperlink r:id="rId1275" ref="D860"/>
    <hyperlink r:id="rId1276" ref="B861"/>
    <hyperlink r:id="rId1277" ref="D861"/>
    <hyperlink r:id="rId1278" ref="B862"/>
    <hyperlink r:id="rId1279" ref="D862"/>
    <hyperlink r:id="rId1280" ref="B863"/>
    <hyperlink r:id="rId1281" ref="D863"/>
    <hyperlink r:id="rId1282" ref="B864"/>
    <hyperlink r:id="rId1283" ref="B865"/>
    <hyperlink r:id="rId1284" ref="D865"/>
    <hyperlink r:id="rId1285" ref="B866"/>
    <hyperlink r:id="rId1286" ref="B867"/>
    <hyperlink r:id="rId1287" ref="B868"/>
    <hyperlink r:id="rId1288" ref="D868"/>
    <hyperlink r:id="rId1289" ref="B869"/>
    <hyperlink r:id="rId1290" ref="D869"/>
    <hyperlink r:id="rId1291" ref="B870"/>
    <hyperlink r:id="rId1292" ref="B871"/>
    <hyperlink r:id="rId1293" ref="B872"/>
    <hyperlink r:id="rId1294" ref="D872"/>
    <hyperlink r:id="rId1295" ref="B873"/>
    <hyperlink r:id="rId1296" ref="D873"/>
    <hyperlink r:id="rId1297" ref="B874"/>
    <hyperlink r:id="rId1298" ref="B875"/>
    <hyperlink r:id="rId1299" ref="B876"/>
    <hyperlink r:id="rId1300" ref="B877"/>
    <hyperlink r:id="rId1301" ref="B878"/>
    <hyperlink r:id="rId1302" ref="D878"/>
    <hyperlink r:id="rId1303" ref="B879"/>
    <hyperlink r:id="rId1304" ref="B880"/>
    <hyperlink r:id="rId1305" ref="D880"/>
    <hyperlink r:id="rId1306" ref="B881"/>
    <hyperlink r:id="rId1307" ref="D881"/>
    <hyperlink r:id="rId1308" ref="B882"/>
    <hyperlink r:id="rId1309" ref="B883"/>
    <hyperlink r:id="rId1310" ref="B884"/>
    <hyperlink r:id="rId1311" ref="B885"/>
    <hyperlink r:id="rId1312" ref="B886"/>
    <hyperlink r:id="rId1313" ref="B887"/>
    <hyperlink r:id="rId1314" ref="D887"/>
    <hyperlink r:id="rId1315" ref="B888"/>
    <hyperlink r:id="rId1316" ref="B889"/>
    <hyperlink r:id="rId1317" ref="D889"/>
    <hyperlink r:id="rId1318" ref="B890"/>
    <hyperlink r:id="rId1319" ref="B891"/>
    <hyperlink r:id="rId1320" ref="D891"/>
    <hyperlink r:id="rId1321" ref="B892"/>
    <hyperlink r:id="rId1322" ref="D892"/>
    <hyperlink r:id="rId1323" ref="B893"/>
    <hyperlink r:id="rId1324" ref="B894"/>
    <hyperlink r:id="rId1325" ref="B895"/>
    <hyperlink r:id="rId1326" ref="D895"/>
    <hyperlink r:id="rId1327" ref="B896"/>
    <hyperlink r:id="rId1328" ref="D896"/>
    <hyperlink r:id="rId1329" ref="B897"/>
    <hyperlink r:id="rId1330" ref="B898"/>
    <hyperlink r:id="rId1331" ref="D898"/>
    <hyperlink r:id="rId1332" ref="B899"/>
    <hyperlink r:id="rId1333" ref="B900"/>
    <hyperlink r:id="rId1334" ref="D900"/>
    <hyperlink r:id="rId1335" ref="B901"/>
    <hyperlink r:id="rId1336" ref="D901"/>
    <hyperlink r:id="rId1337" ref="B902"/>
    <hyperlink r:id="rId1338" ref="D902"/>
    <hyperlink r:id="rId1339" ref="B903"/>
    <hyperlink r:id="rId1340" ref="B904"/>
    <hyperlink r:id="rId1341" ref="B905"/>
    <hyperlink r:id="rId1342" ref="D905"/>
    <hyperlink r:id="rId1343" ref="B906"/>
    <hyperlink r:id="rId1344" ref="D906"/>
    <hyperlink r:id="rId1345" ref="B907"/>
    <hyperlink r:id="rId1346" ref="D907"/>
    <hyperlink r:id="rId1347" ref="B908"/>
    <hyperlink r:id="rId1348" ref="D908"/>
    <hyperlink r:id="rId1349" ref="B909"/>
    <hyperlink r:id="rId1350" ref="B910"/>
    <hyperlink r:id="rId1351" ref="D910"/>
    <hyperlink r:id="rId1352" ref="B911"/>
    <hyperlink r:id="rId1353" ref="D911"/>
    <hyperlink r:id="rId1354" ref="B912"/>
    <hyperlink r:id="rId1355" ref="B913"/>
    <hyperlink r:id="rId1356" ref="B914"/>
    <hyperlink r:id="rId1357" ref="B915"/>
    <hyperlink r:id="rId1358" ref="B916"/>
    <hyperlink r:id="rId1359" ref="B917"/>
    <hyperlink r:id="rId1360" ref="B918"/>
    <hyperlink r:id="rId1361" ref="D918"/>
    <hyperlink r:id="rId1362" ref="B919"/>
    <hyperlink r:id="rId1363" ref="B920"/>
    <hyperlink r:id="rId1364" ref="B921"/>
    <hyperlink r:id="rId1365" ref="B922"/>
    <hyperlink r:id="rId1366" ref="D922"/>
    <hyperlink r:id="rId1367" ref="B923"/>
    <hyperlink r:id="rId1368" ref="D923"/>
    <hyperlink r:id="rId1369" ref="B924"/>
    <hyperlink r:id="rId1370" ref="B925"/>
    <hyperlink r:id="rId1371" ref="B926"/>
    <hyperlink r:id="rId1372" ref="B927"/>
    <hyperlink r:id="rId1373" ref="B928"/>
    <hyperlink r:id="rId1374" ref="D928"/>
    <hyperlink r:id="rId1375" ref="B929"/>
    <hyperlink r:id="rId1376" ref="D929"/>
    <hyperlink r:id="rId1377" ref="B930"/>
    <hyperlink r:id="rId1378" ref="D930"/>
    <hyperlink r:id="rId1379" ref="B931"/>
    <hyperlink r:id="rId1380" ref="D931"/>
    <hyperlink r:id="rId1381" ref="B932"/>
    <hyperlink r:id="rId1382" ref="B933"/>
    <hyperlink r:id="rId1383" ref="B934"/>
    <hyperlink r:id="rId1384" ref="B935"/>
    <hyperlink r:id="rId1385" ref="D935"/>
    <hyperlink r:id="rId1386" ref="B936"/>
    <hyperlink r:id="rId1387" ref="B937"/>
    <hyperlink r:id="rId1388" ref="D937"/>
    <hyperlink r:id="rId1389" ref="B938"/>
    <hyperlink r:id="rId1390" ref="B939"/>
    <hyperlink r:id="rId1391" ref="B940"/>
    <hyperlink r:id="rId1392" ref="D940"/>
    <hyperlink r:id="rId1393" ref="B941"/>
    <hyperlink r:id="rId1394" ref="D941"/>
    <hyperlink r:id="rId1395" ref="B942"/>
    <hyperlink r:id="rId1396" ref="D942"/>
    <hyperlink r:id="rId1397" ref="B943"/>
    <hyperlink r:id="rId1398" ref="D943"/>
    <hyperlink r:id="rId1399" ref="B944"/>
    <hyperlink r:id="rId1400" ref="B945"/>
    <hyperlink r:id="rId1401" ref="D945"/>
    <hyperlink r:id="rId1402" ref="B946"/>
    <hyperlink r:id="rId1403" ref="B947"/>
    <hyperlink r:id="rId1404" ref="B948"/>
    <hyperlink r:id="rId1405" ref="D948"/>
    <hyperlink r:id="rId1406" ref="B949"/>
    <hyperlink r:id="rId1407" ref="D949"/>
    <hyperlink r:id="rId1408" ref="B950"/>
    <hyperlink r:id="rId1409" ref="B951"/>
    <hyperlink r:id="rId1410" ref="B952"/>
    <hyperlink r:id="rId1411" ref="D952"/>
    <hyperlink r:id="rId1412" ref="B953"/>
    <hyperlink r:id="rId1413" ref="D953"/>
    <hyperlink r:id="rId1414" ref="B954"/>
    <hyperlink r:id="rId1415" ref="D954"/>
    <hyperlink r:id="rId1416" ref="B955"/>
    <hyperlink r:id="rId1417" ref="D955"/>
    <hyperlink r:id="rId1418" ref="B956"/>
    <hyperlink r:id="rId1419" ref="D956"/>
    <hyperlink r:id="rId1420" ref="B957"/>
    <hyperlink r:id="rId1421" ref="D957"/>
    <hyperlink r:id="rId1422" ref="B958"/>
    <hyperlink r:id="rId1423" ref="D958"/>
    <hyperlink r:id="rId1424" ref="B959"/>
    <hyperlink r:id="rId1425" ref="B960"/>
    <hyperlink r:id="rId1426" ref="B961"/>
    <hyperlink r:id="rId1427" ref="B962"/>
    <hyperlink r:id="rId1428" ref="D962"/>
    <hyperlink r:id="rId1429" ref="B963"/>
    <hyperlink r:id="rId1430" ref="D963"/>
    <hyperlink r:id="rId1431" ref="B964"/>
    <hyperlink r:id="rId1432" ref="D964"/>
    <hyperlink r:id="rId1433" ref="B965"/>
    <hyperlink r:id="rId1434" ref="D965"/>
    <hyperlink r:id="rId1435" ref="B966"/>
    <hyperlink r:id="rId1436" ref="B967"/>
    <hyperlink r:id="rId1437" ref="B968"/>
    <hyperlink r:id="rId1438" ref="D968"/>
    <hyperlink r:id="rId1439" ref="B969"/>
    <hyperlink r:id="rId1440" ref="D969"/>
    <hyperlink r:id="rId1441" ref="B970"/>
    <hyperlink r:id="rId1442" ref="B971"/>
    <hyperlink r:id="rId1443" ref="D971"/>
    <hyperlink r:id="rId1444" ref="B972"/>
    <hyperlink r:id="rId1445" ref="D972"/>
    <hyperlink r:id="rId1446" ref="B973"/>
    <hyperlink r:id="rId1447" ref="B974"/>
    <hyperlink r:id="rId1448" ref="B975"/>
    <hyperlink r:id="rId1449" ref="B976"/>
    <hyperlink r:id="rId1450" ref="D976"/>
    <hyperlink r:id="rId1451" ref="B977"/>
    <hyperlink r:id="rId1452" ref="D977"/>
    <hyperlink r:id="rId1453" ref="B978"/>
    <hyperlink r:id="rId1454" ref="D978"/>
    <hyperlink r:id="rId1455" ref="B979"/>
    <hyperlink r:id="rId1456" ref="B980"/>
    <hyperlink r:id="rId1457" ref="B981"/>
    <hyperlink r:id="rId1458" ref="B982"/>
    <hyperlink r:id="rId1459" ref="D982"/>
    <hyperlink r:id="rId1460" ref="B983"/>
    <hyperlink r:id="rId1461" ref="D983"/>
    <hyperlink r:id="rId1462" ref="B984"/>
    <hyperlink r:id="rId1463" ref="B985"/>
    <hyperlink r:id="rId1464" ref="B986"/>
    <hyperlink r:id="rId1465" ref="D986"/>
    <hyperlink r:id="rId1466" ref="B987"/>
    <hyperlink r:id="rId1467" ref="D987"/>
    <hyperlink r:id="rId1468" ref="B988"/>
    <hyperlink r:id="rId1469" ref="D988"/>
    <hyperlink r:id="rId1470" ref="B989"/>
    <hyperlink r:id="rId1471" ref="D989"/>
    <hyperlink r:id="rId1472" ref="B990"/>
    <hyperlink r:id="rId1473" ref="D990"/>
    <hyperlink r:id="rId1474" ref="B991"/>
    <hyperlink r:id="rId1475" ref="D991"/>
    <hyperlink r:id="rId1476" ref="B992"/>
    <hyperlink r:id="rId1477" ref="D992"/>
    <hyperlink r:id="rId1478" ref="B993"/>
    <hyperlink r:id="rId1479" ref="D993"/>
    <hyperlink r:id="rId1480" ref="B994"/>
    <hyperlink r:id="rId1481" ref="D994"/>
    <hyperlink r:id="rId1482" ref="B995"/>
    <hyperlink r:id="rId1483" ref="D995"/>
    <hyperlink r:id="rId1484" ref="B996"/>
    <hyperlink r:id="rId1485" ref="B997"/>
    <hyperlink r:id="rId1486" ref="D997"/>
    <hyperlink r:id="rId1487" ref="B998"/>
    <hyperlink r:id="rId1488" ref="D998"/>
    <hyperlink r:id="rId1489" ref="B999"/>
    <hyperlink r:id="rId1490" ref="B1000"/>
    <hyperlink r:id="rId1491" ref="B1001"/>
    <hyperlink r:id="rId1492" ref="D1001"/>
  </hyperlinks>
  <drawing r:id="rId149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9.5"/>
    <col customWidth="1" min="16" max="16" width="17.75"/>
  </cols>
  <sheetData>
    <row r="1">
      <c r="A1" s="21" t="s">
        <v>0</v>
      </c>
      <c r="B1" s="21" t="s">
        <v>1</v>
      </c>
      <c r="C1" s="22" t="s">
        <v>3576</v>
      </c>
      <c r="D1" s="23" t="s">
        <v>4</v>
      </c>
      <c r="E1" s="23" t="s">
        <v>5</v>
      </c>
      <c r="F1" s="23" t="s">
        <v>6</v>
      </c>
      <c r="G1" s="24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</row>
    <row r="2">
      <c r="A2" s="1" t="s">
        <v>17</v>
      </c>
      <c r="B2" s="7" t="s">
        <v>18</v>
      </c>
      <c r="C2" s="25" t="s">
        <v>3577</v>
      </c>
      <c r="D2" s="26">
        <f>VLOOKUP(A2,'Web_of_Science_20251015 '!A:E,5,0)</f>
        <v>1</v>
      </c>
      <c r="E2" s="27">
        <v>1.0</v>
      </c>
      <c r="F2" s="27">
        <v>0.0</v>
      </c>
      <c r="G2" s="24" t="s">
        <v>21</v>
      </c>
      <c r="H2" s="10">
        <f>IFERROR(__xludf.DUMMYFUNCTION("AVERAGE(FILTER(L2:L101,ISNUMBER(L2:L101)))"),0.6838099415204678)</f>
        <v>0.6838099415</v>
      </c>
      <c r="I2" s="10">
        <f>IFERROR(__xludf.DUMMYFUNCTION("AVERAGE(FILTER(M2:M101,ISNUMBER(M2:M101)))"),0.050277777777777775)</f>
        <v>0.05027777778</v>
      </c>
      <c r="J2" s="10">
        <f>IFERROR(__xludf.DUMMYFUNCTION("AVERAGE(FILTER(N2:N101,ISNUMBER(N2:N101)))"),0.95)</f>
        <v>0.95</v>
      </c>
      <c r="K2" s="10">
        <f>IFERROR(__xludf.DUMMYFUNCTION("AVERAGE(FILTER(O2:O101,ISNUMBER(O2:O101)))"),0.9358333333333333)</f>
        <v>0.9358333333</v>
      </c>
      <c r="L2" s="10">
        <f t="shared" ref="L2:L1003" si="1">E2/D2</f>
        <v>1</v>
      </c>
      <c r="M2" s="10">
        <f t="shared" ref="M2:M1003" si="2">F2/D2</f>
        <v>0</v>
      </c>
      <c r="N2" s="10">
        <f>IFERROR(__xludf.DUMMYFUNCTION("INT(FILTER(GT(E2,0),ISNUMBER(E2)))"),1.0)</f>
        <v>1</v>
      </c>
      <c r="O2" s="10">
        <f t="shared" ref="O2:O1003" si="3">E2/(E2+F2)</f>
        <v>1</v>
      </c>
      <c r="P2" s="10">
        <f>IFERROR(__xludf.DUMMYFUNCTION("INT(FILTER(EQ(D2,E2),ISNUMBER(D2),ISNUMBER(E2)))"),1.0)</f>
        <v>1</v>
      </c>
    </row>
    <row r="3">
      <c r="A3" s="1" t="s">
        <v>34</v>
      </c>
      <c r="B3" s="7" t="s">
        <v>35</v>
      </c>
      <c r="C3" s="25" t="s">
        <v>3578</v>
      </c>
      <c r="D3" s="26">
        <f>VLOOKUP(A3,'Web_of_Science_20251015 '!A:E,5,0)</f>
        <v>4</v>
      </c>
      <c r="E3" s="28">
        <v>2.0</v>
      </c>
      <c r="F3" s="27">
        <v>1.0</v>
      </c>
      <c r="G3" s="24" t="s">
        <v>21</v>
      </c>
      <c r="H3" s="11" t="s">
        <v>26</v>
      </c>
      <c r="I3" s="11" t="s">
        <v>27</v>
      </c>
      <c r="J3" s="11" t="s">
        <v>28</v>
      </c>
      <c r="K3" s="11" t="s">
        <v>29</v>
      </c>
      <c r="L3" s="10">
        <f t="shared" si="1"/>
        <v>0.5</v>
      </c>
      <c r="M3" s="10">
        <f t="shared" si="2"/>
        <v>0.25</v>
      </c>
      <c r="N3" s="10">
        <f>IFERROR(__xludf.DUMMYFUNCTION("INT(FILTER(GT(E3,0),ISNUMBER(E3)))"),1.0)</f>
        <v>1</v>
      </c>
      <c r="O3" s="10">
        <f t="shared" si="3"/>
        <v>0.6666666667</v>
      </c>
      <c r="P3" s="10">
        <f>IFERROR(__xludf.DUMMYFUNCTION("INT(FILTER(EQ(D3,E3),ISNUMBER(D3),ISNUMBER(E3)))"),0.0)</f>
        <v>0</v>
      </c>
    </row>
    <row r="4">
      <c r="A4" s="1" t="s">
        <v>90</v>
      </c>
      <c r="B4" s="7" t="s">
        <v>91</v>
      </c>
      <c r="C4" s="25" t="s">
        <v>3579</v>
      </c>
      <c r="D4" s="26">
        <f>VLOOKUP(A4,'Web_of_Science_20251015 '!A:E,5,0)</f>
        <v>2</v>
      </c>
      <c r="E4" s="27">
        <v>2.0</v>
      </c>
      <c r="F4" s="27">
        <v>0.0</v>
      </c>
      <c r="G4" s="24" t="s">
        <v>21</v>
      </c>
      <c r="H4" s="10">
        <f>IFERROR(__xludf.DUMMYFUNCTION("SUM(FILTER(E2:E101,ISNUMBER(E2:E101)))/SUM(FILTER(D2:D101,ISNUMBER(E2:E101)))"),0.6392857142857142)</f>
        <v>0.6392857143</v>
      </c>
      <c r="I4" s="10">
        <f>IFERROR(__xludf.DUMMYFUNCTION("SUM(FILTER(F2:F101,ISNUMBER(F2:F101)))/SUM(FILTER(D2:D101,ISNUMBER(F2:F101)))"),0.03571428571428571)</f>
        <v>0.03571428571</v>
      </c>
      <c r="J4" s="10">
        <f>IFERROR(__xludf.DUMMYFUNCTION("AVERAGE(FILTER(P2:P101,ISNUMBER(P2:P101)))"),0.4175824175824176)</f>
        <v>0.4175824176</v>
      </c>
      <c r="K4" s="10">
        <f>IFERROR(__xludf.DUMMYFUNCTION("SUM(FILTER(E2:E101,ISNUMBER(E2:E101)))/(SUM(FILTER(E2:E101,ISNUMBER(E2:E101)))+SUM(FILTER(F2:F101,ISNUMBER(E2:E101))))"),0.9470899470899471)</f>
        <v>0.9470899471</v>
      </c>
      <c r="L4" s="10">
        <f t="shared" si="1"/>
        <v>1</v>
      </c>
      <c r="M4" s="10">
        <f t="shared" si="2"/>
        <v>0</v>
      </c>
      <c r="N4" s="10">
        <f>IFERROR(__xludf.DUMMYFUNCTION("INT(FILTER(GT(E4,0),ISNUMBER(E4)))"),1.0)</f>
        <v>1</v>
      </c>
      <c r="O4" s="10">
        <f t="shared" si="3"/>
        <v>1</v>
      </c>
      <c r="P4" s="10">
        <f>IFERROR(__xludf.DUMMYFUNCTION("INT(FILTER(EQ(D4,E4),ISNUMBER(D4),ISNUMBER(E4)))"),1.0)</f>
        <v>1</v>
      </c>
    </row>
    <row r="5">
      <c r="A5" s="1" t="s">
        <v>110</v>
      </c>
      <c r="B5" s="7" t="s">
        <v>111</v>
      </c>
      <c r="C5" s="25" t="s">
        <v>3580</v>
      </c>
      <c r="D5" s="26">
        <f>VLOOKUP(A5,'Web_of_Science_20251015 '!A:E,5,0)</f>
        <v>3</v>
      </c>
      <c r="E5" s="27">
        <v>1.0</v>
      </c>
      <c r="F5" s="27">
        <v>0.0</v>
      </c>
      <c r="G5" s="24" t="s">
        <v>21</v>
      </c>
      <c r="H5" s="12"/>
      <c r="I5" s="12"/>
      <c r="J5" s="12"/>
      <c r="K5" s="12"/>
      <c r="L5" s="10">
        <f t="shared" si="1"/>
        <v>0.3333333333</v>
      </c>
      <c r="M5" s="10">
        <f t="shared" si="2"/>
        <v>0</v>
      </c>
      <c r="N5" s="10">
        <f>IFERROR(__xludf.DUMMYFUNCTION("INT(FILTER(GT(E5,0),ISNUMBER(E5)))"),1.0)</f>
        <v>1</v>
      </c>
      <c r="O5" s="10">
        <f t="shared" si="3"/>
        <v>1</v>
      </c>
      <c r="P5" s="10">
        <f>IFERROR(__xludf.DUMMYFUNCTION("INT(FILTER(EQ(D5,E5),ISNUMBER(D5),ISNUMBER(E5)))"),0.0)</f>
        <v>0</v>
      </c>
    </row>
    <row r="6">
      <c r="A6" s="1" t="s">
        <v>150</v>
      </c>
      <c r="B6" s="7" t="s">
        <v>151</v>
      </c>
      <c r="C6" s="25" t="s">
        <v>3581</v>
      </c>
      <c r="D6" s="26">
        <f>VLOOKUP(A6,'Web_of_Science_20251015 '!A:E,5,0)</f>
        <v>6</v>
      </c>
      <c r="E6" s="28">
        <v>3.0</v>
      </c>
      <c r="F6" s="28">
        <v>1.0</v>
      </c>
      <c r="G6" s="24" t="s">
        <v>21</v>
      </c>
      <c r="H6" s="12"/>
      <c r="I6" s="12"/>
      <c r="J6" s="12"/>
      <c r="K6" s="12"/>
      <c r="L6" s="10">
        <f t="shared" si="1"/>
        <v>0.5</v>
      </c>
      <c r="M6" s="10">
        <f t="shared" si="2"/>
        <v>0.1666666667</v>
      </c>
      <c r="N6" s="10">
        <f>IFERROR(__xludf.DUMMYFUNCTION("INT(FILTER(GT(E6,0),ISNUMBER(E6)))"),1.0)</f>
        <v>1</v>
      </c>
      <c r="O6" s="10">
        <f t="shared" si="3"/>
        <v>0.75</v>
      </c>
      <c r="P6" s="10">
        <f>IFERROR(__xludf.DUMMYFUNCTION("INT(FILTER(EQ(D6,E6),ISNUMBER(D6),ISNUMBER(E6)))"),0.0)</f>
        <v>0</v>
      </c>
    </row>
    <row r="7">
      <c r="A7" s="1" t="s">
        <v>154</v>
      </c>
      <c r="B7" s="7" t="s">
        <v>155</v>
      </c>
      <c r="C7" s="25" t="s">
        <v>3582</v>
      </c>
      <c r="D7" s="26">
        <f>VLOOKUP(A7,'Web_of_Science_20251015 '!A:E,5,0)</f>
        <v>3</v>
      </c>
      <c r="E7" s="28">
        <v>3.0</v>
      </c>
      <c r="F7" s="27">
        <v>0.0</v>
      </c>
      <c r="G7" s="24" t="s">
        <v>21</v>
      </c>
      <c r="H7" s="12"/>
      <c r="I7" s="12"/>
      <c r="J7" s="12"/>
      <c r="K7" s="12"/>
      <c r="L7" s="10">
        <f t="shared" si="1"/>
        <v>1</v>
      </c>
      <c r="M7" s="10">
        <f t="shared" si="2"/>
        <v>0</v>
      </c>
      <c r="N7" s="10">
        <f>IFERROR(__xludf.DUMMYFUNCTION("INT(FILTER(GT(E7,0),ISNUMBER(E7)))"),1.0)</f>
        <v>1</v>
      </c>
      <c r="O7" s="10">
        <f t="shared" si="3"/>
        <v>1</v>
      </c>
      <c r="P7" s="10">
        <f>IFERROR(__xludf.DUMMYFUNCTION("INT(FILTER(EQ(D7,E7),ISNUMBER(D7),ISNUMBER(E7)))"),1.0)</f>
        <v>1</v>
      </c>
    </row>
    <row r="8">
      <c r="A8" s="1" t="s">
        <v>178</v>
      </c>
      <c r="B8" s="7" t="s">
        <v>179</v>
      </c>
      <c r="C8" s="25" t="s">
        <v>3583</v>
      </c>
      <c r="D8" s="26">
        <f>VLOOKUP(A8,'Web_of_Science_20251015 '!A:E,5,0)</f>
        <v>1</v>
      </c>
      <c r="E8" s="27">
        <v>1.0</v>
      </c>
      <c r="F8" s="27">
        <v>0.0</v>
      </c>
      <c r="G8" s="24" t="s">
        <v>21</v>
      </c>
      <c r="H8" s="12"/>
      <c r="I8" s="12"/>
      <c r="J8" s="12"/>
      <c r="K8" s="12"/>
      <c r="L8" s="10">
        <f t="shared" si="1"/>
        <v>1</v>
      </c>
      <c r="M8" s="10">
        <f t="shared" si="2"/>
        <v>0</v>
      </c>
      <c r="N8" s="10">
        <f>IFERROR(__xludf.DUMMYFUNCTION("INT(FILTER(GT(E8,0),ISNUMBER(E8)))"),1.0)</f>
        <v>1</v>
      </c>
      <c r="O8" s="10">
        <f t="shared" si="3"/>
        <v>1</v>
      </c>
      <c r="P8" s="10">
        <f>IFERROR(__xludf.DUMMYFUNCTION("INT(FILTER(EQ(D8,E8),ISNUMBER(D8),ISNUMBER(E8)))"),1.0)</f>
        <v>1</v>
      </c>
    </row>
    <row r="9">
      <c r="A9" s="1" t="s">
        <v>186</v>
      </c>
      <c r="B9" s="7" t="s">
        <v>187</v>
      </c>
      <c r="C9" s="25" t="s">
        <v>3584</v>
      </c>
      <c r="D9" s="26">
        <f>VLOOKUP(A9,'Web_of_Science_20251015 '!A:E,5,0)</f>
        <v>3</v>
      </c>
      <c r="E9" s="28">
        <v>1.0</v>
      </c>
      <c r="F9" s="27">
        <v>0.0</v>
      </c>
      <c r="G9" s="24" t="s">
        <v>21</v>
      </c>
      <c r="H9" s="12"/>
      <c r="I9" s="12"/>
      <c r="J9" s="12"/>
      <c r="K9" s="12"/>
      <c r="L9" s="10">
        <f t="shared" si="1"/>
        <v>0.3333333333</v>
      </c>
      <c r="M9" s="10">
        <f t="shared" si="2"/>
        <v>0</v>
      </c>
      <c r="N9" s="10">
        <f>IFERROR(__xludf.DUMMYFUNCTION("INT(FILTER(GT(E9,0),ISNUMBER(E9)))"),1.0)</f>
        <v>1</v>
      </c>
      <c r="O9" s="10">
        <f t="shared" si="3"/>
        <v>1</v>
      </c>
      <c r="P9" s="10">
        <f>IFERROR(__xludf.DUMMYFUNCTION("INT(FILTER(EQ(D9,E9),ISNUMBER(D9),ISNUMBER(E9)))"),0.0)</f>
        <v>0</v>
      </c>
    </row>
    <row r="10">
      <c r="A10" s="1" t="s">
        <v>206</v>
      </c>
      <c r="B10" s="7" t="s">
        <v>207</v>
      </c>
      <c r="C10" s="25" t="s">
        <v>3585</v>
      </c>
      <c r="D10" s="26">
        <f>VLOOKUP(A10,'Web_of_Science_20251015 '!A:E,5,0)</f>
        <v>2</v>
      </c>
      <c r="E10" s="27">
        <v>2.0</v>
      </c>
      <c r="F10" s="27">
        <v>0.0</v>
      </c>
      <c r="G10" s="24" t="s">
        <v>21</v>
      </c>
      <c r="H10" s="12"/>
      <c r="I10" s="12"/>
      <c r="J10" s="12"/>
      <c r="K10" s="12"/>
      <c r="L10" s="10">
        <f t="shared" si="1"/>
        <v>1</v>
      </c>
      <c r="M10" s="10">
        <f t="shared" si="2"/>
        <v>0</v>
      </c>
      <c r="N10" s="10">
        <f>IFERROR(__xludf.DUMMYFUNCTION("INT(FILTER(GT(E10,0),ISNUMBER(E10)))"),1.0)</f>
        <v>1</v>
      </c>
      <c r="O10" s="10">
        <f t="shared" si="3"/>
        <v>1</v>
      </c>
      <c r="P10" s="10">
        <f>IFERROR(__xludf.DUMMYFUNCTION("INT(FILTER(EQ(D10,E10),ISNUMBER(D10),ISNUMBER(E10)))"),1.0)</f>
        <v>1</v>
      </c>
    </row>
    <row r="11">
      <c r="A11" s="1" t="s">
        <v>216</v>
      </c>
      <c r="B11" s="7" t="s">
        <v>217</v>
      </c>
      <c r="C11" s="25" t="s">
        <v>3586</v>
      </c>
      <c r="D11" s="26">
        <f>VLOOKUP(A11,'Web_of_Science_20251015 '!A:E,5,0)</f>
        <v>2</v>
      </c>
      <c r="E11" s="28">
        <v>0.0</v>
      </c>
      <c r="F11" s="27">
        <v>1.0</v>
      </c>
      <c r="G11" s="24" t="s">
        <v>21</v>
      </c>
      <c r="H11" s="12"/>
      <c r="I11" s="12"/>
      <c r="J11" s="12"/>
      <c r="K11" s="12"/>
      <c r="L11" s="10">
        <f t="shared" si="1"/>
        <v>0</v>
      </c>
      <c r="M11" s="10">
        <f t="shared" si="2"/>
        <v>0.5</v>
      </c>
      <c r="N11" s="10">
        <f>IFERROR(__xludf.DUMMYFUNCTION("INT(FILTER(GT(E11,0),ISNUMBER(E11)))"),0.0)</f>
        <v>0</v>
      </c>
      <c r="O11" s="10">
        <f t="shared" si="3"/>
        <v>0</v>
      </c>
      <c r="P11" s="12"/>
    </row>
    <row r="12">
      <c r="A12" s="1" t="s">
        <v>228</v>
      </c>
      <c r="B12" s="7" t="s">
        <v>229</v>
      </c>
      <c r="C12" s="25" t="s">
        <v>3587</v>
      </c>
      <c r="D12" s="26">
        <f>VLOOKUP(A12,'Web_of_Science_20251015 '!A:E,5,0)</f>
        <v>2</v>
      </c>
      <c r="E12" s="28">
        <v>1.0</v>
      </c>
      <c r="F12" s="27">
        <v>0.0</v>
      </c>
      <c r="G12" s="24" t="s">
        <v>21</v>
      </c>
      <c r="H12" s="12"/>
      <c r="I12" s="12"/>
      <c r="J12" s="12"/>
      <c r="K12" s="12"/>
      <c r="L12" s="10">
        <f t="shared" si="1"/>
        <v>0.5</v>
      </c>
      <c r="M12" s="10">
        <f t="shared" si="2"/>
        <v>0</v>
      </c>
      <c r="N12" s="10">
        <f>IFERROR(__xludf.DUMMYFUNCTION("INT(FILTER(GT(E12,0),ISNUMBER(E12)))"),1.0)</f>
        <v>1</v>
      </c>
      <c r="O12" s="10">
        <f t="shared" si="3"/>
        <v>1</v>
      </c>
      <c r="P12" s="10">
        <f>IFERROR(__xludf.DUMMYFUNCTION("INT(FILTER(EQ(D12,E12),ISNUMBER(D12),ISNUMBER(E12)))"),0.0)</f>
        <v>0</v>
      </c>
    </row>
    <row r="13">
      <c r="A13" s="1" t="s">
        <v>232</v>
      </c>
      <c r="B13" s="7" t="s">
        <v>233</v>
      </c>
      <c r="C13" s="25" t="s">
        <v>3588</v>
      </c>
      <c r="D13" s="26">
        <f>VLOOKUP(A13,'Web_of_Science_20251015 '!A:E,5,0)</f>
        <v>2</v>
      </c>
      <c r="E13" s="28">
        <v>1.0</v>
      </c>
      <c r="F13" s="27">
        <v>0.0</v>
      </c>
      <c r="G13" s="24" t="s">
        <v>21</v>
      </c>
      <c r="H13" s="12"/>
      <c r="I13" s="12"/>
      <c r="J13" s="12"/>
      <c r="K13" s="12"/>
      <c r="L13" s="10">
        <f t="shared" si="1"/>
        <v>0.5</v>
      </c>
      <c r="M13" s="10">
        <f t="shared" si="2"/>
        <v>0</v>
      </c>
      <c r="N13" s="10">
        <f>IFERROR(__xludf.DUMMYFUNCTION("INT(FILTER(GT(E13,0),ISNUMBER(E13)))"),1.0)</f>
        <v>1</v>
      </c>
      <c r="O13" s="10">
        <f t="shared" si="3"/>
        <v>1</v>
      </c>
      <c r="P13" s="10">
        <f>IFERROR(__xludf.DUMMYFUNCTION("INT(FILTER(EQ(D13,E13),ISNUMBER(D13),ISNUMBER(E13)))"),0.0)</f>
        <v>0</v>
      </c>
    </row>
    <row r="14">
      <c r="A14" s="1" t="s">
        <v>236</v>
      </c>
      <c r="B14" s="7" t="s">
        <v>237</v>
      </c>
      <c r="C14" s="25" t="s">
        <v>3589</v>
      </c>
      <c r="D14" s="26">
        <f>VLOOKUP(A14,'Web_of_Science_20251015 '!A:E,5,0)</f>
        <v>1</v>
      </c>
      <c r="E14" s="27">
        <v>1.0</v>
      </c>
      <c r="F14" s="27">
        <v>0.0</v>
      </c>
      <c r="G14" s="24" t="s">
        <v>21</v>
      </c>
      <c r="H14" s="12"/>
      <c r="I14" s="12"/>
      <c r="J14" s="12"/>
      <c r="K14" s="12"/>
      <c r="L14" s="10">
        <f t="shared" si="1"/>
        <v>1</v>
      </c>
      <c r="M14" s="10">
        <f t="shared" si="2"/>
        <v>0</v>
      </c>
      <c r="N14" s="10">
        <f>IFERROR(__xludf.DUMMYFUNCTION("INT(FILTER(GT(E14,0),ISNUMBER(E14)))"),1.0)</f>
        <v>1</v>
      </c>
      <c r="O14" s="10">
        <f t="shared" si="3"/>
        <v>1</v>
      </c>
      <c r="P14" s="10">
        <f>IFERROR(__xludf.DUMMYFUNCTION("INT(FILTER(EQ(D14,E14),ISNUMBER(D14),ISNUMBER(E14)))"),1.0)</f>
        <v>1</v>
      </c>
    </row>
    <row r="15">
      <c r="A15" s="1" t="s">
        <v>256</v>
      </c>
      <c r="B15" s="7" t="s">
        <v>257</v>
      </c>
      <c r="C15" s="25" t="s">
        <v>3584</v>
      </c>
      <c r="D15" s="26">
        <f>VLOOKUP(A15,'Web_of_Science_20251015 '!A:E,5,0)</f>
        <v>2</v>
      </c>
      <c r="E15" s="28">
        <v>1.0</v>
      </c>
      <c r="F15" s="27">
        <v>0.0</v>
      </c>
      <c r="G15" s="24" t="s">
        <v>21</v>
      </c>
      <c r="H15" s="12"/>
      <c r="I15" s="12"/>
      <c r="J15" s="12"/>
      <c r="K15" s="12"/>
      <c r="L15" s="10">
        <f t="shared" si="1"/>
        <v>0.5</v>
      </c>
      <c r="M15" s="10">
        <f t="shared" si="2"/>
        <v>0</v>
      </c>
      <c r="N15" s="10">
        <f>IFERROR(__xludf.DUMMYFUNCTION("INT(FILTER(GT(E15,0),ISNUMBER(E15)))"),1.0)</f>
        <v>1</v>
      </c>
      <c r="O15" s="10">
        <f t="shared" si="3"/>
        <v>1</v>
      </c>
      <c r="P15" s="10">
        <f>IFERROR(__xludf.DUMMYFUNCTION("INT(FILTER(EQ(D15,E15),ISNUMBER(D15),ISNUMBER(E15)))"),0.0)</f>
        <v>0</v>
      </c>
    </row>
    <row r="16">
      <c r="A16" s="1" t="s">
        <v>258</v>
      </c>
      <c r="B16" s="7" t="s">
        <v>259</v>
      </c>
      <c r="C16" s="25" t="s">
        <v>3590</v>
      </c>
      <c r="D16" s="26">
        <f>VLOOKUP(A16,'Web_of_Science_20251015 '!A:E,5,0)</f>
        <v>1</v>
      </c>
      <c r="E16" s="27">
        <v>1.0</v>
      </c>
      <c r="F16" s="27">
        <v>0.0</v>
      </c>
      <c r="G16" s="24" t="s">
        <v>21</v>
      </c>
      <c r="H16" s="12"/>
      <c r="I16" s="12"/>
      <c r="J16" s="12"/>
      <c r="K16" s="12"/>
      <c r="L16" s="10">
        <f t="shared" si="1"/>
        <v>1</v>
      </c>
      <c r="M16" s="10">
        <f t="shared" si="2"/>
        <v>0</v>
      </c>
      <c r="N16" s="10">
        <f>IFERROR(__xludf.DUMMYFUNCTION("INT(FILTER(GT(E16,0),ISNUMBER(E16)))"),1.0)</f>
        <v>1</v>
      </c>
      <c r="O16" s="10">
        <f t="shared" si="3"/>
        <v>1</v>
      </c>
      <c r="P16" s="10">
        <f>IFERROR(__xludf.DUMMYFUNCTION("INT(FILTER(EQ(D16,E16),ISNUMBER(D16),ISNUMBER(E16)))"),1.0)</f>
        <v>1</v>
      </c>
    </row>
    <row r="17">
      <c r="A17" s="1" t="s">
        <v>269</v>
      </c>
      <c r="B17" s="7" t="s">
        <v>270</v>
      </c>
      <c r="C17" s="25" t="s">
        <v>3584</v>
      </c>
      <c r="D17" s="26">
        <f>VLOOKUP(A17,'Web_of_Science_20251015 '!A:E,5,0)</f>
        <v>2</v>
      </c>
      <c r="E17" s="28">
        <v>1.0</v>
      </c>
      <c r="F17" s="27">
        <v>0.0</v>
      </c>
      <c r="G17" s="24" t="s">
        <v>21</v>
      </c>
      <c r="H17" s="12"/>
      <c r="I17" s="12"/>
      <c r="J17" s="12"/>
      <c r="K17" s="12"/>
      <c r="L17" s="10">
        <f t="shared" si="1"/>
        <v>0.5</v>
      </c>
      <c r="M17" s="10">
        <f t="shared" si="2"/>
        <v>0</v>
      </c>
      <c r="N17" s="10">
        <f>IFERROR(__xludf.DUMMYFUNCTION("INT(FILTER(GT(E17,0),ISNUMBER(E17)))"),1.0)</f>
        <v>1</v>
      </c>
      <c r="O17" s="10">
        <f t="shared" si="3"/>
        <v>1</v>
      </c>
      <c r="P17" s="10">
        <f>IFERROR(__xludf.DUMMYFUNCTION("INT(FILTER(EQ(D17,E17),ISNUMBER(D17),ISNUMBER(E17)))"),0.0)</f>
        <v>0</v>
      </c>
    </row>
    <row r="18">
      <c r="A18" s="1" t="s">
        <v>277</v>
      </c>
      <c r="B18" s="7" t="s">
        <v>278</v>
      </c>
      <c r="C18" s="25" t="s">
        <v>3591</v>
      </c>
      <c r="D18" s="26">
        <f>VLOOKUP(A18,'Web_of_Science_20251015 '!A:E,5,0)</f>
        <v>5</v>
      </c>
      <c r="E18" s="28">
        <v>3.0</v>
      </c>
      <c r="F18" s="28">
        <v>0.0</v>
      </c>
      <c r="G18" s="24" t="s">
        <v>21</v>
      </c>
      <c r="H18" s="12"/>
      <c r="I18" s="12"/>
      <c r="J18" s="12"/>
      <c r="K18" s="12"/>
      <c r="L18" s="10">
        <f t="shared" si="1"/>
        <v>0.6</v>
      </c>
      <c r="M18" s="10">
        <f t="shared" si="2"/>
        <v>0</v>
      </c>
      <c r="N18" s="10">
        <f>IFERROR(__xludf.DUMMYFUNCTION("INT(FILTER(GT(E18,0),ISNUMBER(E18)))"),1.0)</f>
        <v>1</v>
      </c>
      <c r="O18" s="10">
        <f t="shared" si="3"/>
        <v>1</v>
      </c>
      <c r="P18" s="10">
        <f>IFERROR(__xludf.DUMMYFUNCTION("INT(FILTER(EQ(D18,E18),ISNUMBER(D18),ISNUMBER(E18)))"),0.0)</f>
        <v>0</v>
      </c>
    </row>
    <row r="19">
      <c r="A19" s="1" t="s">
        <v>281</v>
      </c>
      <c r="B19" s="7" t="s">
        <v>282</v>
      </c>
      <c r="C19" s="25" t="s">
        <v>3592</v>
      </c>
      <c r="D19" s="26">
        <f>VLOOKUP(A19,'Web_of_Science_20251015 '!A:E,5,0)</f>
        <v>3</v>
      </c>
      <c r="E19" s="27">
        <v>1.0</v>
      </c>
      <c r="F19" s="27">
        <v>0.0</v>
      </c>
      <c r="G19" s="24" t="s">
        <v>21</v>
      </c>
      <c r="H19" s="12"/>
      <c r="I19" s="12"/>
      <c r="J19" s="12"/>
      <c r="K19" s="12"/>
      <c r="L19" s="10">
        <f t="shared" si="1"/>
        <v>0.3333333333</v>
      </c>
      <c r="M19" s="10">
        <f t="shared" si="2"/>
        <v>0</v>
      </c>
      <c r="N19" s="10">
        <f>IFERROR(__xludf.DUMMYFUNCTION("INT(FILTER(GT(E19,0),ISNUMBER(E19)))"),1.0)</f>
        <v>1</v>
      </c>
      <c r="O19" s="10">
        <f t="shared" si="3"/>
        <v>1</v>
      </c>
      <c r="P19" s="10">
        <f>IFERROR(__xludf.DUMMYFUNCTION("INT(FILTER(EQ(D19,E19),ISNUMBER(D19),ISNUMBER(E19)))"),0.0)</f>
        <v>0</v>
      </c>
    </row>
    <row r="20">
      <c r="A20" s="1" t="s">
        <v>310</v>
      </c>
      <c r="B20" s="7" t="s">
        <v>311</v>
      </c>
      <c r="C20" s="25" t="s">
        <v>3593</v>
      </c>
      <c r="D20" s="26">
        <f>VLOOKUP(A20,'Web_of_Science_20251015 '!A:E,5,0)</f>
        <v>3</v>
      </c>
      <c r="E20" s="27">
        <v>3.0</v>
      </c>
      <c r="F20" s="27">
        <v>0.0</v>
      </c>
      <c r="G20" s="24" t="s">
        <v>21</v>
      </c>
      <c r="H20" s="12"/>
      <c r="I20" s="12"/>
      <c r="J20" s="12"/>
      <c r="K20" s="12"/>
      <c r="L20" s="10">
        <f t="shared" si="1"/>
        <v>1</v>
      </c>
      <c r="M20" s="10">
        <f t="shared" si="2"/>
        <v>0</v>
      </c>
      <c r="N20" s="10">
        <f>IFERROR(__xludf.DUMMYFUNCTION("INT(FILTER(GT(E20,0),ISNUMBER(E20)))"),1.0)</f>
        <v>1</v>
      </c>
      <c r="O20" s="10">
        <f t="shared" si="3"/>
        <v>1</v>
      </c>
      <c r="P20" s="10">
        <f>IFERROR(__xludf.DUMMYFUNCTION("INT(FILTER(EQ(D20,E20),ISNUMBER(D20),ISNUMBER(E20)))"),1.0)</f>
        <v>1</v>
      </c>
    </row>
    <row r="21">
      <c r="A21" s="1" t="s">
        <v>337</v>
      </c>
      <c r="B21" s="7" t="s">
        <v>338</v>
      </c>
      <c r="C21" s="25" t="s">
        <v>3584</v>
      </c>
      <c r="D21" s="26">
        <f>VLOOKUP(A21,'Web_of_Science_20251015 '!A:E,5,0)</f>
        <v>4</v>
      </c>
      <c r="E21" s="28">
        <v>1.0</v>
      </c>
      <c r="F21" s="28">
        <v>0.0</v>
      </c>
      <c r="G21" s="24" t="s">
        <v>21</v>
      </c>
      <c r="H21" s="12"/>
      <c r="I21" s="12"/>
      <c r="J21" s="12"/>
      <c r="K21" s="12"/>
      <c r="L21" s="10">
        <f t="shared" si="1"/>
        <v>0.25</v>
      </c>
      <c r="M21" s="10">
        <f t="shared" si="2"/>
        <v>0</v>
      </c>
      <c r="N21" s="10">
        <f>IFERROR(__xludf.DUMMYFUNCTION("INT(FILTER(GT(E21,0),ISNUMBER(E21)))"),1.0)</f>
        <v>1</v>
      </c>
      <c r="O21" s="10">
        <f t="shared" si="3"/>
        <v>1</v>
      </c>
      <c r="P21" s="10">
        <f>IFERROR(__xludf.DUMMYFUNCTION("INT(FILTER(EQ(D21,E21),ISNUMBER(D21),ISNUMBER(E21)))"),0.0)</f>
        <v>0</v>
      </c>
    </row>
    <row r="22">
      <c r="A22" s="1" t="s">
        <v>341</v>
      </c>
      <c r="B22" s="7" t="s">
        <v>342</v>
      </c>
      <c r="C22" s="25" t="s">
        <v>3594</v>
      </c>
      <c r="D22" s="26">
        <f>VLOOKUP(A22,'Web_of_Science_20251015 '!A:E,5,0)</f>
        <v>3</v>
      </c>
      <c r="E22" s="27">
        <v>3.0</v>
      </c>
      <c r="F22" s="27">
        <v>0.0</v>
      </c>
      <c r="G22" s="24" t="s">
        <v>21</v>
      </c>
      <c r="H22" s="12"/>
      <c r="I22" s="12"/>
      <c r="J22" s="12"/>
      <c r="K22" s="12"/>
      <c r="L22" s="10">
        <f t="shared" si="1"/>
        <v>1</v>
      </c>
      <c r="M22" s="10">
        <f t="shared" si="2"/>
        <v>0</v>
      </c>
      <c r="N22" s="10">
        <f>IFERROR(__xludf.DUMMYFUNCTION("INT(FILTER(GT(E22,0),ISNUMBER(E22)))"),1.0)</f>
        <v>1</v>
      </c>
      <c r="O22" s="10">
        <f t="shared" si="3"/>
        <v>1</v>
      </c>
      <c r="P22" s="12"/>
    </row>
    <row r="23">
      <c r="A23" s="1" t="s">
        <v>345</v>
      </c>
      <c r="B23" s="7" t="s">
        <v>346</v>
      </c>
      <c r="C23" s="25" t="s">
        <v>3595</v>
      </c>
      <c r="D23" s="26">
        <f>VLOOKUP(A23,'Web_of_Science_20251015 '!A:E,5,0)</f>
        <v>2</v>
      </c>
      <c r="E23" s="28">
        <v>1.0</v>
      </c>
      <c r="F23" s="28">
        <v>0.0</v>
      </c>
      <c r="G23" s="24" t="s">
        <v>21</v>
      </c>
      <c r="H23" s="12"/>
      <c r="I23" s="12"/>
      <c r="J23" s="12"/>
      <c r="K23" s="12"/>
      <c r="L23" s="10">
        <f t="shared" si="1"/>
        <v>0.5</v>
      </c>
      <c r="M23" s="10">
        <f t="shared" si="2"/>
        <v>0</v>
      </c>
      <c r="N23" s="10">
        <f>IFERROR(__xludf.DUMMYFUNCTION("INT(FILTER(GT(E23,0),ISNUMBER(E23)))"),1.0)</f>
        <v>1</v>
      </c>
      <c r="O23" s="10">
        <f t="shared" si="3"/>
        <v>1</v>
      </c>
      <c r="P23" s="10">
        <f>IFERROR(__xludf.DUMMYFUNCTION("INT(FILTER(EQ(D23,E23),ISNUMBER(D23),ISNUMBER(E23)))"),0.0)</f>
        <v>0</v>
      </c>
    </row>
    <row r="24">
      <c r="A24" s="1" t="s">
        <v>349</v>
      </c>
      <c r="B24" s="7" t="s">
        <v>350</v>
      </c>
      <c r="C24" s="25" t="s">
        <v>3596</v>
      </c>
      <c r="D24" s="26">
        <f>VLOOKUP(A24,'Web_of_Science_20251015 '!A:E,5,0)</f>
        <v>3</v>
      </c>
      <c r="E24" s="27">
        <v>3.0</v>
      </c>
      <c r="F24" s="27">
        <v>0.0</v>
      </c>
      <c r="G24" s="24" t="s">
        <v>21</v>
      </c>
      <c r="H24" s="12"/>
      <c r="I24" s="12"/>
      <c r="J24" s="12"/>
      <c r="K24" s="12"/>
      <c r="L24" s="10">
        <f t="shared" si="1"/>
        <v>1</v>
      </c>
      <c r="M24" s="10">
        <f t="shared" si="2"/>
        <v>0</v>
      </c>
      <c r="N24" s="10">
        <f>IFERROR(__xludf.DUMMYFUNCTION("INT(FILTER(GT(E24,0),ISNUMBER(E24)))"),1.0)</f>
        <v>1</v>
      </c>
      <c r="O24" s="10">
        <f t="shared" si="3"/>
        <v>1</v>
      </c>
      <c r="P24" s="10">
        <f>IFERROR(__xludf.DUMMYFUNCTION("INT(FILTER(EQ(D24,E24),ISNUMBER(D24),ISNUMBER(E24)))"),1.0)</f>
        <v>1</v>
      </c>
    </row>
    <row r="25">
      <c r="A25" s="1" t="s">
        <v>353</v>
      </c>
      <c r="B25" s="7" t="s">
        <v>354</v>
      </c>
      <c r="C25" s="25" t="s">
        <v>3597</v>
      </c>
      <c r="D25" s="26">
        <f>VLOOKUP(A25,'Web_of_Science_20251015 '!A:E,5,0)</f>
        <v>1</v>
      </c>
      <c r="E25" s="27">
        <v>1.0</v>
      </c>
      <c r="F25" s="27">
        <v>0.0</v>
      </c>
      <c r="G25" s="24" t="s">
        <v>21</v>
      </c>
      <c r="H25" s="12"/>
      <c r="I25" s="12"/>
      <c r="J25" s="12"/>
      <c r="K25" s="12"/>
      <c r="L25" s="10">
        <f t="shared" si="1"/>
        <v>1</v>
      </c>
      <c r="M25" s="10">
        <f t="shared" si="2"/>
        <v>0</v>
      </c>
      <c r="N25" s="10">
        <f>IFERROR(__xludf.DUMMYFUNCTION("INT(FILTER(GT(E25,0),ISNUMBER(E25)))"),1.0)</f>
        <v>1</v>
      </c>
      <c r="O25" s="10">
        <f t="shared" si="3"/>
        <v>1</v>
      </c>
      <c r="P25" s="10">
        <f>IFERROR(__xludf.DUMMYFUNCTION("INT(FILTER(EQ(D25,E25),ISNUMBER(D25),ISNUMBER(E25)))"),1.0)</f>
        <v>1</v>
      </c>
    </row>
    <row r="26">
      <c r="A26" s="1" t="s">
        <v>369</v>
      </c>
      <c r="B26" s="7" t="s">
        <v>370</v>
      </c>
      <c r="C26" s="25" t="s">
        <v>3598</v>
      </c>
      <c r="D26" s="26">
        <f>VLOOKUP(A26,'Web_of_Science_20251015 '!A:E,5,0)</f>
        <v>1</v>
      </c>
      <c r="E26" s="27">
        <v>1.0</v>
      </c>
      <c r="F26" s="27">
        <v>0.0</v>
      </c>
      <c r="G26" s="24" t="s">
        <v>21</v>
      </c>
      <c r="H26" s="12"/>
      <c r="I26" s="12"/>
      <c r="J26" s="12"/>
      <c r="K26" s="12"/>
      <c r="L26" s="10">
        <f t="shared" si="1"/>
        <v>1</v>
      </c>
      <c r="M26" s="10">
        <f t="shared" si="2"/>
        <v>0</v>
      </c>
      <c r="N26" s="10">
        <f>IFERROR(__xludf.DUMMYFUNCTION("INT(FILTER(GT(E26,0),ISNUMBER(E26)))"),1.0)</f>
        <v>1</v>
      </c>
      <c r="O26" s="10">
        <f t="shared" si="3"/>
        <v>1</v>
      </c>
      <c r="P26" s="10">
        <f>IFERROR(__xludf.DUMMYFUNCTION("INT(FILTER(EQ(D26,E26),ISNUMBER(D26),ISNUMBER(E26)))"),1.0)</f>
        <v>1</v>
      </c>
    </row>
    <row r="27">
      <c r="A27" s="1" t="s">
        <v>377</v>
      </c>
      <c r="B27" s="7" t="s">
        <v>378</v>
      </c>
      <c r="C27" s="25" t="s">
        <v>3599</v>
      </c>
      <c r="D27" s="26">
        <f>VLOOKUP(A27,'Web_of_Science_20251015 '!A:E,5,0)</f>
        <v>3</v>
      </c>
      <c r="E27" s="28">
        <v>1.0</v>
      </c>
      <c r="F27" s="28">
        <v>0.0</v>
      </c>
      <c r="G27" s="24" t="s">
        <v>21</v>
      </c>
      <c r="H27" s="12"/>
      <c r="I27" s="12"/>
      <c r="J27" s="12"/>
      <c r="K27" s="12"/>
      <c r="L27" s="10">
        <f t="shared" si="1"/>
        <v>0.3333333333</v>
      </c>
      <c r="M27" s="10">
        <f t="shared" si="2"/>
        <v>0</v>
      </c>
      <c r="N27" s="10">
        <f>IFERROR(__xludf.DUMMYFUNCTION("INT(FILTER(GT(E27,0),ISNUMBER(E27)))"),1.0)</f>
        <v>1</v>
      </c>
      <c r="O27" s="10">
        <f t="shared" si="3"/>
        <v>1</v>
      </c>
      <c r="P27" s="10">
        <f>IFERROR(__xludf.DUMMYFUNCTION("INT(FILTER(EQ(D27,E27),ISNUMBER(D27),ISNUMBER(E27)))"),0.0)</f>
        <v>0</v>
      </c>
    </row>
    <row r="28">
      <c r="A28" s="1" t="s">
        <v>405</v>
      </c>
      <c r="B28" s="7" t="s">
        <v>406</v>
      </c>
      <c r="C28" s="25" t="s">
        <v>3600</v>
      </c>
      <c r="D28" s="26">
        <f>VLOOKUP(A28,'Web_of_Science_20251015 '!A:E,5,0)</f>
        <v>3</v>
      </c>
      <c r="E28" s="28">
        <v>2.0</v>
      </c>
      <c r="F28" s="27">
        <v>0.0</v>
      </c>
      <c r="G28" s="24" t="s">
        <v>21</v>
      </c>
      <c r="H28" s="12"/>
      <c r="I28" s="12"/>
      <c r="J28" s="12"/>
      <c r="K28" s="12"/>
      <c r="L28" s="10">
        <f t="shared" si="1"/>
        <v>0.6666666667</v>
      </c>
      <c r="M28" s="10">
        <f t="shared" si="2"/>
        <v>0</v>
      </c>
      <c r="N28" s="10">
        <f>IFERROR(__xludf.DUMMYFUNCTION("INT(FILTER(GT(E28,0),ISNUMBER(E28)))"),1.0)</f>
        <v>1</v>
      </c>
      <c r="O28" s="10">
        <f t="shared" si="3"/>
        <v>1</v>
      </c>
      <c r="P28" s="10">
        <f>IFERROR(__xludf.DUMMYFUNCTION("INT(FILTER(EQ(D28,E28),ISNUMBER(D28),ISNUMBER(E28)))"),0.0)</f>
        <v>0</v>
      </c>
    </row>
    <row r="29">
      <c r="A29" s="1" t="s">
        <v>419</v>
      </c>
      <c r="B29" s="7" t="s">
        <v>420</v>
      </c>
      <c r="C29" s="25" t="s">
        <v>3601</v>
      </c>
      <c r="D29" s="26">
        <f>VLOOKUP(A29,'Web_of_Science_20251015 '!A:E,5,0)</f>
        <v>2</v>
      </c>
      <c r="E29" s="28">
        <v>1.0</v>
      </c>
      <c r="F29" s="28">
        <v>0.0</v>
      </c>
      <c r="G29" s="24" t="s">
        <v>21</v>
      </c>
      <c r="H29" s="12"/>
      <c r="I29" s="12"/>
      <c r="J29" s="12"/>
      <c r="K29" s="12"/>
      <c r="L29" s="10">
        <f t="shared" si="1"/>
        <v>0.5</v>
      </c>
      <c r="M29" s="10">
        <f t="shared" si="2"/>
        <v>0</v>
      </c>
      <c r="N29" s="10">
        <f>IFERROR(__xludf.DUMMYFUNCTION("INT(FILTER(GT(E29,0),ISNUMBER(E29)))"),1.0)</f>
        <v>1</v>
      </c>
      <c r="O29" s="10">
        <f t="shared" si="3"/>
        <v>1</v>
      </c>
      <c r="P29" s="10">
        <f>IFERROR(__xludf.DUMMYFUNCTION("INT(FILTER(EQ(D29,E29),ISNUMBER(D29),ISNUMBER(E29)))"),0.0)</f>
        <v>0</v>
      </c>
    </row>
    <row r="30">
      <c r="A30" s="1" t="s">
        <v>471</v>
      </c>
      <c r="B30" s="7" t="s">
        <v>472</v>
      </c>
      <c r="C30" s="25" t="s">
        <v>3602</v>
      </c>
      <c r="D30" s="26">
        <f>VLOOKUP(A30,'Web_of_Science_20251015 '!A:E,5,0)</f>
        <v>2</v>
      </c>
      <c r="E30" s="27">
        <v>2.0</v>
      </c>
      <c r="F30" s="27">
        <v>0.0</v>
      </c>
      <c r="G30" s="24" t="s">
        <v>21</v>
      </c>
      <c r="H30" s="12"/>
      <c r="I30" s="12"/>
      <c r="J30" s="12"/>
      <c r="K30" s="12"/>
      <c r="L30" s="10">
        <f t="shared" si="1"/>
        <v>1</v>
      </c>
      <c r="M30" s="10">
        <f t="shared" si="2"/>
        <v>0</v>
      </c>
      <c r="N30" s="10">
        <f>IFERROR(__xludf.DUMMYFUNCTION("INT(FILTER(GT(E30,0),ISNUMBER(E30)))"),1.0)</f>
        <v>1</v>
      </c>
      <c r="O30" s="10">
        <f t="shared" si="3"/>
        <v>1</v>
      </c>
      <c r="P30" s="10">
        <f>IFERROR(__xludf.DUMMYFUNCTION("INT(FILTER(EQ(D30,E30),ISNUMBER(D30),ISNUMBER(E30)))"),1.0)</f>
        <v>1</v>
      </c>
    </row>
    <row r="31">
      <c r="A31" s="1" t="s">
        <v>483</v>
      </c>
      <c r="B31" s="7" t="s">
        <v>484</v>
      </c>
      <c r="C31" s="25" t="s">
        <v>3603</v>
      </c>
      <c r="D31" s="26">
        <f>VLOOKUP(A31,'Web_of_Science_20251015 '!A:E,5,0)</f>
        <v>2</v>
      </c>
      <c r="E31" s="28">
        <v>1.0</v>
      </c>
      <c r="F31" s="28">
        <v>0.0</v>
      </c>
      <c r="G31" s="24" t="s">
        <v>21</v>
      </c>
      <c r="H31" s="12"/>
      <c r="I31" s="12"/>
      <c r="J31" s="12"/>
      <c r="K31" s="12"/>
      <c r="L31" s="10">
        <f t="shared" si="1"/>
        <v>0.5</v>
      </c>
      <c r="M31" s="10">
        <f t="shared" si="2"/>
        <v>0</v>
      </c>
      <c r="N31" s="10">
        <f>IFERROR(__xludf.DUMMYFUNCTION("INT(FILTER(GT(E31,0),ISNUMBER(E31)))"),1.0)</f>
        <v>1</v>
      </c>
      <c r="O31" s="10">
        <f t="shared" si="3"/>
        <v>1</v>
      </c>
      <c r="P31" s="10">
        <f>IFERROR(__xludf.DUMMYFUNCTION("INT(FILTER(EQ(D31,E31),ISNUMBER(D31),ISNUMBER(E31)))"),0.0)</f>
        <v>0</v>
      </c>
    </row>
    <row r="32">
      <c r="A32" s="1" t="s">
        <v>487</v>
      </c>
      <c r="B32" s="7" t="s">
        <v>488</v>
      </c>
      <c r="C32" s="25" t="s">
        <v>3604</v>
      </c>
      <c r="D32" s="26">
        <f>VLOOKUP(A32,'Web_of_Science_20251015 '!A:E,5,0)</f>
        <v>2</v>
      </c>
      <c r="E32" s="28">
        <v>2.0</v>
      </c>
      <c r="F32" s="28">
        <v>0.0</v>
      </c>
      <c r="G32" s="24" t="s">
        <v>21</v>
      </c>
      <c r="H32" s="12"/>
      <c r="I32" s="12"/>
      <c r="J32" s="12"/>
      <c r="K32" s="12"/>
      <c r="L32" s="10">
        <f t="shared" si="1"/>
        <v>1</v>
      </c>
      <c r="M32" s="10">
        <f t="shared" si="2"/>
        <v>0</v>
      </c>
      <c r="N32" s="10">
        <f>IFERROR(__xludf.DUMMYFUNCTION("INT(FILTER(GT(E32,0),ISNUMBER(E32)))"),1.0)</f>
        <v>1</v>
      </c>
      <c r="O32" s="10">
        <f t="shared" si="3"/>
        <v>1</v>
      </c>
      <c r="P32" s="10">
        <f>IFERROR(__xludf.DUMMYFUNCTION("INT(FILTER(EQ(D32,E32),ISNUMBER(D32),ISNUMBER(E32)))"),1.0)</f>
        <v>1</v>
      </c>
    </row>
    <row r="33">
      <c r="A33" s="1" t="s">
        <v>502</v>
      </c>
      <c r="B33" s="7" t="s">
        <v>503</v>
      </c>
      <c r="C33" s="25" t="s">
        <v>3584</v>
      </c>
      <c r="D33" s="26">
        <f>VLOOKUP(A33,'Web_of_Science_20251015 '!A:E,5,0)</f>
        <v>3</v>
      </c>
      <c r="E33" s="28">
        <v>1.0</v>
      </c>
      <c r="F33" s="28">
        <v>0.0</v>
      </c>
      <c r="G33" s="24" t="s">
        <v>21</v>
      </c>
      <c r="H33" s="12"/>
      <c r="I33" s="12"/>
      <c r="J33" s="12"/>
      <c r="K33" s="12"/>
      <c r="L33" s="10">
        <f t="shared" si="1"/>
        <v>0.3333333333</v>
      </c>
      <c r="M33" s="10">
        <f t="shared" si="2"/>
        <v>0</v>
      </c>
      <c r="N33" s="10">
        <f>IFERROR(__xludf.DUMMYFUNCTION("INT(FILTER(GT(E33,0),ISNUMBER(E33)))"),1.0)</f>
        <v>1</v>
      </c>
      <c r="O33" s="10">
        <f t="shared" si="3"/>
        <v>1</v>
      </c>
      <c r="P33" s="12"/>
    </row>
    <row r="34">
      <c r="A34" s="1" t="s">
        <v>517</v>
      </c>
      <c r="B34" s="7" t="s">
        <v>518</v>
      </c>
      <c r="C34" s="25" t="s">
        <v>3605</v>
      </c>
      <c r="D34" s="26">
        <f>VLOOKUP(A34,'Web_of_Science_20251015 '!A:E,5,0)</f>
        <v>4</v>
      </c>
      <c r="E34" s="27">
        <v>3.0</v>
      </c>
      <c r="F34" s="27">
        <v>0.0</v>
      </c>
      <c r="G34" s="24" t="s">
        <v>21</v>
      </c>
      <c r="H34" s="12"/>
      <c r="I34" s="12"/>
      <c r="J34" s="12"/>
      <c r="K34" s="12"/>
      <c r="L34" s="10">
        <f t="shared" si="1"/>
        <v>0.75</v>
      </c>
      <c r="M34" s="10">
        <f t="shared" si="2"/>
        <v>0</v>
      </c>
      <c r="N34" s="10">
        <f>IFERROR(__xludf.DUMMYFUNCTION("INT(FILTER(GT(E34,0),ISNUMBER(E34)))"),1.0)</f>
        <v>1</v>
      </c>
      <c r="O34" s="10">
        <f t="shared" si="3"/>
        <v>1</v>
      </c>
      <c r="P34" s="10">
        <f>IFERROR(__xludf.DUMMYFUNCTION("INT(FILTER(EQ(D34,E34),ISNUMBER(D34),ISNUMBER(E34)))"),0.0)</f>
        <v>0</v>
      </c>
    </row>
    <row r="35">
      <c r="A35" s="1" t="s">
        <v>529</v>
      </c>
      <c r="B35" s="7" t="s">
        <v>530</v>
      </c>
      <c r="C35" s="25" t="s">
        <v>3606</v>
      </c>
      <c r="D35" s="26">
        <f>VLOOKUP(A35,'Web_of_Science_20251015 '!A:E,5,0)</f>
        <v>4</v>
      </c>
      <c r="E35" s="28">
        <v>2.0</v>
      </c>
      <c r="F35" s="28">
        <v>0.0</v>
      </c>
      <c r="G35" s="24" t="s">
        <v>21</v>
      </c>
      <c r="H35" s="12"/>
      <c r="I35" s="12"/>
      <c r="J35" s="12"/>
      <c r="K35" s="12"/>
      <c r="L35" s="10">
        <f t="shared" si="1"/>
        <v>0.5</v>
      </c>
      <c r="M35" s="10">
        <f t="shared" si="2"/>
        <v>0</v>
      </c>
      <c r="N35" s="10">
        <f>IFERROR(__xludf.DUMMYFUNCTION("INT(FILTER(GT(E35,0),ISNUMBER(E35)))"),1.0)</f>
        <v>1</v>
      </c>
      <c r="O35" s="10">
        <f t="shared" si="3"/>
        <v>1</v>
      </c>
      <c r="P35" s="10">
        <f>IFERROR(__xludf.DUMMYFUNCTION("INT(FILTER(EQ(D35,E35),ISNUMBER(D35),ISNUMBER(E35)))"),0.0)</f>
        <v>0</v>
      </c>
    </row>
    <row r="36">
      <c r="A36" s="1" t="s">
        <v>533</v>
      </c>
      <c r="B36" s="7" t="s">
        <v>534</v>
      </c>
      <c r="C36" s="25" t="s">
        <v>3607</v>
      </c>
      <c r="D36" s="26">
        <f>VLOOKUP(A36,'Web_of_Science_20251015 '!A:E,5,0)</f>
        <v>2</v>
      </c>
      <c r="E36" s="27">
        <v>2.0</v>
      </c>
      <c r="F36" s="27">
        <v>0.0</v>
      </c>
      <c r="G36" s="24" t="s">
        <v>21</v>
      </c>
      <c r="H36" s="12"/>
      <c r="I36" s="12"/>
      <c r="J36" s="12"/>
      <c r="K36" s="12"/>
      <c r="L36" s="10">
        <f t="shared" si="1"/>
        <v>1</v>
      </c>
      <c r="M36" s="10">
        <f t="shared" si="2"/>
        <v>0</v>
      </c>
      <c r="N36" s="10">
        <f>IFERROR(__xludf.DUMMYFUNCTION("INT(FILTER(GT(E36,0),ISNUMBER(E36)))"),1.0)</f>
        <v>1</v>
      </c>
      <c r="O36" s="10">
        <f t="shared" si="3"/>
        <v>1</v>
      </c>
      <c r="P36" s="10">
        <f>IFERROR(__xludf.DUMMYFUNCTION("INT(FILTER(EQ(D36,E36),ISNUMBER(D36),ISNUMBER(E36)))"),1.0)</f>
        <v>1</v>
      </c>
    </row>
    <row r="37">
      <c r="A37" s="1" t="s">
        <v>541</v>
      </c>
      <c r="B37" s="7" t="s">
        <v>542</v>
      </c>
      <c r="C37" s="25" t="s">
        <v>3608</v>
      </c>
      <c r="D37" s="26">
        <f>VLOOKUP(A37,'Web_of_Science_20251015 '!A:E,5,0)</f>
        <v>1</v>
      </c>
      <c r="E37" s="27">
        <v>1.0</v>
      </c>
      <c r="F37" s="27">
        <v>0.0</v>
      </c>
      <c r="G37" s="24" t="s">
        <v>21</v>
      </c>
      <c r="H37" s="12"/>
      <c r="I37" s="12"/>
      <c r="J37" s="12"/>
      <c r="K37" s="12"/>
      <c r="L37" s="10">
        <f t="shared" si="1"/>
        <v>1</v>
      </c>
      <c r="M37" s="10">
        <f t="shared" si="2"/>
        <v>0</v>
      </c>
      <c r="N37" s="10">
        <f>IFERROR(__xludf.DUMMYFUNCTION("INT(FILTER(GT(E37,0),ISNUMBER(E37)))"),1.0)</f>
        <v>1</v>
      </c>
      <c r="O37" s="10">
        <f t="shared" si="3"/>
        <v>1</v>
      </c>
      <c r="P37" s="10">
        <f>IFERROR(__xludf.DUMMYFUNCTION("INT(FILTER(EQ(D37,E37),ISNUMBER(D37),ISNUMBER(E37)))"),1.0)</f>
        <v>1</v>
      </c>
    </row>
    <row r="38">
      <c r="A38" s="1" t="s">
        <v>567</v>
      </c>
      <c r="B38" s="7" t="s">
        <v>568</v>
      </c>
      <c r="C38" s="25" t="s">
        <v>3609</v>
      </c>
      <c r="D38" s="26">
        <f>VLOOKUP(A38,'Web_of_Science_20251015 '!A:E,5,0)</f>
        <v>1</v>
      </c>
      <c r="E38" s="27">
        <v>1.0</v>
      </c>
      <c r="F38" s="27">
        <v>0.0</v>
      </c>
      <c r="G38" s="24" t="s">
        <v>21</v>
      </c>
      <c r="H38" s="12"/>
      <c r="I38" s="12"/>
      <c r="J38" s="12"/>
      <c r="K38" s="12"/>
      <c r="L38" s="10">
        <f t="shared" si="1"/>
        <v>1</v>
      </c>
      <c r="M38" s="10">
        <f t="shared" si="2"/>
        <v>0</v>
      </c>
      <c r="N38" s="10">
        <f>IFERROR(__xludf.DUMMYFUNCTION("INT(FILTER(GT(E38,0),ISNUMBER(E38)))"),1.0)</f>
        <v>1</v>
      </c>
      <c r="O38" s="10">
        <f t="shared" si="3"/>
        <v>1</v>
      </c>
      <c r="P38" s="10">
        <f>IFERROR(__xludf.DUMMYFUNCTION("INT(FILTER(EQ(D38,E38),ISNUMBER(D38),ISNUMBER(E38)))"),1.0)</f>
        <v>1</v>
      </c>
    </row>
    <row r="39">
      <c r="A39" s="1" t="s">
        <v>571</v>
      </c>
      <c r="B39" s="7" t="s">
        <v>572</v>
      </c>
      <c r="C39" s="25" t="s">
        <v>3610</v>
      </c>
      <c r="D39" s="26">
        <f>VLOOKUP(A39,'Web_of_Science_20251015 '!A:E,5,0)</f>
        <v>2</v>
      </c>
      <c r="E39" s="27">
        <v>2.0</v>
      </c>
      <c r="F39" s="27">
        <v>0.0</v>
      </c>
      <c r="G39" s="24" t="s">
        <v>21</v>
      </c>
      <c r="H39" s="12"/>
      <c r="I39" s="12"/>
      <c r="J39" s="12"/>
      <c r="K39" s="12"/>
      <c r="L39" s="10">
        <f t="shared" si="1"/>
        <v>1</v>
      </c>
      <c r="M39" s="10">
        <f t="shared" si="2"/>
        <v>0</v>
      </c>
      <c r="N39" s="10">
        <f>IFERROR(__xludf.DUMMYFUNCTION("INT(FILTER(GT(E39,0),ISNUMBER(E39)))"),1.0)</f>
        <v>1</v>
      </c>
      <c r="O39" s="10">
        <f t="shared" si="3"/>
        <v>1</v>
      </c>
      <c r="P39" s="10">
        <f>IFERROR(__xludf.DUMMYFUNCTION("INT(FILTER(EQ(D39,E39),ISNUMBER(D39),ISNUMBER(E39)))"),1.0)</f>
        <v>1</v>
      </c>
    </row>
    <row r="40">
      <c r="A40" s="1" t="s">
        <v>575</v>
      </c>
      <c r="B40" s="7" t="s">
        <v>576</v>
      </c>
      <c r="C40" s="25" t="s">
        <v>3611</v>
      </c>
      <c r="D40" s="26">
        <f>VLOOKUP(A40,'Web_of_Science_20251015 '!A:E,5,0)</f>
        <v>1</v>
      </c>
      <c r="E40" s="27">
        <v>1.0</v>
      </c>
      <c r="F40" s="27">
        <v>0.0</v>
      </c>
      <c r="G40" s="24" t="s">
        <v>21</v>
      </c>
      <c r="H40" s="12"/>
      <c r="I40" s="12"/>
      <c r="J40" s="12"/>
      <c r="K40" s="12"/>
      <c r="L40" s="10">
        <f t="shared" si="1"/>
        <v>1</v>
      </c>
      <c r="M40" s="10">
        <f t="shared" si="2"/>
        <v>0</v>
      </c>
      <c r="N40" s="10">
        <f>IFERROR(__xludf.DUMMYFUNCTION("INT(FILTER(GT(E40,0),ISNUMBER(E40)))"),1.0)</f>
        <v>1</v>
      </c>
      <c r="O40" s="10">
        <f t="shared" si="3"/>
        <v>1</v>
      </c>
      <c r="P40" s="10">
        <f>IFERROR(__xludf.DUMMYFUNCTION("INT(FILTER(EQ(D40,E40),ISNUMBER(D40),ISNUMBER(E40)))"),1.0)</f>
        <v>1</v>
      </c>
    </row>
    <row r="41">
      <c r="A41" s="1" t="s">
        <v>582</v>
      </c>
      <c r="B41" s="7" t="s">
        <v>583</v>
      </c>
      <c r="C41" s="25" t="s">
        <v>3608</v>
      </c>
      <c r="D41" s="26">
        <f>VLOOKUP(A41,'Web_of_Science_20251015 '!A:E,5,0)</f>
        <v>1</v>
      </c>
      <c r="E41" s="27">
        <v>1.0</v>
      </c>
      <c r="F41" s="27">
        <v>0.0</v>
      </c>
      <c r="G41" s="24" t="s">
        <v>21</v>
      </c>
      <c r="H41" s="12"/>
      <c r="I41" s="12"/>
      <c r="J41" s="12"/>
      <c r="K41" s="12"/>
      <c r="L41" s="10">
        <f t="shared" si="1"/>
        <v>1</v>
      </c>
      <c r="M41" s="10">
        <f t="shared" si="2"/>
        <v>0</v>
      </c>
      <c r="N41" s="10">
        <f>IFERROR(__xludf.DUMMYFUNCTION("INT(FILTER(GT(E41,0),ISNUMBER(E41)))"),1.0)</f>
        <v>1</v>
      </c>
      <c r="O41" s="10">
        <f t="shared" si="3"/>
        <v>1</v>
      </c>
      <c r="P41" s="10">
        <f>IFERROR(__xludf.DUMMYFUNCTION("INT(FILTER(EQ(D41,E41),ISNUMBER(D41),ISNUMBER(E41)))"),1.0)</f>
        <v>1</v>
      </c>
    </row>
    <row r="42">
      <c r="A42" s="1" t="s">
        <v>594</v>
      </c>
      <c r="B42" s="7" t="s">
        <v>595</v>
      </c>
      <c r="C42" s="25" t="s">
        <v>3612</v>
      </c>
      <c r="D42" s="26">
        <f>VLOOKUP(A42,'Web_of_Science_20251015 '!A:E,5,0)</f>
        <v>2</v>
      </c>
      <c r="E42" s="27">
        <v>2.0</v>
      </c>
      <c r="F42" s="27">
        <v>0.0</v>
      </c>
      <c r="G42" s="24" t="s">
        <v>21</v>
      </c>
      <c r="H42" s="12"/>
      <c r="I42" s="12"/>
      <c r="J42" s="12"/>
      <c r="K42" s="12"/>
      <c r="L42" s="10">
        <f t="shared" si="1"/>
        <v>1</v>
      </c>
      <c r="M42" s="10">
        <f t="shared" si="2"/>
        <v>0</v>
      </c>
      <c r="N42" s="10">
        <f>IFERROR(__xludf.DUMMYFUNCTION("INT(FILTER(GT(E42,0),ISNUMBER(E42)))"),1.0)</f>
        <v>1</v>
      </c>
      <c r="O42" s="10">
        <f t="shared" si="3"/>
        <v>1</v>
      </c>
      <c r="P42" s="10">
        <f>IFERROR(__xludf.DUMMYFUNCTION("INT(FILTER(EQ(D42,E42),ISNUMBER(D42),ISNUMBER(E42)))"),1.0)</f>
        <v>1</v>
      </c>
    </row>
    <row r="43">
      <c r="A43" s="1" t="s">
        <v>602</v>
      </c>
      <c r="B43" s="7" t="s">
        <v>603</v>
      </c>
      <c r="C43" s="25" t="s">
        <v>3613</v>
      </c>
      <c r="D43" s="26">
        <f>VLOOKUP(A43,'Web_of_Science_20251015 '!A:E,5,0)</f>
        <v>3</v>
      </c>
      <c r="E43" s="28">
        <v>2.0</v>
      </c>
      <c r="F43" s="27">
        <v>0.0</v>
      </c>
      <c r="G43" s="24" t="s">
        <v>21</v>
      </c>
      <c r="H43" s="12"/>
      <c r="I43" s="12"/>
      <c r="J43" s="12"/>
      <c r="K43" s="12"/>
      <c r="L43" s="10">
        <f t="shared" si="1"/>
        <v>0.6666666667</v>
      </c>
      <c r="M43" s="10">
        <f t="shared" si="2"/>
        <v>0</v>
      </c>
      <c r="N43" s="10">
        <f>IFERROR(__xludf.DUMMYFUNCTION("INT(FILTER(GT(E43,0),ISNUMBER(E43)))"),1.0)</f>
        <v>1</v>
      </c>
      <c r="O43" s="10">
        <f t="shared" si="3"/>
        <v>1</v>
      </c>
      <c r="P43" s="10">
        <f>IFERROR(__xludf.DUMMYFUNCTION("INT(FILTER(EQ(D43,E43),ISNUMBER(D43),ISNUMBER(E43)))"),0.0)</f>
        <v>0</v>
      </c>
    </row>
    <row r="44">
      <c r="A44" s="1" t="s">
        <v>615</v>
      </c>
      <c r="B44" s="7" t="s">
        <v>616</v>
      </c>
      <c r="C44" s="25" t="s">
        <v>3614</v>
      </c>
      <c r="D44" s="26">
        <f>VLOOKUP(A44,'Web_of_Science_20251015 '!A:E,5,0)</f>
        <v>2</v>
      </c>
      <c r="E44" s="28">
        <v>1.0</v>
      </c>
      <c r="F44" s="28">
        <v>0.0</v>
      </c>
      <c r="G44" s="24" t="s">
        <v>21</v>
      </c>
      <c r="H44" s="12"/>
      <c r="I44" s="12"/>
      <c r="J44" s="12"/>
      <c r="K44" s="12"/>
      <c r="L44" s="10">
        <f t="shared" si="1"/>
        <v>0.5</v>
      </c>
      <c r="M44" s="10">
        <f t="shared" si="2"/>
        <v>0</v>
      </c>
      <c r="N44" s="10">
        <f>IFERROR(__xludf.DUMMYFUNCTION("INT(FILTER(GT(E44,0),ISNUMBER(E44)))"),1.0)</f>
        <v>1</v>
      </c>
      <c r="O44" s="10">
        <f t="shared" si="3"/>
        <v>1</v>
      </c>
      <c r="P44" s="12"/>
    </row>
    <row r="45">
      <c r="A45" s="1" t="s">
        <v>619</v>
      </c>
      <c r="B45" s="7" t="s">
        <v>620</v>
      </c>
      <c r="C45" s="25" t="s">
        <v>3584</v>
      </c>
      <c r="D45" s="26">
        <f>VLOOKUP(A45,'Web_of_Science_20251015 '!A:E,5,0)</f>
        <v>2</v>
      </c>
      <c r="E45" s="28">
        <v>1.0</v>
      </c>
      <c r="F45" s="28">
        <v>0.0</v>
      </c>
      <c r="G45" s="24" t="s">
        <v>21</v>
      </c>
      <c r="H45" s="12"/>
      <c r="I45" s="12"/>
      <c r="J45" s="12"/>
      <c r="K45" s="12"/>
      <c r="L45" s="10">
        <f t="shared" si="1"/>
        <v>0.5</v>
      </c>
      <c r="M45" s="10">
        <f t="shared" si="2"/>
        <v>0</v>
      </c>
      <c r="N45" s="10">
        <f>IFERROR(__xludf.DUMMYFUNCTION("INT(FILTER(GT(E45,0),ISNUMBER(E45)))"),1.0)</f>
        <v>1</v>
      </c>
      <c r="O45" s="10">
        <f t="shared" si="3"/>
        <v>1</v>
      </c>
      <c r="P45" s="10">
        <f>IFERROR(__xludf.DUMMYFUNCTION("INT(FILTER(EQ(D45,E45),ISNUMBER(D45),ISNUMBER(E45)))"),0.0)</f>
        <v>0</v>
      </c>
    </row>
    <row r="46">
      <c r="A46" s="1" t="s">
        <v>621</v>
      </c>
      <c r="B46" s="7" t="s">
        <v>622</v>
      </c>
      <c r="C46" s="25" t="s">
        <v>3599</v>
      </c>
      <c r="D46" s="26">
        <f>VLOOKUP(A46,'Web_of_Science_20251015 '!A:E,5,0)</f>
        <v>1</v>
      </c>
      <c r="E46" s="27">
        <v>1.0</v>
      </c>
      <c r="F46" s="27">
        <v>0.0</v>
      </c>
      <c r="G46" s="24" t="s">
        <v>21</v>
      </c>
      <c r="H46" s="12"/>
      <c r="I46" s="12"/>
      <c r="J46" s="12"/>
      <c r="K46" s="12"/>
      <c r="L46" s="10">
        <f t="shared" si="1"/>
        <v>1</v>
      </c>
      <c r="M46" s="10">
        <f t="shared" si="2"/>
        <v>0</v>
      </c>
      <c r="N46" s="10">
        <f>IFERROR(__xludf.DUMMYFUNCTION("INT(FILTER(GT(E46,0),ISNUMBER(E46)))"),1.0)</f>
        <v>1</v>
      </c>
      <c r="O46" s="10">
        <f t="shared" si="3"/>
        <v>1</v>
      </c>
      <c r="P46" s="10">
        <f>IFERROR(__xludf.DUMMYFUNCTION("INT(FILTER(EQ(D46,E46),ISNUMBER(D46),ISNUMBER(E46)))"),1.0)</f>
        <v>1</v>
      </c>
    </row>
    <row r="47">
      <c r="A47" s="1" t="s">
        <v>625</v>
      </c>
      <c r="B47" s="7" t="s">
        <v>626</v>
      </c>
      <c r="C47" s="25" t="s">
        <v>3584</v>
      </c>
      <c r="D47" s="26">
        <f>VLOOKUP(A47,'Web_of_Science_20251015 '!A:E,5,0)</f>
        <v>2</v>
      </c>
      <c r="E47" s="28">
        <v>0.0</v>
      </c>
      <c r="F47" s="28">
        <v>1.0</v>
      </c>
      <c r="G47" s="24" t="s">
        <v>21</v>
      </c>
      <c r="H47" s="12"/>
      <c r="I47" s="12"/>
      <c r="J47" s="12"/>
      <c r="K47" s="12"/>
      <c r="L47" s="10">
        <f t="shared" si="1"/>
        <v>0</v>
      </c>
      <c r="M47" s="10">
        <f t="shared" si="2"/>
        <v>0.5</v>
      </c>
      <c r="N47" s="10">
        <f>IFERROR(__xludf.DUMMYFUNCTION("INT(FILTER(GT(E47,0),ISNUMBER(E47)))"),0.0)</f>
        <v>0</v>
      </c>
      <c r="O47" s="10">
        <f t="shared" si="3"/>
        <v>0</v>
      </c>
      <c r="P47" s="10">
        <f>IFERROR(__xludf.DUMMYFUNCTION("INT(FILTER(EQ(D47,E47),ISNUMBER(D47),ISNUMBER(E47)))"),0.0)</f>
        <v>0</v>
      </c>
    </row>
    <row r="48">
      <c r="A48" s="1" t="s">
        <v>629</v>
      </c>
      <c r="B48" s="7" t="s">
        <v>630</v>
      </c>
      <c r="C48" s="25" t="s">
        <v>3615</v>
      </c>
      <c r="D48" s="26">
        <f>VLOOKUP(A48,'Web_of_Science_20251015 '!A:E,5,0)</f>
        <v>2</v>
      </c>
      <c r="E48" s="28">
        <v>0.0</v>
      </c>
      <c r="F48" s="28">
        <v>1.0</v>
      </c>
      <c r="G48" s="24" t="s">
        <v>21</v>
      </c>
      <c r="H48" s="12"/>
      <c r="I48" s="12"/>
      <c r="J48" s="12"/>
      <c r="K48" s="12"/>
      <c r="L48" s="10">
        <f t="shared" si="1"/>
        <v>0</v>
      </c>
      <c r="M48" s="10">
        <f t="shared" si="2"/>
        <v>0.5</v>
      </c>
      <c r="N48" s="10">
        <f>IFERROR(__xludf.DUMMYFUNCTION("INT(FILTER(GT(E48,0),ISNUMBER(E48)))"),0.0)</f>
        <v>0</v>
      </c>
      <c r="O48" s="10">
        <f t="shared" si="3"/>
        <v>0</v>
      </c>
      <c r="P48" s="10">
        <f>IFERROR(__xludf.DUMMYFUNCTION("INT(FILTER(EQ(D48,E48),ISNUMBER(D48),ISNUMBER(E48)))"),0.0)</f>
        <v>0</v>
      </c>
    </row>
    <row r="49">
      <c r="A49" s="1" t="s">
        <v>631</v>
      </c>
      <c r="B49" s="7" t="s">
        <v>632</v>
      </c>
      <c r="C49" s="25" t="s">
        <v>3616</v>
      </c>
      <c r="D49" s="26">
        <f>VLOOKUP(A49,'Web_of_Science_20251015 '!A:E,5,0)</f>
        <v>5</v>
      </c>
      <c r="E49" s="28">
        <v>5.0</v>
      </c>
      <c r="F49" s="28">
        <v>0.0</v>
      </c>
      <c r="G49" s="24" t="s">
        <v>21</v>
      </c>
      <c r="H49" s="12"/>
      <c r="I49" s="12"/>
      <c r="J49" s="12"/>
      <c r="K49" s="12"/>
      <c r="L49" s="10">
        <f t="shared" si="1"/>
        <v>1</v>
      </c>
      <c r="M49" s="10">
        <f t="shared" si="2"/>
        <v>0</v>
      </c>
      <c r="N49" s="10">
        <f>IFERROR(__xludf.DUMMYFUNCTION("INT(FILTER(GT(E49,0),ISNUMBER(E49)))"),1.0)</f>
        <v>1</v>
      </c>
      <c r="O49" s="10">
        <f t="shared" si="3"/>
        <v>1</v>
      </c>
      <c r="P49" s="10">
        <f>IFERROR(__xludf.DUMMYFUNCTION("INT(FILTER(EQ(D49,E49),ISNUMBER(D49),ISNUMBER(E49)))"),1.0)</f>
        <v>1</v>
      </c>
    </row>
    <row r="50">
      <c r="A50" s="1" t="s">
        <v>635</v>
      </c>
      <c r="B50" s="7" t="s">
        <v>636</v>
      </c>
      <c r="C50" s="25" t="s">
        <v>3584</v>
      </c>
      <c r="D50" s="26">
        <f>VLOOKUP(A50,'Web_of_Science_20251015 '!A:E,5,0)</f>
        <v>1</v>
      </c>
      <c r="E50" s="27">
        <v>1.0</v>
      </c>
      <c r="F50" s="27">
        <v>0.0</v>
      </c>
      <c r="G50" s="24" t="s">
        <v>21</v>
      </c>
      <c r="H50" s="12"/>
      <c r="I50" s="12"/>
      <c r="J50" s="12"/>
      <c r="K50" s="12"/>
      <c r="L50" s="10">
        <f t="shared" si="1"/>
        <v>1</v>
      </c>
      <c r="M50" s="10">
        <f t="shared" si="2"/>
        <v>0</v>
      </c>
      <c r="N50" s="10">
        <f>IFERROR(__xludf.DUMMYFUNCTION("INT(FILTER(GT(E50,0),ISNUMBER(E50)))"),1.0)</f>
        <v>1</v>
      </c>
      <c r="O50" s="10">
        <f t="shared" si="3"/>
        <v>1</v>
      </c>
      <c r="P50" s="10">
        <f>IFERROR(__xludf.DUMMYFUNCTION("INT(FILTER(EQ(D50,E50),ISNUMBER(D50),ISNUMBER(E50)))"),1.0)</f>
        <v>1</v>
      </c>
    </row>
    <row r="51">
      <c r="A51" s="1" t="s">
        <v>661</v>
      </c>
      <c r="B51" s="7" t="s">
        <v>662</v>
      </c>
      <c r="C51" s="25" t="s">
        <v>3617</v>
      </c>
      <c r="D51" s="26">
        <f>VLOOKUP(A51,'Web_of_Science_20251015 '!A:E,5,0)</f>
        <v>6</v>
      </c>
      <c r="E51" s="28">
        <v>4.0</v>
      </c>
      <c r="F51" s="28">
        <v>0.0</v>
      </c>
      <c r="G51" s="24" t="s">
        <v>21</v>
      </c>
      <c r="H51" s="12"/>
      <c r="I51" s="12"/>
      <c r="J51" s="12"/>
      <c r="K51" s="12"/>
      <c r="L51" s="10">
        <f t="shared" si="1"/>
        <v>0.6666666667</v>
      </c>
      <c r="M51" s="10">
        <f t="shared" si="2"/>
        <v>0</v>
      </c>
      <c r="N51" s="10">
        <f>IFERROR(__xludf.DUMMYFUNCTION("INT(FILTER(GT(E51,0),ISNUMBER(E51)))"),1.0)</f>
        <v>1</v>
      </c>
      <c r="O51" s="10">
        <f t="shared" si="3"/>
        <v>1</v>
      </c>
      <c r="P51" s="10">
        <f>IFERROR(__xludf.DUMMYFUNCTION("INT(FILTER(EQ(D51,E51),ISNUMBER(D51),ISNUMBER(E51)))"),0.0)</f>
        <v>0</v>
      </c>
    </row>
    <row r="52">
      <c r="A52" s="1" t="s">
        <v>669</v>
      </c>
      <c r="B52" s="7" t="s">
        <v>670</v>
      </c>
      <c r="C52" s="25" t="s">
        <v>3584</v>
      </c>
      <c r="D52" s="26">
        <f>VLOOKUP(A52,'Web_of_Science_20251015 '!A:E,5,0)</f>
        <v>2</v>
      </c>
      <c r="E52" s="28">
        <v>1.0</v>
      </c>
      <c r="F52" s="28">
        <v>0.0</v>
      </c>
      <c r="G52" s="24" t="s">
        <v>21</v>
      </c>
      <c r="H52" s="12"/>
      <c r="I52" s="12"/>
      <c r="J52" s="12"/>
      <c r="K52" s="12"/>
      <c r="L52" s="10">
        <f t="shared" si="1"/>
        <v>0.5</v>
      </c>
      <c r="M52" s="10">
        <f t="shared" si="2"/>
        <v>0</v>
      </c>
      <c r="N52" s="10">
        <f>IFERROR(__xludf.DUMMYFUNCTION("INT(FILTER(GT(E52,0),ISNUMBER(E52)))"),1.0)</f>
        <v>1</v>
      </c>
      <c r="O52" s="10">
        <f t="shared" si="3"/>
        <v>1</v>
      </c>
      <c r="P52" s="10">
        <f>IFERROR(__xludf.DUMMYFUNCTION("INT(FILTER(EQ(D52,E52),ISNUMBER(D52),ISNUMBER(E52)))"),0.0)</f>
        <v>0</v>
      </c>
    </row>
    <row r="53">
      <c r="A53" s="1" t="s">
        <v>673</v>
      </c>
      <c r="B53" s="7" t="s">
        <v>674</v>
      </c>
      <c r="C53" s="25" t="s">
        <v>3618</v>
      </c>
      <c r="D53" s="26">
        <f>VLOOKUP(A53,'Web_of_Science_20251015 '!A:E,5,0)</f>
        <v>19</v>
      </c>
      <c r="E53" s="28">
        <v>16.0</v>
      </c>
      <c r="F53" s="28">
        <v>0.0</v>
      </c>
      <c r="G53" s="24" t="s">
        <v>21</v>
      </c>
      <c r="H53" s="12"/>
      <c r="I53" s="12"/>
      <c r="J53" s="12"/>
      <c r="K53" s="12"/>
      <c r="L53" s="10">
        <f t="shared" si="1"/>
        <v>0.8421052632</v>
      </c>
      <c r="M53" s="10">
        <f t="shared" si="2"/>
        <v>0</v>
      </c>
      <c r="N53" s="10">
        <f>IFERROR(__xludf.DUMMYFUNCTION("INT(FILTER(GT(E53,0),ISNUMBER(E53)))"),1.0)</f>
        <v>1</v>
      </c>
      <c r="O53" s="10">
        <f t="shared" si="3"/>
        <v>1</v>
      </c>
      <c r="P53" s="10">
        <f>IFERROR(__xludf.DUMMYFUNCTION("INT(FILTER(EQ(D53,E53),ISNUMBER(D53),ISNUMBER(E53)))"),0.0)</f>
        <v>0</v>
      </c>
    </row>
    <row r="54">
      <c r="A54" s="1" t="s">
        <v>682</v>
      </c>
      <c r="B54" s="7" t="s">
        <v>683</v>
      </c>
      <c r="C54" s="25" t="s">
        <v>3619</v>
      </c>
      <c r="D54" s="26">
        <f>VLOOKUP(A54,'Web_of_Science_20251015 '!A:E,5,0)</f>
        <v>5</v>
      </c>
      <c r="E54" s="28">
        <v>4.0</v>
      </c>
      <c r="F54" s="28">
        <v>0.0</v>
      </c>
      <c r="G54" s="24" t="s">
        <v>462</v>
      </c>
      <c r="H54" s="12"/>
      <c r="I54" s="12"/>
      <c r="J54" s="12"/>
      <c r="K54" s="12"/>
      <c r="L54" s="10">
        <f t="shared" si="1"/>
        <v>0.8</v>
      </c>
      <c r="M54" s="10">
        <f t="shared" si="2"/>
        <v>0</v>
      </c>
      <c r="N54" s="10">
        <f>IFERROR(__xludf.DUMMYFUNCTION("INT(FILTER(GT(E54,0),ISNUMBER(E54)))"),1.0)</f>
        <v>1</v>
      </c>
      <c r="O54" s="10">
        <f t="shared" si="3"/>
        <v>1</v>
      </c>
      <c r="P54" s="10">
        <f>IFERROR(__xludf.DUMMYFUNCTION("INT(FILTER(EQ(D54,E54),ISNUMBER(D54),ISNUMBER(E54)))"),0.0)</f>
        <v>0</v>
      </c>
    </row>
    <row r="55">
      <c r="A55" s="1" t="s">
        <v>687</v>
      </c>
      <c r="B55" s="7" t="s">
        <v>688</v>
      </c>
      <c r="C55" s="25" t="s">
        <v>3620</v>
      </c>
      <c r="D55" s="26">
        <f>VLOOKUP(A55,'Web_of_Science_20251015 '!A:E,5,0)</f>
        <v>9</v>
      </c>
      <c r="E55" s="28">
        <v>5.0</v>
      </c>
      <c r="F55" s="28">
        <v>1.0</v>
      </c>
      <c r="G55" s="24" t="s">
        <v>462</v>
      </c>
      <c r="H55" s="12"/>
      <c r="I55" s="12"/>
      <c r="J55" s="12"/>
      <c r="K55" s="12"/>
      <c r="L55" s="10">
        <f t="shared" si="1"/>
        <v>0.5555555556</v>
      </c>
      <c r="M55" s="10">
        <f t="shared" si="2"/>
        <v>0.1111111111</v>
      </c>
      <c r="N55" s="10">
        <f>IFERROR(__xludf.DUMMYFUNCTION("INT(FILTER(GT(E55,0),ISNUMBER(E55)))"),1.0)</f>
        <v>1</v>
      </c>
      <c r="O55" s="10">
        <f t="shared" si="3"/>
        <v>0.8333333333</v>
      </c>
      <c r="P55" s="12"/>
    </row>
    <row r="56">
      <c r="A56" s="1" t="s">
        <v>709</v>
      </c>
      <c r="B56" s="7" t="s">
        <v>710</v>
      </c>
      <c r="C56" s="25" t="s">
        <v>3621</v>
      </c>
      <c r="D56" s="26">
        <f>VLOOKUP(A56,'Web_of_Science_20251015 '!A:E,5,0)</f>
        <v>6</v>
      </c>
      <c r="E56" s="28">
        <v>3.0</v>
      </c>
      <c r="F56" s="28">
        <v>0.0</v>
      </c>
      <c r="G56" s="24" t="s">
        <v>462</v>
      </c>
      <c r="H56" s="12"/>
      <c r="I56" s="12"/>
      <c r="J56" s="12"/>
      <c r="K56" s="12"/>
      <c r="L56" s="10">
        <f t="shared" si="1"/>
        <v>0.5</v>
      </c>
      <c r="M56" s="10">
        <f t="shared" si="2"/>
        <v>0</v>
      </c>
      <c r="N56" s="10">
        <f>IFERROR(__xludf.DUMMYFUNCTION("INT(FILTER(GT(E56,0),ISNUMBER(E56)))"),1.0)</f>
        <v>1</v>
      </c>
      <c r="O56" s="10">
        <f t="shared" si="3"/>
        <v>1</v>
      </c>
      <c r="P56" s="10">
        <f>IFERROR(__xludf.DUMMYFUNCTION("INT(FILTER(EQ(D56,E56),ISNUMBER(D56),ISNUMBER(E56)))"),0.0)</f>
        <v>0</v>
      </c>
    </row>
    <row r="57">
      <c r="A57" s="1" t="s">
        <v>717</v>
      </c>
      <c r="B57" s="7" t="s">
        <v>718</v>
      </c>
      <c r="C57" s="25" t="s">
        <v>3584</v>
      </c>
      <c r="D57" s="26">
        <f>VLOOKUP(A57,'Web_of_Science_20251015 '!A:E,5,0)</f>
        <v>4</v>
      </c>
      <c r="E57" s="28">
        <v>1.0</v>
      </c>
      <c r="F57" s="27">
        <v>0.0</v>
      </c>
      <c r="G57" s="24" t="s">
        <v>462</v>
      </c>
      <c r="H57" s="12"/>
      <c r="I57" s="12"/>
      <c r="J57" s="12"/>
      <c r="K57" s="12"/>
      <c r="L57" s="10">
        <f t="shared" si="1"/>
        <v>0.25</v>
      </c>
      <c r="M57" s="10">
        <f t="shared" si="2"/>
        <v>0</v>
      </c>
      <c r="N57" s="10">
        <f>IFERROR(__xludf.DUMMYFUNCTION("INT(FILTER(GT(E57,0),ISNUMBER(E57)))"),1.0)</f>
        <v>1</v>
      </c>
      <c r="O57" s="10">
        <f t="shared" si="3"/>
        <v>1</v>
      </c>
      <c r="P57" s="10">
        <f>IFERROR(__xludf.DUMMYFUNCTION("INT(FILTER(EQ(D57,E57),ISNUMBER(D57),ISNUMBER(E57)))"),0.0)</f>
        <v>0</v>
      </c>
    </row>
    <row r="58">
      <c r="A58" s="1" t="s">
        <v>721</v>
      </c>
      <c r="B58" s="7" t="s">
        <v>722</v>
      </c>
      <c r="C58" s="25" t="s">
        <v>3622</v>
      </c>
      <c r="D58" s="26">
        <f>VLOOKUP(A58,'Web_of_Science_20251015 '!A:E,5,0)</f>
        <v>4</v>
      </c>
      <c r="E58" s="28">
        <v>2.0</v>
      </c>
      <c r="F58" s="28">
        <v>0.0</v>
      </c>
      <c r="G58" s="24" t="s">
        <v>462</v>
      </c>
      <c r="H58" s="12"/>
      <c r="I58" s="12"/>
      <c r="J58" s="12"/>
      <c r="K58" s="12"/>
      <c r="L58" s="10">
        <f t="shared" si="1"/>
        <v>0.5</v>
      </c>
      <c r="M58" s="10">
        <f t="shared" si="2"/>
        <v>0</v>
      </c>
      <c r="N58" s="10">
        <f>IFERROR(__xludf.DUMMYFUNCTION("INT(FILTER(GT(E58,0),ISNUMBER(E58)))"),1.0)</f>
        <v>1</v>
      </c>
      <c r="O58" s="10">
        <f t="shared" si="3"/>
        <v>1</v>
      </c>
      <c r="P58" s="10">
        <f>IFERROR(__xludf.DUMMYFUNCTION("INT(FILTER(EQ(D58,E58),ISNUMBER(D58),ISNUMBER(E58)))"),0.0)</f>
        <v>0</v>
      </c>
    </row>
    <row r="59">
      <c r="A59" s="1" t="s">
        <v>741</v>
      </c>
      <c r="B59" s="7" t="s">
        <v>742</v>
      </c>
      <c r="C59" s="25" t="s">
        <v>3623</v>
      </c>
      <c r="D59" s="26">
        <f>VLOOKUP(A59,'Web_of_Science_20251015 '!A:E,5,0)</f>
        <v>2</v>
      </c>
      <c r="E59" s="27">
        <v>2.0</v>
      </c>
      <c r="F59" s="27">
        <v>1.0</v>
      </c>
      <c r="G59" s="24" t="s">
        <v>462</v>
      </c>
      <c r="H59" s="12"/>
      <c r="I59" s="12"/>
      <c r="J59" s="12"/>
      <c r="K59" s="12"/>
      <c r="L59" s="10">
        <f t="shared" si="1"/>
        <v>1</v>
      </c>
      <c r="M59" s="10">
        <f t="shared" si="2"/>
        <v>0.5</v>
      </c>
      <c r="N59" s="10">
        <f>IFERROR(__xludf.DUMMYFUNCTION("INT(FILTER(GT(E59,0),ISNUMBER(E59)))"),1.0)</f>
        <v>1</v>
      </c>
      <c r="O59" s="10">
        <f t="shared" si="3"/>
        <v>0.6666666667</v>
      </c>
      <c r="P59" s="10">
        <f>IFERROR(__xludf.DUMMYFUNCTION("INT(FILTER(EQ(D59,E59),ISNUMBER(D59),ISNUMBER(E59)))"),1.0)</f>
        <v>1</v>
      </c>
    </row>
    <row r="60">
      <c r="A60" s="1" t="s">
        <v>745</v>
      </c>
      <c r="B60" s="7" t="s">
        <v>746</v>
      </c>
      <c r="C60" s="25" t="s">
        <v>3624</v>
      </c>
      <c r="D60" s="26">
        <f>VLOOKUP(A60,'Web_of_Science_20251015 '!A:E,5,0)</f>
        <v>4</v>
      </c>
      <c r="E60" s="28">
        <v>3.0</v>
      </c>
      <c r="F60" s="27">
        <v>0.0</v>
      </c>
      <c r="G60" s="24" t="s">
        <v>462</v>
      </c>
      <c r="H60" s="12"/>
      <c r="I60" s="12"/>
      <c r="J60" s="12"/>
      <c r="K60" s="12"/>
      <c r="L60" s="10">
        <f t="shared" si="1"/>
        <v>0.75</v>
      </c>
      <c r="M60" s="10">
        <f t="shared" si="2"/>
        <v>0</v>
      </c>
      <c r="N60" s="10">
        <f>IFERROR(__xludf.DUMMYFUNCTION("INT(FILTER(GT(E60,0),ISNUMBER(E60)))"),1.0)</f>
        <v>1</v>
      </c>
      <c r="O60" s="10">
        <f t="shared" si="3"/>
        <v>1</v>
      </c>
      <c r="P60" s="10">
        <f>IFERROR(__xludf.DUMMYFUNCTION("INT(FILTER(EQ(D60,E60),ISNUMBER(D60),ISNUMBER(E60)))"),0.0)</f>
        <v>0</v>
      </c>
    </row>
    <row r="61">
      <c r="A61" s="1" t="s">
        <v>749</v>
      </c>
      <c r="B61" s="7" t="s">
        <v>750</v>
      </c>
      <c r="C61" s="25" t="s">
        <v>3625</v>
      </c>
      <c r="D61" s="26">
        <f>VLOOKUP(A61,'Web_of_Science_20251015 '!A:E,5,0)</f>
        <v>6</v>
      </c>
      <c r="E61" s="28">
        <v>2.0</v>
      </c>
      <c r="F61" s="28">
        <v>0.0</v>
      </c>
      <c r="G61" s="24" t="s">
        <v>462</v>
      </c>
      <c r="H61" s="12"/>
      <c r="I61" s="12"/>
      <c r="J61" s="12"/>
      <c r="K61" s="12"/>
      <c r="L61" s="10">
        <f t="shared" si="1"/>
        <v>0.3333333333</v>
      </c>
      <c r="M61" s="10">
        <f t="shared" si="2"/>
        <v>0</v>
      </c>
      <c r="N61" s="10">
        <f>IFERROR(__xludf.DUMMYFUNCTION("INT(FILTER(GT(E61,0),ISNUMBER(E61)))"),1.0)</f>
        <v>1</v>
      </c>
      <c r="O61" s="10">
        <f t="shared" si="3"/>
        <v>1</v>
      </c>
      <c r="P61" s="10">
        <f>IFERROR(__xludf.DUMMYFUNCTION("INT(FILTER(EQ(D61,E61),ISNUMBER(D61),ISNUMBER(E61)))"),0.0)</f>
        <v>0</v>
      </c>
    </row>
    <row r="62">
      <c r="A62" s="1" t="s">
        <v>763</v>
      </c>
      <c r="B62" s="7" t="s">
        <v>764</v>
      </c>
      <c r="C62" s="25" t="s">
        <v>3626</v>
      </c>
      <c r="D62" s="26">
        <f>VLOOKUP(A62,'Web_of_Science_20251015 '!A:E,5,0)</f>
        <v>3</v>
      </c>
      <c r="E62" s="28">
        <v>3.0</v>
      </c>
      <c r="F62" s="28">
        <v>0.0</v>
      </c>
      <c r="G62" s="24" t="s">
        <v>462</v>
      </c>
      <c r="H62" s="12"/>
      <c r="I62" s="12"/>
      <c r="J62" s="12"/>
      <c r="K62" s="12"/>
      <c r="L62" s="10">
        <f t="shared" si="1"/>
        <v>1</v>
      </c>
      <c r="M62" s="10">
        <f t="shared" si="2"/>
        <v>0</v>
      </c>
      <c r="N62" s="10">
        <f>IFERROR(__xludf.DUMMYFUNCTION("INT(FILTER(GT(E62,0),ISNUMBER(E62)))"),1.0)</f>
        <v>1</v>
      </c>
      <c r="O62" s="10">
        <f t="shared" si="3"/>
        <v>1</v>
      </c>
      <c r="P62" s="10">
        <f>IFERROR(__xludf.DUMMYFUNCTION("INT(FILTER(EQ(D62,E62),ISNUMBER(D62),ISNUMBER(E62)))"),1.0)</f>
        <v>1</v>
      </c>
    </row>
    <row r="63">
      <c r="A63" s="1" t="s">
        <v>775</v>
      </c>
      <c r="B63" s="7" t="s">
        <v>776</v>
      </c>
      <c r="C63" s="25" t="s">
        <v>3627</v>
      </c>
      <c r="D63" s="26">
        <f>VLOOKUP(A63,'Web_of_Science_20251015 '!A:E,5,0)</f>
        <v>1</v>
      </c>
      <c r="E63" s="27">
        <v>1.0</v>
      </c>
      <c r="F63" s="27">
        <v>0.0</v>
      </c>
      <c r="G63" s="24" t="s">
        <v>462</v>
      </c>
      <c r="H63" s="12"/>
      <c r="I63" s="12"/>
      <c r="J63" s="12"/>
      <c r="K63" s="12"/>
      <c r="L63" s="10">
        <f t="shared" si="1"/>
        <v>1</v>
      </c>
      <c r="M63" s="10">
        <f t="shared" si="2"/>
        <v>0</v>
      </c>
      <c r="N63" s="10">
        <f>IFERROR(__xludf.DUMMYFUNCTION("INT(FILTER(GT(E63,0),ISNUMBER(E63)))"),1.0)</f>
        <v>1</v>
      </c>
      <c r="O63" s="10">
        <f t="shared" si="3"/>
        <v>1</v>
      </c>
      <c r="P63" s="10">
        <f>IFERROR(__xludf.DUMMYFUNCTION("INT(FILTER(EQ(D63,E63),ISNUMBER(D63),ISNUMBER(E63)))"),1.0)</f>
        <v>1</v>
      </c>
    </row>
    <row r="64">
      <c r="A64" s="1" t="s">
        <v>783</v>
      </c>
      <c r="B64" s="7" t="s">
        <v>784</v>
      </c>
      <c r="C64" s="25" t="s">
        <v>3628</v>
      </c>
      <c r="D64" s="26">
        <f>VLOOKUP(A64,'Web_of_Science_20251015 '!A:E,5,0)</f>
        <v>1</v>
      </c>
      <c r="E64" s="27">
        <v>1.0</v>
      </c>
      <c r="F64" s="27">
        <v>0.0</v>
      </c>
      <c r="G64" s="24" t="s">
        <v>462</v>
      </c>
      <c r="H64" s="12"/>
      <c r="I64" s="12"/>
      <c r="J64" s="12"/>
      <c r="K64" s="12"/>
      <c r="L64" s="10">
        <f t="shared" si="1"/>
        <v>1</v>
      </c>
      <c r="M64" s="10">
        <f t="shared" si="2"/>
        <v>0</v>
      </c>
      <c r="N64" s="10">
        <f>IFERROR(__xludf.DUMMYFUNCTION("INT(FILTER(GT(E64,0),ISNUMBER(E64)))"),1.0)</f>
        <v>1</v>
      </c>
      <c r="O64" s="10">
        <f t="shared" si="3"/>
        <v>1</v>
      </c>
      <c r="P64" s="10">
        <f>IFERROR(__xludf.DUMMYFUNCTION("INT(FILTER(EQ(D64,E64),ISNUMBER(D64),ISNUMBER(E64)))"),1.0)</f>
        <v>1</v>
      </c>
    </row>
    <row r="65">
      <c r="A65" s="1" t="s">
        <v>799</v>
      </c>
      <c r="B65" s="7" t="s">
        <v>800</v>
      </c>
      <c r="C65" s="25" t="s">
        <v>3629</v>
      </c>
      <c r="D65" s="26">
        <f>VLOOKUP(A65,'Web_of_Science_20251015 '!A:E,5,0)</f>
        <v>3</v>
      </c>
      <c r="E65" s="28">
        <v>2.0</v>
      </c>
      <c r="F65" s="27">
        <v>0.0</v>
      </c>
      <c r="G65" s="24" t="s">
        <v>462</v>
      </c>
      <c r="H65" s="12"/>
      <c r="I65" s="12"/>
      <c r="J65" s="12"/>
      <c r="K65" s="12"/>
      <c r="L65" s="10">
        <f t="shared" si="1"/>
        <v>0.6666666667</v>
      </c>
      <c r="M65" s="10">
        <f t="shared" si="2"/>
        <v>0</v>
      </c>
      <c r="N65" s="10">
        <f>IFERROR(__xludf.DUMMYFUNCTION("INT(FILTER(GT(E65,0),ISNUMBER(E65)))"),1.0)</f>
        <v>1</v>
      </c>
      <c r="O65" s="10">
        <f t="shared" si="3"/>
        <v>1</v>
      </c>
      <c r="P65" s="10">
        <f>IFERROR(__xludf.DUMMYFUNCTION("INT(FILTER(EQ(D65,E65),ISNUMBER(D65),ISNUMBER(E65)))"),0.0)</f>
        <v>0</v>
      </c>
    </row>
    <row r="66">
      <c r="A66" s="1" t="s">
        <v>803</v>
      </c>
      <c r="B66" s="7" t="s">
        <v>804</v>
      </c>
      <c r="C66" s="25" t="s">
        <v>3584</v>
      </c>
      <c r="D66" s="26">
        <f>VLOOKUP(A66,'Web_of_Science_20251015 '!A:E,5,0)</f>
        <v>1</v>
      </c>
      <c r="E66" s="27">
        <v>1.0</v>
      </c>
      <c r="F66" s="27">
        <v>0.0</v>
      </c>
      <c r="G66" s="24" t="s">
        <v>462</v>
      </c>
      <c r="H66" s="12"/>
      <c r="I66" s="12"/>
      <c r="J66" s="12"/>
      <c r="K66" s="12"/>
      <c r="L66" s="10">
        <f t="shared" si="1"/>
        <v>1</v>
      </c>
      <c r="M66" s="10">
        <f t="shared" si="2"/>
        <v>0</v>
      </c>
      <c r="N66" s="10">
        <f>IFERROR(__xludf.DUMMYFUNCTION("INT(FILTER(GT(E66,0),ISNUMBER(E66)))"),1.0)</f>
        <v>1</v>
      </c>
      <c r="O66" s="10">
        <f t="shared" si="3"/>
        <v>1</v>
      </c>
      <c r="P66" s="12"/>
    </row>
    <row r="67">
      <c r="A67" s="1" t="s">
        <v>813</v>
      </c>
      <c r="B67" s="7" t="s">
        <v>814</v>
      </c>
      <c r="C67" s="25" t="s">
        <v>3630</v>
      </c>
      <c r="D67" s="26">
        <f>VLOOKUP(A67,'Web_of_Science_20251015 '!A:E,5,0)</f>
        <v>3</v>
      </c>
      <c r="E67" s="28">
        <v>2.0</v>
      </c>
      <c r="F67" s="28">
        <v>0.0</v>
      </c>
      <c r="G67" s="24" t="s">
        <v>462</v>
      </c>
      <c r="H67" s="12"/>
      <c r="I67" s="12"/>
      <c r="J67" s="12"/>
      <c r="K67" s="12"/>
      <c r="L67" s="10">
        <f t="shared" si="1"/>
        <v>0.6666666667</v>
      </c>
      <c r="M67" s="10">
        <f t="shared" si="2"/>
        <v>0</v>
      </c>
      <c r="N67" s="10">
        <f>IFERROR(__xludf.DUMMYFUNCTION("INT(FILTER(GT(E67,0),ISNUMBER(E67)))"),1.0)</f>
        <v>1</v>
      </c>
      <c r="O67" s="10">
        <f t="shared" si="3"/>
        <v>1</v>
      </c>
      <c r="P67" s="10">
        <f>IFERROR(__xludf.DUMMYFUNCTION("INT(FILTER(EQ(D67,E67),ISNUMBER(D67),ISNUMBER(E67)))"),0.0)</f>
        <v>0</v>
      </c>
    </row>
    <row r="68">
      <c r="A68" s="1" t="s">
        <v>845</v>
      </c>
      <c r="B68" s="7" t="s">
        <v>846</v>
      </c>
      <c r="C68" s="25" t="s">
        <v>3631</v>
      </c>
      <c r="D68" s="26">
        <f>VLOOKUP(A68,'Web_of_Science_20251015 '!A:E,5,0)</f>
        <v>4</v>
      </c>
      <c r="E68" s="28">
        <v>2.0</v>
      </c>
      <c r="F68" s="27">
        <v>0.0</v>
      </c>
      <c r="G68" s="24" t="s">
        <v>462</v>
      </c>
      <c r="H68" s="12"/>
      <c r="I68" s="12"/>
      <c r="J68" s="12"/>
      <c r="K68" s="12"/>
      <c r="L68" s="10">
        <f t="shared" si="1"/>
        <v>0.5</v>
      </c>
      <c r="M68" s="10">
        <f t="shared" si="2"/>
        <v>0</v>
      </c>
      <c r="N68" s="10">
        <f>IFERROR(__xludf.DUMMYFUNCTION("INT(FILTER(GT(E68,0),ISNUMBER(E68)))"),1.0)</f>
        <v>1</v>
      </c>
      <c r="O68" s="10">
        <f t="shared" si="3"/>
        <v>1</v>
      </c>
      <c r="P68" s="10">
        <f>IFERROR(__xludf.DUMMYFUNCTION("INT(FILTER(EQ(D68,E68),ISNUMBER(D68),ISNUMBER(E68)))"),0.0)</f>
        <v>0</v>
      </c>
    </row>
    <row r="69">
      <c r="A69" s="1" t="s">
        <v>849</v>
      </c>
      <c r="B69" s="7" t="s">
        <v>850</v>
      </c>
      <c r="C69" s="25" t="s">
        <v>3632</v>
      </c>
      <c r="D69" s="26">
        <f>VLOOKUP(A69,'Web_of_Science_20251015 '!A:E,5,0)</f>
        <v>5</v>
      </c>
      <c r="E69" s="28">
        <v>2.0</v>
      </c>
      <c r="F69" s="27">
        <v>0.0</v>
      </c>
      <c r="G69" s="24" t="s">
        <v>462</v>
      </c>
      <c r="H69" s="12"/>
      <c r="I69" s="12"/>
      <c r="J69" s="12"/>
      <c r="K69" s="12"/>
      <c r="L69" s="10">
        <f t="shared" si="1"/>
        <v>0.4</v>
      </c>
      <c r="M69" s="10">
        <f t="shared" si="2"/>
        <v>0</v>
      </c>
      <c r="N69" s="10">
        <f>IFERROR(__xludf.DUMMYFUNCTION("INT(FILTER(GT(E69,0),ISNUMBER(E69)))"),1.0)</f>
        <v>1</v>
      </c>
      <c r="O69" s="10">
        <f t="shared" si="3"/>
        <v>1</v>
      </c>
      <c r="P69" s="10">
        <f>IFERROR(__xludf.DUMMYFUNCTION("INT(FILTER(EQ(D69,E69),ISNUMBER(D69),ISNUMBER(E69)))"),0.0)</f>
        <v>0</v>
      </c>
    </row>
    <row r="70">
      <c r="A70" s="1" t="s">
        <v>869</v>
      </c>
      <c r="B70" s="7" t="s">
        <v>870</v>
      </c>
      <c r="C70" s="25" t="s">
        <v>3633</v>
      </c>
      <c r="D70" s="26">
        <f>VLOOKUP(A70,'Web_of_Science_20251015 '!A:E,5,0)</f>
        <v>4</v>
      </c>
      <c r="E70" s="28">
        <v>3.0</v>
      </c>
      <c r="F70" s="28">
        <v>0.0</v>
      </c>
      <c r="G70" s="24" t="s">
        <v>462</v>
      </c>
      <c r="H70" s="12"/>
      <c r="I70" s="12"/>
      <c r="J70" s="12"/>
      <c r="K70" s="12"/>
      <c r="L70" s="10">
        <f t="shared" si="1"/>
        <v>0.75</v>
      </c>
      <c r="M70" s="10">
        <f t="shared" si="2"/>
        <v>0</v>
      </c>
      <c r="N70" s="10">
        <f>IFERROR(__xludf.DUMMYFUNCTION("INT(FILTER(GT(E70,0),ISNUMBER(E70)))"),1.0)</f>
        <v>1</v>
      </c>
      <c r="O70" s="10">
        <f t="shared" si="3"/>
        <v>1</v>
      </c>
      <c r="P70" s="10">
        <f>IFERROR(__xludf.DUMMYFUNCTION("INT(FILTER(EQ(D70,E70),ISNUMBER(D70),ISNUMBER(E70)))"),0.0)</f>
        <v>0</v>
      </c>
    </row>
    <row r="71">
      <c r="A71" s="1" t="s">
        <v>901</v>
      </c>
      <c r="B71" s="7" t="s">
        <v>902</v>
      </c>
      <c r="C71" s="25" t="s">
        <v>3634</v>
      </c>
      <c r="D71" s="26">
        <f>VLOOKUP(A71,'Web_of_Science_20251015 '!A:E,5,0)</f>
        <v>1</v>
      </c>
      <c r="E71" s="28">
        <v>1.0</v>
      </c>
      <c r="F71" s="28">
        <v>0.0</v>
      </c>
      <c r="G71" s="24" t="s">
        <v>462</v>
      </c>
      <c r="H71" s="12"/>
      <c r="I71" s="12"/>
      <c r="J71" s="12"/>
      <c r="K71" s="12"/>
      <c r="L71" s="10">
        <f t="shared" si="1"/>
        <v>1</v>
      </c>
      <c r="M71" s="10">
        <f t="shared" si="2"/>
        <v>0</v>
      </c>
      <c r="N71" s="10">
        <f>IFERROR(__xludf.DUMMYFUNCTION("INT(FILTER(GT(E71,0),ISNUMBER(E71)))"),1.0)</f>
        <v>1</v>
      </c>
      <c r="O71" s="10">
        <f t="shared" si="3"/>
        <v>1</v>
      </c>
      <c r="P71" s="10">
        <f>IFERROR(__xludf.DUMMYFUNCTION("INT(FILTER(EQ(D71,E71),ISNUMBER(D71),ISNUMBER(E71)))"),1.0)</f>
        <v>1</v>
      </c>
    </row>
    <row r="72">
      <c r="A72" s="1" t="s">
        <v>909</v>
      </c>
      <c r="B72" s="7" t="s">
        <v>910</v>
      </c>
      <c r="C72" s="25" t="s">
        <v>3635</v>
      </c>
      <c r="D72" s="26">
        <f>VLOOKUP(A72,'Web_of_Science_20251015 '!A:E,5,0)</f>
        <v>2</v>
      </c>
      <c r="E72" s="27">
        <v>2.0</v>
      </c>
      <c r="F72" s="27">
        <v>0.0</v>
      </c>
      <c r="G72" s="24" t="s">
        <v>462</v>
      </c>
      <c r="H72" s="12"/>
      <c r="I72" s="12"/>
      <c r="J72" s="12"/>
      <c r="K72" s="12"/>
      <c r="L72" s="10">
        <f t="shared" si="1"/>
        <v>1</v>
      </c>
      <c r="M72" s="10">
        <f t="shared" si="2"/>
        <v>0</v>
      </c>
      <c r="N72" s="10">
        <f>IFERROR(__xludf.DUMMYFUNCTION("INT(FILTER(GT(E72,0),ISNUMBER(E72)))"),1.0)</f>
        <v>1</v>
      </c>
      <c r="O72" s="10">
        <f t="shared" si="3"/>
        <v>1</v>
      </c>
      <c r="P72" s="10">
        <f>IFERROR(__xludf.DUMMYFUNCTION("INT(FILTER(EQ(D72,E72),ISNUMBER(D72),ISNUMBER(E72)))"),1.0)</f>
        <v>1</v>
      </c>
    </row>
    <row r="73">
      <c r="A73" s="1" t="s">
        <v>913</v>
      </c>
      <c r="B73" s="7" t="s">
        <v>914</v>
      </c>
      <c r="C73" s="25" t="s">
        <v>3636</v>
      </c>
      <c r="D73" s="26">
        <f>VLOOKUP(A73,'Web_of_Science_20251015 '!A:E,5,0)</f>
        <v>2</v>
      </c>
      <c r="E73" s="28">
        <v>1.0</v>
      </c>
      <c r="F73" s="28">
        <v>0.0</v>
      </c>
      <c r="G73" s="24" t="s">
        <v>462</v>
      </c>
      <c r="H73" s="12"/>
      <c r="I73" s="12"/>
      <c r="J73" s="12"/>
      <c r="K73" s="12"/>
      <c r="L73" s="10">
        <f t="shared" si="1"/>
        <v>0.5</v>
      </c>
      <c r="M73" s="10">
        <f t="shared" si="2"/>
        <v>0</v>
      </c>
      <c r="N73" s="10">
        <f>IFERROR(__xludf.DUMMYFUNCTION("INT(FILTER(GT(E73,0),ISNUMBER(E73)))"),1.0)</f>
        <v>1</v>
      </c>
      <c r="O73" s="10">
        <f t="shared" si="3"/>
        <v>1</v>
      </c>
      <c r="P73" s="10">
        <f>IFERROR(__xludf.DUMMYFUNCTION("INT(FILTER(EQ(D73,E73),ISNUMBER(D73),ISNUMBER(E73)))"),0.0)</f>
        <v>0</v>
      </c>
    </row>
    <row r="74">
      <c r="A74" s="1" t="s">
        <v>924</v>
      </c>
      <c r="B74" s="7" t="s">
        <v>925</v>
      </c>
      <c r="C74" s="25" t="s">
        <v>3584</v>
      </c>
      <c r="D74" s="26">
        <f>VLOOKUP(A74,'Web_of_Science_20251015 '!A:E,5,0)</f>
        <v>3</v>
      </c>
      <c r="E74" s="27">
        <v>1.0</v>
      </c>
      <c r="F74" s="27">
        <v>0.0</v>
      </c>
      <c r="G74" s="24" t="s">
        <v>462</v>
      </c>
      <c r="H74" s="12"/>
      <c r="I74" s="12"/>
      <c r="J74" s="12"/>
      <c r="K74" s="12"/>
      <c r="L74" s="10">
        <f t="shared" si="1"/>
        <v>0.3333333333</v>
      </c>
      <c r="M74" s="10">
        <f t="shared" si="2"/>
        <v>0</v>
      </c>
      <c r="N74" s="10">
        <f>IFERROR(__xludf.DUMMYFUNCTION("INT(FILTER(GT(E74,0),ISNUMBER(E74)))"),1.0)</f>
        <v>1</v>
      </c>
      <c r="O74" s="10">
        <f t="shared" si="3"/>
        <v>1</v>
      </c>
      <c r="P74" s="10">
        <f>IFERROR(__xludf.DUMMYFUNCTION("INT(FILTER(EQ(D74,E74),ISNUMBER(D74),ISNUMBER(E74)))"),0.0)</f>
        <v>0</v>
      </c>
    </row>
    <row r="75">
      <c r="A75" s="1" t="s">
        <v>926</v>
      </c>
      <c r="B75" s="7" t="s">
        <v>927</v>
      </c>
      <c r="C75" s="25" t="s">
        <v>3637</v>
      </c>
      <c r="D75" s="26">
        <f>VLOOKUP(A75,'Web_of_Science_20251015 '!A:E,5,0)</f>
        <v>2</v>
      </c>
      <c r="E75" s="27">
        <v>2.0</v>
      </c>
      <c r="F75" s="27">
        <v>0.0</v>
      </c>
      <c r="G75" s="24" t="s">
        <v>462</v>
      </c>
      <c r="H75" s="12"/>
      <c r="I75" s="12"/>
      <c r="J75" s="12"/>
      <c r="K75" s="12"/>
      <c r="L75" s="10">
        <f t="shared" si="1"/>
        <v>1</v>
      </c>
      <c r="M75" s="10">
        <f t="shared" si="2"/>
        <v>0</v>
      </c>
      <c r="N75" s="10">
        <f>IFERROR(__xludf.DUMMYFUNCTION("INT(FILTER(GT(E75,0),ISNUMBER(E75)))"),1.0)</f>
        <v>1</v>
      </c>
      <c r="O75" s="10">
        <f t="shared" si="3"/>
        <v>1</v>
      </c>
      <c r="P75" s="10">
        <f>IFERROR(__xludf.DUMMYFUNCTION("INT(FILTER(EQ(D75,E75),ISNUMBER(D75),ISNUMBER(E75)))"),1.0)</f>
        <v>1</v>
      </c>
    </row>
    <row r="76">
      <c r="A76" s="1" t="s">
        <v>940</v>
      </c>
      <c r="B76" s="7" t="s">
        <v>941</v>
      </c>
      <c r="C76" s="25" t="s">
        <v>3638</v>
      </c>
      <c r="D76" s="26">
        <f>VLOOKUP(A76,'Web_of_Science_20251015 '!A:E,5,0)</f>
        <v>3</v>
      </c>
      <c r="E76" s="28">
        <v>1.0</v>
      </c>
      <c r="F76" s="27">
        <v>0.0</v>
      </c>
      <c r="G76" s="24" t="s">
        <v>462</v>
      </c>
      <c r="H76" s="12"/>
      <c r="I76" s="12"/>
      <c r="J76" s="12"/>
      <c r="K76" s="12"/>
      <c r="L76" s="10">
        <f t="shared" si="1"/>
        <v>0.3333333333</v>
      </c>
      <c r="M76" s="10">
        <f t="shared" si="2"/>
        <v>0</v>
      </c>
      <c r="N76" s="10">
        <f>IFERROR(__xludf.DUMMYFUNCTION("INT(FILTER(GT(E76,0),ISNUMBER(E76)))"),1.0)</f>
        <v>1</v>
      </c>
      <c r="O76" s="10">
        <f t="shared" si="3"/>
        <v>1</v>
      </c>
      <c r="P76" s="10">
        <f>IFERROR(__xludf.DUMMYFUNCTION("INT(FILTER(EQ(D76,E76),ISNUMBER(D76),ISNUMBER(E76)))"),0.0)</f>
        <v>0</v>
      </c>
    </row>
    <row r="77">
      <c r="A77" s="1" t="s">
        <v>948</v>
      </c>
      <c r="B77" s="7" t="s">
        <v>949</v>
      </c>
      <c r="C77" s="25" t="s">
        <v>3639</v>
      </c>
      <c r="D77" s="26">
        <f>VLOOKUP(A77,'Web_of_Science_20251015 '!A:E,5,0)</f>
        <v>2</v>
      </c>
      <c r="E77" s="27">
        <v>2.0</v>
      </c>
      <c r="F77" s="27">
        <v>0.0</v>
      </c>
      <c r="G77" s="24" t="s">
        <v>462</v>
      </c>
      <c r="H77" s="12"/>
      <c r="I77" s="12"/>
      <c r="J77" s="12"/>
      <c r="K77" s="12"/>
      <c r="L77" s="10">
        <f t="shared" si="1"/>
        <v>1</v>
      </c>
      <c r="M77" s="10">
        <f t="shared" si="2"/>
        <v>0</v>
      </c>
      <c r="N77" s="10">
        <f>IFERROR(__xludf.DUMMYFUNCTION("INT(FILTER(GT(E77,0),ISNUMBER(E77)))"),1.0)</f>
        <v>1</v>
      </c>
      <c r="O77" s="10">
        <f t="shared" si="3"/>
        <v>1</v>
      </c>
      <c r="P77" s="12"/>
    </row>
    <row r="78">
      <c r="A78" s="1" t="s">
        <v>952</v>
      </c>
      <c r="B78" s="7" t="s">
        <v>953</v>
      </c>
      <c r="C78" s="25" t="s">
        <v>3640</v>
      </c>
      <c r="D78" s="26">
        <f>VLOOKUP(A78,'Web_of_Science_20251015 '!A:E,5,0)</f>
        <v>2</v>
      </c>
      <c r="E78" s="28">
        <v>2.0</v>
      </c>
      <c r="F78" s="28">
        <v>0.0</v>
      </c>
      <c r="G78" s="24" t="s">
        <v>462</v>
      </c>
      <c r="H78" s="12"/>
      <c r="I78" s="12"/>
      <c r="J78" s="12"/>
      <c r="K78" s="12"/>
      <c r="L78" s="10">
        <f t="shared" si="1"/>
        <v>1</v>
      </c>
      <c r="M78" s="10">
        <f t="shared" si="2"/>
        <v>0</v>
      </c>
      <c r="N78" s="10">
        <f>IFERROR(__xludf.DUMMYFUNCTION("INT(FILTER(GT(E78,0),ISNUMBER(E78)))"),1.0)</f>
        <v>1</v>
      </c>
      <c r="O78" s="10">
        <f t="shared" si="3"/>
        <v>1</v>
      </c>
      <c r="P78" s="10">
        <f>IFERROR(__xludf.DUMMYFUNCTION("INT(FILTER(EQ(D78,E78),ISNUMBER(D78),ISNUMBER(E78)))"),1.0)</f>
        <v>1</v>
      </c>
    </row>
    <row r="79">
      <c r="A79" s="1" t="s">
        <v>964</v>
      </c>
      <c r="B79" s="7" t="s">
        <v>965</v>
      </c>
      <c r="C79" s="25" t="s">
        <v>3580</v>
      </c>
      <c r="D79" s="26">
        <f>VLOOKUP(A79,'Web_of_Science_20251015 '!A:E,5,0)</f>
        <v>3</v>
      </c>
      <c r="E79" s="28">
        <v>1.0</v>
      </c>
      <c r="F79" s="28">
        <v>0.0</v>
      </c>
      <c r="G79" s="24" t="s">
        <v>462</v>
      </c>
      <c r="H79" s="12"/>
      <c r="I79" s="12"/>
      <c r="J79" s="12"/>
      <c r="K79" s="12"/>
      <c r="L79" s="10">
        <f t="shared" si="1"/>
        <v>0.3333333333</v>
      </c>
      <c r="M79" s="10">
        <f t="shared" si="2"/>
        <v>0</v>
      </c>
      <c r="N79" s="10">
        <f>IFERROR(__xludf.DUMMYFUNCTION("INT(FILTER(GT(E79,0),ISNUMBER(E79)))"),1.0)</f>
        <v>1</v>
      </c>
      <c r="O79" s="10">
        <f t="shared" si="3"/>
        <v>1</v>
      </c>
      <c r="P79" s="10">
        <f>IFERROR(__xludf.DUMMYFUNCTION("INT(FILTER(EQ(D79,E79),ISNUMBER(D79),ISNUMBER(E79)))"),0.0)</f>
        <v>0</v>
      </c>
    </row>
    <row r="80">
      <c r="A80" s="1" t="s">
        <v>971</v>
      </c>
      <c r="B80" s="7" t="s">
        <v>972</v>
      </c>
      <c r="C80" s="25" t="s">
        <v>3641</v>
      </c>
      <c r="D80" s="26">
        <f>VLOOKUP(A80,'Web_of_Science_20251015 '!A:E,5,0)</f>
        <v>2</v>
      </c>
      <c r="E80" s="27">
        <v>2.0</v>
      </c>
      <c r="F80" s="27">
        <v>0.0</v>
      </c>
      <c r="G80" s="24" t="s">
        <v>462</v>
      </c>
      <c r="H80" s="12"/>
      <c r="I80" s="12"/>
      <c r="J80" s="12"/>
      <c r="K80" s="12"/>
      <c r="L80" s="10">
        <f t="shared" si="1"/>
        <v>1</v>
      </c>
      <c r="M80" s="10">
        <f t="shared" si="2"/>
        <v>0</v>
      </c>
      <c r="N80" s="10">
        <f>IFERROR(__xludf.DUMMYFUNCTION("INT(FILTER(GT(E80,0),ISNUMBER(E80)))"),1.0)</f>
        <v>1</v>
      </c>
      <c r="O80" s="10">
        <f t="shared" si="3"/>
        <v>1</v>
      </c>
      <c r="P80" s="10">
        <f>IFERROR(__xludf.DUMMYFUNCTION("INT(FILTER(EQ(D80,E80),ISNUMBER(D80),ISNUMBER(E80)))"),1.0)</f>
        <v>1</v>
      </c>
    </row>
    <row r="81">
      <c r="A81" s="1" t="s">
        <v>975</v>
      </c>
      <c r="B81" s="7" t="s">
        <v>976</v>
      </c>
      <c r="C81" s="25" t="s">
        <v>3642</v>
      </c>
      <c r="D81" s="28">
        <v>2.0</v>
      </c>
      <c r="E81" s="28">
        <v>1.0</v>
      </c>
      <c r="F81" s="28">
        <v>0.0</v>
      </c>
      <c r="G81" s="24" t="s">
        <v>462</v>
      </c>
      <c r="H81" s="12"/>
      <c r="I81" s="12"/>
      <c r="J81" s="12"/>
      <c r="K81" s="12"/>
      <c r="L81" s="10">
        <f t="shared" si="1"/>
        <v>0.5</v>
      </c>
      <c r="M81" s="10">
        <f t="shared" si="2"/>
        <v>0</v>
      </c>
      <c r="N81" s="10">
        <f>IFERROR(__xludf.DUMMYFUNCTION("INT(FILTER(GT(E81,0),ISNUMBER(E81)))"),1.0)</f>
        <v>1</v>
      </c>
      <c r="O81" s="10">
        <f t="shared" si="3"/>
        <v>1</v>
      </c>
      <c r="P81" s="10">
        <f>IFERROR(__xludf.DUMMYFUNCTION("INT(FILTER(EQ(D81,E81),ISNUMBER(D81),ISNUMBER(E81)))"),0.0)</f>
        <v>0</v>
      </c>
    </row>
    <row r="82">
      <c r="A82" s="1" t="s">
        <v>996</v>
      </c>
      <c r="B82" s="7" t="s">
        <v>997</v>
      </c>
      <c r="C82" s="25" t="s">
        <v>3643</v>
      </c>
      <c r="D82" s="28">
        <v>2.0</v>
      </c>
      <c r="E82" s="28">
        <v>2.0</v>
      </c>
      <c r="F82" s="28">
        <v>1.0</v>
      </c>
      <c r="G82" s="24" t="s">
        <v>462</v>
      </c>
      <c r="H82" s="12"/>
      <c r="I82" s="12"/>
      <c r="J82" s="12"/>
      <c r="K82" s="12"/>
      <c r="L82" s="10">
        <f t="shared" si="1"/>
        <v>1</v>
      </c>
      <c r="M82" s="10">
        <f t="shared" si="2"/>
        <v>0.5</v>
      </c>
      <c r="N82" s="10">
        <f>IFERROR(__xludf.DUMMYFUNCTION("INT(FILTER(GT(E82,0),ISNUMBER(E82)))"),1.0)</f>
        <v>1</v>
      </c>
      <c r="O82" s="10">
        <f t="shared" si="3"/>
        <v>0.6666666667</v>
      </c>
      <c r="P82" s="10">
        <f>IFERROR(__xludf.DUMMYFUNCTION("INT(FILTER(EQ(D82,E82),ISNUMBER(D82),ISNUMBER(E82)))"),1.0)</f>
        <v>1</v>
      </c>
    </row>
    <row r="83">
      <c r="A83" s="1" t="s">
        <v>1000</v>
      </c>
      <c r="B83" s="7" t="s">
        <v>1001</v>
      </c>
      <c r="C83" s="25" t="s">
        <v>3644</v>
      </c>
      <c r="D83" s="28">
        <v>1.0</v>
      </c>
      <c r="E83" s="28">
        <v>0.0</v>
      </c>
      <c r="F83" s="28">
        <v>1.0</v>
      </c>
      <c r="G83" s="24" t="s">
        <v>462</v>
      </c>
      <c r="H83" s="12"/>
      <c r="I83" s="12"/>
      <c r="J83" s="12"/>
      <c r="K83" s="12"/>
      <c r="L83" s="10">
        <f t="shared" si="1"/>
        <v>0</v>
      </c>
      <c r="M83" s="10">
        <f t="shared" si="2"/>
        <v>1</v>
      </c>
      <c r="N83" s="10">
        <f>IFERROR(__xludf.DUMMYFUNCTION("INT(FILTER(GT(E83,0),ISNUMBER(E83)))"),0.0)</f>
        <v>0</v>
      </c>
      <c r="O83" s="10">
        <f t="shared" si="3"/>
        <v>0</v>
      </c>
      <c r="P83" s="10">
        <f>IFERROR(__xludf.DUMMYFUNCTION("INT(FILTER(EQ(D83,E83),ISNUMBER(D83),ISNUMBER(E83)))"),0.0)</f>
        <v>0</v>
      </c>
    </row>
    <row r="84">
      <c r="A84" s="1" t="s">
        <v>1002</v>
      </c>
      <c r="B84" s="7" t="s">
        <v>1003</v>
      </c>
      <c r="C84" s="25" t="s">
        <v>3584</v>
      </c>
      <c r="D84" s="28">
        <v>2.0</v>
      </c>
      <c r="E84" s="28">
        <v>1.0</v>
      </c>
      <c r="F84" s="28">
        <v>0.0</v>
      </c>
      <c r="G84" s="24" t="s">
        <v>462</v>
      </c>
      <c r="H84" s="12"/>
      <c r="I84" s="12"/>
      <c r="J84" s="12"/>
      <c r="K84" s="12"/>
      <c r="L84" s="10">
        <f t="shared" si="1"/>
        <v>0.5</v>
      </c>
      <c r="M84" s="10">
        <f t="shared" si="2"/>
        <v>0</v>
      </c>
      <c r="N84" s="10">
        <f>IFERROR(__xludf.DUMMYFUNCTION("INT(FILTER(GT(E84,0),ISNUMBER(E84)))"),1.0)</f>
        <v>1</v>
      </c>
      <c r="O84" s="10">
        <f t="shared" si="3"/>
        <v>1</v>
      </c>
      <c r="P84" s="10">
        <f>IFERROR(__xludf.DUMMYFUNCTION("INT(FILTER(EQ(D84,E84),ISNUMBER(D84),ISNUMBER(E84)))"),0.0)</f>
        <v>0</v>
      </c>
    </row>
    <row r="85">
      <c r="A85" s="1" t="s">
        <v>1005</v>
      </c>
      <c r="B85" s="7" t="s">
        <v>1006</v>
      </c>
      <c r="C85" s="25" t="s">
        <v>3645</v>
      </c>
      <c r="D85" s="28">
        <v>2.0</v>
      </c>
      <c r="E85" s="28">
        <v>1.0</v>
      </c>
      <c r="F85" s="28">
        <v>0.0</v>
      </c>
      <c r="G85" s="24" t="s">
        <v>462</v>
      </c>
      <c r="H85" s="12"/>
      <c r="I85" s="12"/>
      <c r="J85" s="12"/>
      <c r="K85" s="12"/>
      <c r="L85" s="10">
        <f t="shared" si="1"/>
        <v>0.5</v>
      </c>
      <c r="M85" s="10">
        <f t="shared" si="2"/>
        <v>0</v>
      </c>
      <c r="N85" s="10">
        <f>IFERROR(__xludf.DUMMYFUNCTION("INT(FILTER(GT(E85,0),ISNUMBER(E85)))"),1.0)</f>
        <v>1</v>
      </c>
      <c r="O85" s="10">
        <f t="shared" si="3"/>
        <v>1</v>
      </c>
      <c r="P85" s="10">
        <f>IFERROR(__xludf.DUMMYFUNCTION("INT(FILTER(EQ(D85,E85),ISNUMBER(D85),ISNUMBER(E85)))"),0.0)</f>
        <v>0</v>
      </c>
    </row>
    <row r="86">
      <c r="A86" s="1" t="s">
        <v>1015</v>
      </c>
      <c r="B86" s="7" t="s">
        <v>1016</v>
      </c>
      <c r="C86" s="25" t="s">
        <v>3646</v>
      </c>
      <c r="D86" s="28">
        <v>4.0</v>
      </c>
      <c r="E86" s="28">
        <v>1.0</v>
      </c>
      <c r="F86" s="28">
        <v>0.0</v>
      </c>
      <c r="G86" s="24" t="s">
        <v>462</v>
      </c>
      <c r="H86" s="12"/>
      <c r="I86" s="12"/>
      <c r="J86" s="12"/>
      <c r="K86" s="12"/>
      <c r="L86" s="10">
        <f t="shared" si="1"/>
        <v>0.25</v>
      </c>
      <c r="M86" s="10">
        <f t="shared" si="2"/>
        <v>0</v>
      </c>
      <c r="N86" s="10">
        <f>IFERROR(__xludf.DUMMYFUNCTION("INT(FILTER(GT(E86,0),ISNUMBER(E86)))"),1.0)</f>
        <v>1</v>
      </c>
      <c r="O86" s="10">
        <f t="shared" si="3"/>
        <v>1</v>
      </c>
      <c r="P86" s="10">
        <f>IFERROR(__xludf.DUMMYFUNCTION("INT(FILTER(EQ(D86,E86),ISNUMBER(D86),ISNUMBER(E86)))"),0.0)</f>
        <v>0</v>
      </c>
    </row>
    <row r="87">
      <c r="A87" s="1" t="s">
        <v>1019</v>
      </c>
      <c r="B87" s="7" t="s">
        <v>1020</v>
      </c>
      <c r="C87" s="25" t="s">
        <v>3647</v>
      </c>
      <c r="D87" s="28">
        <v>1.0</v>
      </c>
      <c r="E87" s="28">
        <v>1.0</v>
      </c>
      <c r="F87" s="28">
        <v>0.0</v>
      </c>
      <c r="G87" s="24" t="s">
        <v>462</v>
      </c>
      <c r="H87" s="12"/>
      <c r="I87" s="12"/>
      <c r="J87" s="12"/>
      <c r="K87" s="12"/>
      <c r="L87" s="10">
        <f t="shared" si="1"/>
        <v>1</v>
      </c>
      <c r="M87" s="10">
        <f t="shared" si="2"/>
        <v>0</v>
      </c>
      <c r="N87" s="10">
        <f>IFERROR(__xludf.DUMMYFUNCTION("INT(FILTER(GT(E87,0),ISNUMBER(E87)))"),1.0)</f>
        <v>1</v>
      </c>
      <c r="O87" s="10">
        <f t="shared" si="3"/>
        <v>1</v>
      </c>
      <c r="P87" s="10">
        <f>IFERROR(__xludf.DUMMYFUNCTION("INT(FILTER(EQ(D87,E87),ISNUMBER(D87),ISNUMBER(E87)))"),1.0)</f>
        <v>1</v>
      </c>
    </row>
    <row r="88">
      <c r="A88" s="1" t="s">
        <v>1023</v>
      </c>
      <c r="B88" s="7" t="s">
        <v>1024</v>
      </c>
      <c r="C88" s="25" t="s">
        <v>3648</v>
      </c>
      <c r="D88" s="28">
        <v>1.0</v>
      </c>
      <c r="E88" s="28">
        <v>1.0</v>
      </c>
      <c r="F88" s="28">
        <v>0.0</v>
      </c>
      <c r="G88" s="24" t="s">
        <v>462</v>
      </c>
      <c r="H88" s="12"/>
      <c r="I88" s="12"/>
      <c r="J88" s="12"/>
      <c r="K88" s="12"/>
      <c r="L88" s="10">
        <f t="shared" si="1"/>
        <v>1</v>
      </c>
      <c r="M88" s="10">
        <f t="shared" si="2"/>
        <v>0</v>
      </c>
      <c r="N88" s="10">
        <f>IFERROR(__xludf.DUMMYFUNCTION("INT(FILTER(GT(E88,0),ISNUMBER(E88)))"),1.0)</f>
        <v>1</v>
      </c>
      <c r="O88" s="10">
        <f t="shared" si="3"/>
        <v>1</v>
      </c>
      <c r="P88" s="12"/>
    </row>
    <row r="89">
      <c r="A89" s="1" t="s">
        <v>1027</v>
      </c>
      <c r="B89" s="7" t="s">
        <v>1028</v>
      </c>
      <c r="C89" s="25" t="s">
        <v>3649</v>
      </c>
      <c r="D89" s="28">
        <v>1.0</v>
      </c>
      <c r="E89" s="28">
        <v>0.0</v>
      </c>
      <c r="F89" s="28">
        <v>1.0</v>
      </c>
      <c r="G89" s="24" t="s">
        <v>462</v>
      </c>
      <c r="H89" s="12"/>
      <c r="I89" s="12"/>
      <c r="J89" s="12"/>
      <c r="K89" s="12"/>
      <c r="L89" s="10">
        <f t="shared" si="1"/>
        <v>0</v>
      </c>
      <c r="M89" s="10">
        <f t="shared" si="2"/>
        <v>1</v>
      </c>
      <c r="N89" s="10">
        <f>IFERROR(__xludf.DUMMYFUNCTION("INT(FILTER(GT(E89,0),ISNUMBER(E89)))"),0.0)</f>
        <v>0</v>
      </c>
      <c r="O89" s="10">
        <f t="shared" si="3"/>
        <v>0</v>
      </c>
      <c r="P89" s="10">
        <f>IFERROR(__xludf.DUMMYFUNCTION("INT(FILTER(EQ(D89,E89),ISNUMBER(D89),ISNUMBER(E89)))"),0.0)</f>
        <v>0</v>
      </c>
    </row>
    <row r="90">
      <c r="A90" s="1" t="s">
        <v>1064</v>
      </c>
      <c r="B90" s="7" t="s">
        <v>1065</v>
      </c>
      <c r="C90" s="25" t="s">
        <v>3650</v>
      </c>
      <c r="D90" s="28">
        <v>2.0</v>
      </c>
      <c r="E90" s="28">
        <v>2.0</v>
      </c>
      <c r="F90" s="28">
        <v>0.0</v>
      </c>
      <c r="G90" s="24" t="s">
        <v>462</v>
      </c>
      <c r="H90" s="12"/>
      <c r="I90" s="12"/>
      <c r="J90" s="12"/>
      <c r="K90" s="12"/>
      <c r="L90" s="10">
        <f t="shared" si="1"/>
        <v>1</v>
      </c>
      <c r="M90" s="10">
        <f t="shared" si="2"/>
        <v>0</v>
      </c>
      <c r="N90" s="10">
        <f>IFERROR(__xludf.DUMMYFUNCTION("INT(FILTER(GT(E90,0),ISNUMBER(E90)))"),1.0)</f>
        <v>1</v>
      </c>
      <c r="O90" s="10">
        <f t="shared" si="3"/>
        <v>1</v>
      </c>
      <c r="P90" s="10">
        <f>IFERROR(__xludf.DUMMYFUNCTION("INT(FILTER(EQ(D90,E90),ISNUMBER(D90),ISNUMBER(E90)))"),1.0)</f>
        <v>1</v>
      </c>
    </row>
    <row r="91">
      <c r="A91" s="1" t="s">
        <v>1068</v>
      </c>
      <c r="B91" s="7" t="s">
        <v>1069</v>
      </c>
      <c r="C91" s="25" t="s">
        <v>3651</v>
      </c>
      <c r="D91" s="28">
        <v>4.0</v>
      </c>
      <c r="E91" s="28">
        <v>2.0</v>
      </c>
      <c r="F91" s="28">
        <v>0.0</v>
      </c>
      <c r="G91" s="24" t="s">
        <v>462</v>
      </c>
      <c r="H91" s="12"/>
      <c r="I91" s="12"/>
      <c r="J91" s="12"/>
      <c r="K91" s="12"/>
      <c r="L91" s="10">
        <f t="shared" si="1"/>
        <v>0.5</v>
      </c>
      <c r="M91" s="10">
        <f t="shared" si="2"/>
        <v>0</v>
      </c>
      <c r="N91" s="10">
        <f>IFERROR(__xludf.DUMMYFUNCTION("INT(FILTER(GT(E91,0),ISNUMBER(E91)))"),1.0)</f>
        <v>1</v>
      </c>
      <c r="O91" s="10">
        <f t="shared" si="3"/>
        <v>1</v>
      </c>
      <c r="P91" s="10">
        <f>IFERROR(__xludf.DUMMYFUNCTION("INT(FILTER(EQ(D91,E91),ISNUMBER(D91),ISNUMBER(E91)))"),0.0)</f>
        <v>0</v>
      </c>
    </row>
    <row r="92">
      <c r="A92" s="1" t="s">
        <v>1106</v>
      </c>
      <c r="B92" s="7" t="s">
        <v>1107</v>
      </c>
      <c r="C92" s="25" t="s">
        <v>3652</v>
      </c>
      <c r="D92" s="28">
        <v>1.0</v>
      </c>
      <c r="E92" s="28">
        <v>1.0</v>
      </c>
      <c r="F92" s="28">
        <v>0.0</v>
      </c>
      <c r="G92" s="24" t="s">
        <v>462</v>
      </c>
      <c r="H92" s="12"/>
      <c r="I92" s="12"/>
      <c r="J92" s="12"/>
      <c r="K92" s="12"/>
      <c r="L92" s="10">
        <f t="shared" si="1"/>
        <v>1</v>
      </c>
      <c r="M92" s="10">
        <f t="shared" si="2"/>
        <v>0</v>
      </c>
      <c r="N92" s="10">
        <f>IFERROR(__xludf.DUMMYFUNCTION("INT(FILTER(GT(E92,0),ISNUMBER(E92)))"),1.0)</f>
        <v>1</v>
      </c>
      <c r="O92" s="10">
        <f t="shared" si="3"/>
        <v>1</v>
      </c>
      <c r="P92" s="10">
        <f>IFERROR(__xludf.DUMMYFUNCTION("INT(FILTER(EQ(D92,E92),ISNUMBER(D92),ISNUMBER(E92)))"),1.0)</f>
        <v>1</v>
      </c>
    </row>
    <row r="93">
      <c r="A93" s="1" t="s">
        <v>1118</v>
      </c>
      <c r="B93" s="7" t="s">
        <v>1119</v>
      </c>
      <c r="C93" s="25" t="s">
        <v>3584</v>
      </c>
      <c r="D93" s="28">
        <v>4.0</v>
      </c>
      <c r="E93" s="28">
        <v>1.0</v>
      </c>
      <c r="F93" s="28">
        <v>0.0</v>
      </c>
      <c r="G93" s="24" t="s">
        <v>462</v>
      </c>
      <c r="H93" s="12"/>
      <c r="I93" s="12"/>
      <c r="J93" s="12"/>
      <c r="K93" s="12"/>
      <c r="L93" s="10">
        <f t="shared" si="1"/>
        <v>0.25</v>
      </c>
      <c r="M93" s="10">
        <f t="shared" si="2"/>
        <v>0</v>
      </c>
      <c r="N93" s="10">
        <f>IFERROR(__xludf.DUMMYFUNCTION("INT(FILTER(GT(E93,0),ISNUMBER(E93)))"),1.0)</f>
        <v>1</v>
      </c>
      <c r="O93" s="10">
        <f t="shared" si="3"/>
        <v>1</v>
      </c>
      <c r="P93" s="10">
        <f>IFERROR(__xludf.DUMMYFUNCTION("INT(FILTER(EQ(D93,E93),ISNUMBER(D93),ISNUMBER(E93)))"),0.0)</f>
        <v>0</v>
      </c>
    </row>
    <row r="94">
      <c r="A94" s="1" t="s">
        <v>1133</v>
      </c>
      <c r="B94" s="7" t="s">
        <v>1134</v>
      </c>
      <c r="C94" s="25" t="s">
        <v>3653</v>
      </c>
      <c r="D94" s="28">
        <v>3.0</v>
      </c>
      <c r="E94" s="28">
        <v>2.0</v>
      </c>
      <c r="F94" s="28">
        <v>0.0</v>
      </c>
      <c r="G94" s="24" t="s">
        <v>462</v>
      </c>
      <c r="H94" s="12"/>
      <c r="I94" s="12"/>
      <c r="J94" s="12"/>
      <c r="K94" s="12"/>
      <c r="L94" s="10">
        <f t="shared" si="1"/>
        <v>0.6666666667</v>
      </c>
      <c r="M94" s="10">
        <f t="shared" si="2"/>
        <v>0</v>
      </c>
      <c r="N94" s="10">
        <f>IFERROR(__xludf.DUMMYFUNCTION("INT(FILTER(GT(E94,0),ISNUMBER(E94)))"),1.0)</f>
        <v>1</v>
      </c>
      <c r="O94" s="10">
        <f t="shared" si="3"/>
        <v>1</v>
      </c>
      <c r="P94" s="10">
        <f>IFERROR(__xludf.DUMMYFUNCTION("INT(FILTER(EQ(D94,E94),ISNUMBER(D94),ISNUMBER(E94)))"),0.0)</f>
        <v>0</v>
      </c>
    </row>
    <row r="95">
      <c r="A95" s="1" t="s">
        <v>1141</v>
      </c>
      <c r="B95" s="7" t="s">
        <v>1142</v>
      </c>
      <c r="C95" s="25" t="s">
        <v>3584</v>
      </c>
      <c r="D95" s="28">
        <v>3.0</v>
      </c>
      <c r="E95" s="28">
        <v>1.0</v>
      </c>
      <c r="F95" s="28">
        <v>0.0</v>
      </c>
      <c r="G95" s="24" t="s">
        <v>462</v>
      </c>
      <c r="H95" s="12"/>
      <c r="I95" s="12"/>
      <c r="J95" s="12"/>
      <c r="K95" s="12"/>
      <c r="L95" s="10">
        <f t="shared" si="1"/>
        <v>0.3333333333</v>
      </c>
      <c r="M95" s="10">
        <f t="shared" si="2"/>
        <v>0</v>
      </c>
      <c r="N95" s="10">
        <f>IFERROR(__xludf.DUMMYFUNCTION("INT(FILTER(GT(E95,0),ISNUMBER(E95)))"),1.0)</f>
        <v>1</v>
      </c>
      <c r="O95" s="10">
        <f t="shared" si="3"/>
        <v>1</v>
      </c>
      <c r="P95" s="10">
        <f>IFERROR(__xludf.DUMMYFUNCTION("INT(FILTER(EQ(D95,E95),ISNUMBER(D95),ISNUMBER(E95)))"),0.0)</f>
        <v>0</v>
      </c>
    </row>
    <row r="96">
      <c r="A96" s="1" t="s">
        <v>1162</v>
      </c>
      <c r="B96" s="7" t="s">
        <v>1163</v>
      </c>
      <c r="C96" s="25" t="s">
        <v>3584</v>
      </c>
      <c r="D96" s="28">
        <v>2.0</v>
      </c>
      <c r="E96" s="28">
        <v>1.0</v>
      </c>
      <c r="F96" s="28">
        <v>0.0</v>
      </c>
      <c r="G96" s="24" t="s">
        <v>462</v>
      </c>
      <c r="H96" s="12"/>
      <c r="I96" s="12"/>
      <c r="J96" s="12"/>
      <c r="K96" s="12"/>
      <c r="L96" s="10">
        <f t="shared" si="1"/>
        <v>0.5</v>
      </c>
      <c r="M96" s="10">
        <f t="shared" si="2"/>
        <v>0</v>
      </c>
      <c r="N96" s="10">
        <f>IFERROR(__xludf.DUMMYFUNCTION("INT(FILTER(GT(E96,0),ISNUMBER(E96)))"),1.0)</f>
        <v>1</v>
      </c>
      <c r="O96" s="10">
        <f t="shared" si="3"/>
        <v>1</v>
      </c>
      <c r="P96" s="10">
        <f>IFERROR(__xludf.DUMMYFUNCTION("INT(FILTER(EQ(D96,E96),ISNUMBER(D96),ISNUMBER(E96)))"),0.0)</f>
        <v>0</v>
      </c>
    </row>
    <row r="97">
      <c r="A97" s="1" t="s">
        <v>1168</v>
      </c>
      <c r="B97" s="7" t="s">
        <v>1169</v>
      </c>
      <c r="C97" s="25" t="s">
        <v>3603</v>
      </c>
      <c r="D97" s="28">
        <v>2.0</v>
      </c>
      <c r="E97" s="28">
        <v>1.0</v>
      </c>
      <c r="F97" s="28">
        <v>0.0</v>
      </c>
      <c r="G97" s="24" t="s">
        <v>462</v>
      </c>
      <c r="H97" s="12"/>
      <c r="I97" s="12"/>
      <c r="J97" s="12"/>
      <c r="K97" s="12"/>
      <c r="L97" s="10">
        <f t="shared" si="1"/>
        <v>0.5</v>
      </c>
      <c r="M97" s="10">
        <f t="shared" si="2"/>
        <v>0</v>
      </c>
      <c r="N97" s="10">
        <f>IFERROR(__xludf.DUMMYFUNCTION("INT(FILTER(GT(E97,0),ISNUMBER(E97)))"),1.0)</f>
        <v>1</v>
      </c>
      <c r="O97" s="10">
        <f t="shared" si="3"/>
        <v>1</v>
      </c>
      <c r="P97" s="10">
        <f>IFERROR(__xludf.DUMMYFUNCTION("INT(FILTER(EQ(D97,E97),ISNUMBER(D97),ISNUMBER(E97)))"),0.0)</f>
        <v>0</v>
      </c>
    </row>
    <row r="98">
      <c r="A98" s="1" t="s">
        <v>1179</v>
      </c>
      <c r="B98" s="7" t="s">
        <v>1180</v>
      </c>
      <c r="C98" s="25" t="s">
        <v>3654</v>
      </c>
      <c r="D98" s="28">
        <v>4.0</v>
      </c>
      <c r="E98" s="28">
        <v>4.0</v>
      </c>
      <c r="F98" s="28">
        <v>0.0</v>
      </c>
      <c r="G98" s="24" t="s">
        <v>462</v>
      </c>
      <c r="H98" s="12"/>
      <c r="I98" s="12"/>
      <c r="J98" s="12"/>
      <c r="K98" s="12"/>
      <c r="L98" s="10">
        <f t="shared" si="1"/>
        <v>1</v>
      </c>
      <c r="M98" s="10">
        <f t="shared" si="2"/>
        <v>0</v>
      </c>
      <c r="N98" s="10">
        <f>IFERROR(__xludf.DUMMYFUNCTION("INT(FILTER(GT(E98,0),ISNUMBER(E98)))"),1.0)</f>
        <v>1</v>
      </c>
      <c r="O98" s="10">
        <f t="shared" si="3"/>
        <v>1</v>
      </c>
      <c r="P98" s="10">
        <f>IFERROR(__xludf.DUMMYFUNCTION("INT(FILTER(EQ(D98,E98),ISNUMBER(D98),ISNUMBER(E98)))"),1.0)</f>
        <v>1</v>
      </c>
    </row>
    <row r="99">
      <c r="A99" s="1" t="s">
        <v>1208</v>
      </c>
      <c r="B99" s="7" t="s">
        <v>1209</v>
      </c>
      <c r="C99" s="25" t="s">
        <v>3655</v>
      </c>
      <c r="D99" s="28">
        <v>4.0</v>
      </c>
      <c r="E99" s="28">
        <v>2.0</v>
      </c>
      <c r="F99" s="28">
        <v>0.0</v>
      </c>
      <c r="G99" s="24" t="s">
        <v>462</v>
      </c>
      <c r="H99" s="12"/>
      <c r="I99" s="12"/>
      <c r="J99" s="12"/>
      <c r="K99" s="12"/>
      <c r="L99" s="10">
        <f t="shared" si="1"/>
        <v>0.5</v>
      </c>
      <c r="M99" s="10">
        <f t="shared" si="2"/>
        <v>0</v>
      </c>
      <c r="N99" s="10">
        <f>IFERROR(__xludf.DUMMYFUNCTION("INT(FILTER(GT(E99,0),ISNUMBER(E99)))"),1.0)</f>
        <v>1</v>
      </c>
      <c r="O99" s="10">
        <f t="shared" si="3"/>
        <v>1</v>
      </c>
      <c r="P99" s="12"/>
    </row>
    <row r="100">
      <c r="A100" s="1" t="s">
        <v>1216</v>
      </c>
      <c r="B100" s="7" t="s">
        <v>1217</v>
      </c>
      <c r="C100" s="25" t="s">
        <v>3599</v>
      </c>
      <c r="D100" s="28">
        <v>1.0</v>
      </c>
      <c r="E100" s="28">
        <v>1.0</v>
      </c>
      <c r="F100" s="28">
        <v>0.0</v>
      </c>
      <c r="G100" s="24" t="s">
        <v>462</v>
      </c>
      <c r="H100" s="12"/>
      <c r="I100" s="12"/>
      <c r="J100" s="12"/>
      <c r="K100" s="12"/>
      <c r="L100" s="10">
        <f t="shared" si="1"/>
        <v>1</v>
      </c>
      <c r="M100" s="10">
        <f t="shared" si="2"/>
        <v>0</v>
      </c>
      <c r="N100" s="10">
        <f>IFERROR(__xludf.DUMMYFUNCTION("INT(FILTER(GT(E100,0),ISNUMBER(E100)))"),1.0)</f>
        <v>1</v>
      </c>
      <c r="O100" s="10">
        <f t="shared" si="3"/>
        <v>1</v>
      </c>
      <c r="P100" s="10">
        <f>IFERROR(__xludf.DUMMYFUNCTION("INT(FILTER(EQ(D100,E100),ISNUMBER(D100),ISNUMBER(E100)))"),1.0)</f>
        <v>1</v>
      </c>
    </row>
    <row r="101">
      <c r="A101" s="1" t="s">
        <v>1236</v>
      </c>
      <c r="B101" s="7" t="s">
        <v>1237</v>
      </c>
      <c r="C101" s="25" t="s">
        <v>3656</v>
      </c>
      <c r="D101" s="28">
        <v>5.0</v>
      </c>
      <c r="E101" s="28">
        <v>3.0</v>
      </c>
      <c r="F101" s="28">
        <v>0.0</v>
      </c>
      <c r="G101" s="24" t="s">
        <v>462</v>
      </c>
      <c r="H101" s="12"/>
      <c r="I101" s="12"/>
      <c r="J101" s="12"/>
      <c r="K101" s="12"/>
      <c r="L101" s="10">
        <f t="shared" si="1"/>
        <v>0.6</v>
      </c>
      <c r="M101" s="10">
        <f t="shared" si="2"/>
        <v>0</v>
      </c>
      <c r="N101" s="10">
        <f>IFERROR(__xludf.DUMMYFUNCTION("INT(FILTER(GT(E101,0),ISNUMBER(E101)))"),1.0)</f>
        <v>1</v>
      </c>
      <c r="O101" s="10">
        <f t="shared" si="3"/>
        <v>1</v>
      </c>
      <c r="P101" s="10">
        <f>IFERROR(__xludf.DUMMYFUNCTION("INT(FILTER(EQ(D101,E101),ISNUMBER(D101),ISNUMBER(E101)))"),0.0)</f>
        <v>0</v>
      </c>
    </row>
    <row r="102">
      <c r="A102" s="1" t="s">
        <v>1240</v>
      </c>
      <c r="B102" s="7" t="s">
        <v>1241</v>
      </c>
      <c r="C102" s="25" t="s">
        <v>3657</v>
      </c>
      <c r="D102" s="27"/>
      <c r="E102" s="27"/>
      <c r="F102" s="27"/>
      <c r="G102" s="29"/>
      <c r="H102" s="12"/>
      <c r="I102" s="12"/>
      <c r="J102" s="12"/>
      <c r="K102" s="12"/>
      <c r="L102" s="10" t="str">
        <f t="shared" si="1"/>
        <v>#DIV/0!</v>
      </c>
      <c r="M102" s="10" t="str">
        <f t="shared" si="2"/>
        <v>#DIV/0!</v>
      </c>
      <c r="N102" s="10" t="str">
        <f>IFERROR(__xludf.DUMMYFUNCTION("INT(FILTER(GT(E102,0),ISNUMBER(E102)))"),"#N/A")</f>
        <v>#N/A</v>
      </c>
      <c r="O102" s="10" t="str">
        <f t="shared" si="3"/>
        <v>#DIV/0!</v>
      </c>
      <c r="P102" s="10" t="str">
        <f>IFERROR(__xludf.DUMMYFUNCTION("INT(FILTER(EQ(D102,E102),ISNUMBER(D102),ISNUMBER(E102)))"),"#N/A")</f>
        <v>#N/A</v>
      </c>
    </row>
    <row r="103">
      <c r="A103" s="1" t="s">
        <v>1248</v>
      </c>
      <c r="B103" s="7" t="s">
        <v>1249</v>
      </c>
      <c r="C103" s="25" t="s">
        <v>3658</v>
      </c>
      <c r="D103" s="27"/>
      <c r="E103" s="27"/>
      <c r="F103" s="27"/>
      <c r="G103" s="29"/>
      <c r="H103" s="12"/>
      <c r="I103" s="12"/>
      <c r="J103" s="12"/>
      <c r="K103" s="12"/>
      <c r="L103" s="10" t="str">
        <f t="shared" si="1"/>
        <v>#DIV/0!</v>
      </c>
      <c r="M103" s="10" t="str">
        <f t="shared" si="2"/>
        <v>#DIV/0!</v>
      </c>
      <c r="N103" s="10" t="str">
        <f>IFERROR(__xludf.DUMMYFUNCTION("INT(FILTER(GT(E103,0),ISNUMBER(E103)))"),"#N/A")</f>
        <v>#N/A</v>
      </c>
      <c r="O103" s="10" t="str">
        <f t="shared" si="3"/>
        <v>#DIV/0!</v>
      </c>
      <c r="P103" s="10" t="str">
        <f>IFERROR(__xludf.DUMMYFUNCTION("INT(FILTER(EQ(D103,E103),ISNUMBER(D103),ISNUMBER(E103)))"),"#N/A")</f>
        <v>#N/A</v>
      </c>
    </row>
    <row r="104">
      <c r="A104" s="1" t="s">
        <v>1260</v>
      </c>
      <c r="B104" s="7" t="s">
        <v>1261</v>
      </c>
      <c r="C104" s="25" t="s">
        <v>3659</v>
      </c>
      <c r="D104" s="27"/>
      <c r="E104" s="27"/>
      <c r="F104" s="27"/>
      <c r="G104" s="29"/>
      <c r="H104" s="12"/>
      <c r="I104" s="12"/>
      <c r="J104" s="12"/>
      <c r="K104" s="12"/>
      <c r="L104" s="10" t="str">
        <f t="shared" si="1"/>
        <v>#DIV/0!</v>
      </c>
      <c r="M104" s="10" t="str">
        <f t="shared" si="2"/>
        <v>#DIV/0!</v>
      </c>
      <c r="N104" s="10" t="str">
        <f>IFERROR(__xludf.DUMMYFUNCTION("INT(FILTER(GT(E104,0),ISNUMBER(E104)))"),"#N/A")</f>
        <v>#N/A</v>
      </c>
      <c r="O104" s="10" t="str">
        <f t="shared" si="3"/>
        <v>#DIV/0!</v>
      </c>
      <c r="P104" s="10" t="str">
        <f>IFERROR(__xludf.DUMMYFUNCTION("INT(FILTER(EQ(D104,E104),ISNUMBER(D104),ISNUMBER(E104)))"),"#N/A")</f>
        <v>#N/A</v>
      </c>
    </row>
    <row r="105">
      <c r="A105" s="1" t="s">
        <v>1268</v>
      </c>
      <c r="B105" s="7" t="s">
        <v>1269</v>
      </c>
      <c r="C105" s="25" t="s">
        <v>3660</v>
      </c>
      <c r="D105" s="27"/>
      <c r="E105" s="27"/>
      <c r="F105" s="27"/>
      <c r="G105" s="29"/>
      <c r="H105" s="12"/>
      <c r="I105" s="12"/>
      <c r="J105" s="12"/>
      <c r="K105" s="12"/>
      <c r="L105" s="10" t="str">
        <f t="shared" si="1"/>
        <v>#DIV/0!</v>
      </c>
      <c r="M105" s="10" t="str">
        <f t="shared" si="2"/>
        <v>#DIV/0!</v>
      </c>
      <c r="N105" s="10" t="str">
        <f>IFERROR(__xludf.DUMMYFUNCTION("INT(FILTER(GT(E105,0),ISNUMBER(E105)))"),"#N/A")</f>
        <v>#N/A</v>
      </c>
      <c r="O105" s="10" t="str">
        <f t="shared" si="3"/>
        <v>#DIV/0!</v>
      </c>
      <c r="P105" s="10" t="str">
        <f>IFERROR(__xludf.DUMMYFUNCTION("INT(FILTER(EQ(D105,E105),ISNUMBER(D105),ISNUMBER(E105)))"),"#N/A")</f>
        <v>#N/A</v>
      </c>
    </row>
    <row r="106">
      <c r="A106" s="1" t="s">
        <v>1280</v>
      </c>
      <c r="B106" s="7" t="s">
        <v>1281</v>
      </c>
      <c r="C106" s="25" t="s">
        <v>3661</v>
      </c>
      <c r="D106" s="27"/>
      <c r="E106" s="27"/>
      <c r="F106" s="27"/>
      <c r="G106" s="29"/>
      <c r="H106" s="12"/>
      <c r="I106" s="12"/>
      <c r="J106" s="12"/>
      <c r="K106" s="12"/>
      <c r="L106" s="10" t="str">
        <f t="shared" si="1"/>
        <v>#DIV/0!</v>
      </c>
      <c r="M106" s="10" t="str">
        <f t="shared" si="2"/>
        <v>#DIV/0!</v>
      </c>
      <c r="N106" s="10" t="str">
        <f>IFERROR(__xludf.DUMMYFUNCTION("INT(FILTER(GT(E106,0),ISNUMBER(E106)))"),"#N/A")</f>
        <v>#N/A</v>
      </c>
      <c r="O106" s="10" t="str">
        <f t="shared" si="3"/>
        <v>#DIV/0!</v>
      </c>
      <c r="P106" s="10" t="str">
        <f>IFERROR(__xludf.DUMMYFUNCTION("INT(FILTER(EQ(D106,E106),ISNUMBER(D106),ISNUMBER(E106)))"),"#N/A")</f>
        <v>#N/A</v>
      </c>
    </row>
    <row r="107">
      <c r="A107" s="1" t="s">
        <v>1284</v>
      </c>
      <c r="B107" s="7" t="s">
        <v>1285</v>
      </c>
      <c r="C107" s="25" t="s">
        <v>3584</v>
      </c>
      <c r="D107" s="27"/>
      <c r="E107" s="27"/>
      <c r="F107" s="27"/>
      <c r="G107" s="29"/>
      <c r="H107" s="12"/>
      <c r="I107" s="12"/>
      <c r="J107" s="12"/>
      <c r="K107" s="12"/>
      <c r="L107" s="10" t="str">
        <f t="shared" si="1"/>
        <v>#DIV/0!</v>
      </c>
      <c r="M107" s="10" t="str">
        <f t="shared" si="2"/>
        <v>#DIV/0!</v>
      </c>
      <c r="N107" s="10" t="str">
        <f>IFERROR(__xludf.DUMMYFUNCTION("INT(FILTER(GT(E107,0),ISNUMBER(E107)))"),"#N/A")</f>
        <v>#N/A</v>
      </c>
      <c r="O107" s="10" t="str">
        <f t="shared" si="3"/>
        <v>#DIV/0!</v>
      </c>
      <c r="P107" s="10" t="str">
        <f>IFERROR(__xludf.DUMMYFUNCTION("INT(FILTER(EQ(D107,E107),ISNUMBER(D107),ISNUMBER(E107)))"),"#N/A")</f>
        <v>#N/A</v>
      </c>
    </row>
    <row r="108">
      <c r="A108" s="1" t="s">
        <v>1309</v>
      </c>
      <c r="B108" s="7" t="s">
        <v>1310</v>
      </c>
      <c r="C108" s="25" t="s">
        <v>3662</v>
      </c>
      <c r="D108" s="27"/>
      <c r="E108" s="27"/>
      <c r="F108" s="27"/>
      <c r="G108" s="29"/>
      <c r="H108" s="12"/>
      <c r="I108" s="12"/>
      <c r="J108" s="12"/>
      <c r="K108" s="12"/>
      <c r="L108" s="10" t="str">
        <f t="shared" si="1"/>
        <v>#DIV/0!</v>
      </c>
      <c r="M108" s="10" t="str">
        <f t="shared" si="2"/>
        <v>#DIV/0!</v>
      </c>
      <c r="N108" s="10" t="str">
        <f>IFERROR(__xludf.DUMMYFUNCTION("INT(FILTER(GT(E108,0),ISNUMBER(E108)))"),"#N/A")</f>
        <v>#N/A</v>
      </c>
      <c r="O108" s="10" t="str">
        <f t="shared" si="3"/>
        <v>#DIV/0!</v>
      </c>
      <c r="P108" s="10" t="str">
        <f>IFERROR(__xludf.DUMMYFUNCTION("INT(FILTER(EQ(D108,E108),ISNUMBER(D108),ISNUMBER(E108)))"),"#N/A")</f>
        <v>#N/A</v>
      </c>
    </row>
    <row r="109">
      <c r="A109" s="1" t="s">
        <v>1316</v>
      </c>
      <c r="B109" s="7" t="s">
        <v>1317</v>
      </c>
      <c r="C109" s="25" t="s">
        <v>3663</v>
      </c>
      <c r="D109" s="27"/>
      <c r="E109" s="27"/>
      <c r="F109" s="27"/>
      <c r="G109" s="29"/>
      <c r="H109" s="12"/>
      <c r="I109" s="12"/>
      <c r="J109" s="12"/>
      <c r="K109" s="12"/>
      <c r="L109" s="10" t="str">
        <f t="shared" si="1"/>
        <v>#DIV/0!</v>
      </c>
      <c r="M109" s="10" t="str">
        <f t="shared" si="2"/>
        <v>#DIV/0!</v>
      </c>
      <c r="N109" s="10" t="str">
        <f>IFERROR(__xludf.DUMMYFUNCTION("INT(FILTER(GT(E109,0),ISNUMBER(E109)))"),"#N/A")</f>
        <v>#N/A</v>
      </c>
      <c r="O109" s="10" t="str">
        <f t="shared" si="3"/>
        <v>#DIV/0!</v>
      </c>
      <c r="P109" s="10" t="str">
        <f>IFERROR(__xludf.DUMMYFUNCTION("INT(FILTER(EQ(D109,E109),ISNUMBER(D109),ISNUMBER(E109)))"),"#N/A")</f>
        <v>#N/A</v>
      </c>
    </row>
    <row r="110">
      <c r="A110" s="1" t="s">
        <v>1324</v>
      </c>
      <c r="B110" s="7" t="s">
        <v>1325</v>
      </c>
      <c r="C110" s="25" t="s">
        <v>3664</v>
      </c>
      <c r="D110" s="27"/>
      <c r="E110" s="27"/>
      <c r="F110" s="27"/>
      <c r="G110" s="29"/>
      <c r="H110" s="12"/>
      <c r="I110" s="12"/>
      <c r="J110" s="12"/>
      <c r="K110" s="12"/>
      <c r="L110" s="10" t="str">
        <f t="shared" si="1"/>
        <v>#DIV/0!</v>
      </c>
      <c r="M110" s="10" t="str">
        <f t="shared" si="2"/>
        <v>#DIV/0!</v>
      </c>
      <c r="N110" s="10" t="str">
        <f>IFERROR(__xludf.DUMMYFUNCTION("INT(FILTER(GT(E110,0),ISNUMBER(E110)))"),"#N/A")</f>
        <v>#N/A</v>
      </c>
      <c r="O110" s="10" t="str">
        <f t="shared" si="3"/>
        <v>#DIV/0!</v>
      </c>
      <c r="P110" s="12"/>
    </row>
    <row r="111">
      <c r="A111" s="1" t="s">
        <v>1335</v>
      </c>
      <c r="B111" s="7" t="s">
        <v>1336</v>
      </c>
      <c r="C111" s="25" t="s">
        <v>3665</v>
      </c>
      <c r="D111" s="27"/>
      <c r="E111" s="27"/>
      <c r="F111" s="27"/>
      <c r="G111" s="29"/>
      <c r="H111" s="12"/>
      <c r="I111" s="12"/>
      <c r="J111" s="12"/>
      <c r="K111" s="12"/>
      <c r="L111" s="10" t="str">
        <f t="shared" si="1"/>
        <v>#DIV/0!</v>
      </c>
      <c r="M111" s="10" t="str">
        <f t="shared" si="2"/>
        <v>#DIV/0!</v>
      </c>
      <c r="N111" s="10" t="str">
        <f>IFERROR(__xludf.DUMMYFUNCTION("INT(FILTER(GT(E111,0),ISNUMBER(E111)))"),"#N/A")</f>
        <v>#N/A</v>
      </c>
      <c r="O111" s="10" t="str">
        <f t="shared" si="3"/>
        <v>#DIV/0!</v>
      </c>
      <c r="P111" s="10" t="str">
        <f>IFERROR(__xludf.DUMMYFUNCTION("INT(FILTER(EQ(D111,E111),ISNUMBER(D111),ISNUMBER(E111)))"),"#N/A")</f>
        <v>#N/A</v>
      </c>
    </row>
    <row r="112">
      <c r="A112" s="1" t="s">
        <v>1343</v>
      </c>
      <c r="B112" s="7" t="s">
        <v>1344</v>
      </c>
      <c r="C112" s="25" t="s">
        <v>3584</v>
      </c>
      <c r="D112" s="27"/>
      <c r="E112" s="27"/>
      <c r="F112" s="27"/>
      <c r="G112" s="29"/>
      <c r="H112" s="12"/>
      <c r="I112" s="12"/>
      <c r="J112" s="12"/>
      <c r="K112" s="12"/>
      <c r="L112" s="10" t="str">
        <f t="shared" si="1"/>
        <v>#DIV/0!</v>
      </c>
      <c r="M112" s="10" t="str">
        <f t="shared" si="2"/>
        <v>#DIV/0!</v>
      </c>
      <c r="N112" s="10" t="str">
        <f>IFERROR(__xludf.DUMMYFUNCTION("INT(FILTER(GT(E112,0),ISNUMBER(E112)))"),"#N/A")</f>
        <v>#N/A</v>
      </c>
      <c r="O112" s="10" t="str">
        <f t="shared" si="3"/>
        <v>#DIV/0!</v>
      </c>
      <c r="P112" s="10" t="str">
        <f>IFERROR(__xludf.DUMMYFUNCTION("INT(FILTER(EQ(D112,E112),ISNUMBER(D112),ISNUMBER(E112)))"),"#N/A")</f>
        <v>#N/A</v>
      </c>
    </row>
    <row r="113">
      <c r="A113" s="1" t="s">
        <v>1345</v>
      </c>
      <c r="B113" s="7" t="s">
        <v>1346</v>
      </c>
      <c r="C113" s="25" t="s">
        <v>3666</v>
      </c>
      <c r="D113" s="27"/>
      <c r="E113" s="27"/>
      <c r="F113" s="27"/>
      <c r="G113" s="29"/>
      <c r="H113" s="12"/>
      <c r="I113" s="12"/>
      <c r="J113" s="12"/>
      <c r="K113" s="12"/>
      <c r="L113" s="10" t="str">
        <f t="shared" si="1"/>
        <v>#DIV/0!</v>
      </c>
      <c r="M113" s="10" t="str">
        <f t="shared" si="2"/>
        <v>#DIV/0!</v>
      </c>
      <c r="N113" s="10" t="str">
        <f>IFERROR(__xludf.DUMMYFUNCTION("INT(FILTER(GT(E113,0),ISNUMBER(E113)))"),"#N/A")</f>
        <v>#N/A</v>
      </c>
      <c r="O113" s="10" t="str">
        <f t="shared" si="3"/>
        <v>#DIV/0!</v>
      </c>
      <c r="P113" s="10" t="str">
        <f>IFERROR(__xludf.DUMMYFUNCTION("INT(FILTER(EQ(D113,E113),ISNUMBER(D113),ISNUMBER(E113)))"),"#N/A")</f>
        <v>#N/A</v>
      </c>
    </row>
    <row r="114">
      <c r="A114" s="1" t="s">
        <v>1357</v>
      </c>
      <c r="B114" s="7" t="s">
        <v>1358</v>
      </c>
      <c r="C114" s="25" t="s">
        <v>3667</v>
      </c>
      <c r="D114" s="27"/>
      <c r="E114" s="30"/>
      <c r="F114" s="30"/>
      <c r="G114" s="29"/>
      <c r="H114" s="12"/>
      <c r="I114" s="12"/>
      <c r="J114" s="12"/>
      <c r="K114" s="12"/>
      <c r="L114" s="10" t="str">
        <f t="shared" si="1"/>
        <v>#DIV/0!</v>
      </c>
      <c r="M114" s="10" t="str">
        <f t="shared" si="2"/>
        <v>#DIV/0!</v>
      </c>
      <c r="N114" s="10" t="str">
        <f>IFERROR(__xludf.DUMMYFUNCTION("INT(FILTER(GT(E114,0),ISNUMBER(E114)))"),"#N/A")</f>
        <v>#N/A</v>
      </c>
      <c r="O114" s="10" t="str">
        <f t="shared" si="3"/>
        <v>#DIV/0!</v>
      </c>
      <c r="P114" s="10" t="str">
        <f>IFERROR(__xludf.DUMMYFUNCTION("INT(FILTER(EQ(D114,E114),ISNUMBER(D114),ISNUMBER(E114)))"),"#N/A")</f>
        <v>#N/A</v>
      </c>
    </row>
    <row r="115">
      <c r="A115" s="1" t="s">
        <v>1361</v>
      </c>
      <c r="B115" s="7" t="s">
        <v>1362</v>
      </c>
      <c r="C115" s="25" t="s">
        <v>3668</v>
      </c>
      <c r="D115" s="27"/>
      <c r="E115" s="30"/>
      <c r="F115" s="30"/>
      <c r="G115" s="29"/>
      <c r="H115" s="12"/>
      <c r="I115" s="12"/>
      <c r="J115" s="12"/>
      <c r="K115" s="12"/>
      <c r="L115" s="10" t="str">
        <f t="shared" si="1"/>
        <v>#DIV/0!</v>
      </c>
      <c r="M115" s="10" t="str">
        <f t="shared" si="2"/>
        <v>#DIV/0!</v>
      </c>
      <c r="N115" s="10" t="str">
        <f>IFERROR(__xludf.DUMMYFUNCTION("INT(FILTER(GT(E115,0),ISNUMBER(E115)))"),"#N/A")</f>
        <v>#N/A</v>
      </c>
      <c r="O115" s="10" t="str">
        <f t="shared" si="3"/>
        <v>#DIV/0!</v>
      </c>
      <c r="P115" s="10" t="str">
        <f>IFERROR(__xludf.DUMMYFUNCTION("INT(FILTER(EQ(D115,E115),ISNUMBER(D115),ISNUMBER(E115)))"),"#N/A")</f>
        <v>#N/A</v>
      </c>
    </row>
    <row r="116">
      <c r="A116" s="1" t="s">
        <v>1365</v>
      </c>
      <c r="B116" s="7" t="s">
        <v>1366</v>
      </c>
      <c r="C116" s="25" t="s">
        <v>3584</v>
      </c>
      <c r="D116" s="27"/>
      <c r="E116" s="27"/>
      <c r="F116" s="27"/>
      <c r="G116" s="29"/>
      <c r="H116" s="12"/>
      <c r="I116" s="12"/>
      <c r="J116" s="12"/>
      <c r="K116" s="12"/>
      <c r="L116" s="10" t="str">
        <f t="shared" si="1"/>
        <v>#DIV/0!</v>
      </c>
      <c r="M116" s="10" t="str">
        <f t="shared" si="2"/>
        <v>#DIV/0!</v>
      </c>
      <c r="N116" s="10" t="str">
        <f>IFERROR(__xludf.DUMMYFUNCTION("INT(FILTER(GT(E116,0),ISNUMBER(E116)))"),"#N/A")</f>
        <v>#N/A</v>
      </c>
      <c r="O116" s="10" t="str">
        <f t="shared" si="3"/>
        <v>#DIV/0!</v>
      </c>
      <c r="P116" s="10" t="str">
        <f>IFERROR(__xludf.DUMMYFUNCTION("INT(FILTER(EQ(D116,E116),ISNUMBER(D116),ISNUMBER(E116)))"),"#N/A")</f>
        <v>#N/A</v>
      </c>
    </row>
    <row r="117">
      <c r="A117" s="1" t="s">
        <v>1372</v>
      </c>
      <c r="B117" s="7" t="s">
        <v>1373</v>
      </c>
      <c r="C117" s="25" t="s">
        <v>3584</v>
      </c>
      <c r="D117" s="27"/>
      <c r="E117" s="27"/>
      <c r="F117" s="27"/>
      <c r="G117" s="29"/>
      <c r="H117" s="12"/>
      <c r="I117" s="12"/>
      <c r="J117" s="12"/>
      <c r="K117" s="12"/>
      <c r="L117" s="10" t="str">
        <f t="shared" si="1"/>
        <v>#DIV/0!</v>
      </c>
      <c r="M117" s="10" t="str">
        <f t="shared" si="2"/>
        <v>#DIV/0!</v>
      </c>
      <c r="N117" s="10" t="str">
        <f>IFERROR(__xludf.DUMMYFUNCTION("INT(FILTER(GT(E117,0),ISNUMBER(E117)))"),"#N/A")</f>
        <v>#N/A</v>
      </c>
      <c r="O117" s="10" t="str">
        <f t="shared" si="3"/>
        <v>#DIV/0!</v>
      </c>
      <c r="P117" s="10" t="str">
        <f>IFERROR(__xludf.DUMMYFUNCTION("INT(FILTER(EQ(D117,E117),ISNUMBER(D117),ISNUMBER(E117)))"),"#N/A")</f>
        <v>#N/A</v>
      </c>
    </row>
    <row r="118">
      <c r="A118" s="1" t="s">
        <v>1376</v>
      </c>
      <c r="B118" s="7" t="s">
        <v>1377</v>
      </c>
      <c r="C118" s="25" t="s">
        <v>3669</v>
      </c>
      <c r="D118" s="27"/>
      <c r="E118" s="27"/>
      <c r="F118" s="27"/>
      <c r="G118" s="29"/>
      <c r="H118" s="12"/>
      <c r="I118" s="12"/>
      <c r="J118" s="12"/>
      <c r="K118" s="12"/>
      <c r="L118" s="10" t="str">
        <f t="shared" si="1"/>
        <v>#DIV/0!</v>
      </c>
      <c r="M118" s="10" t="str">
        <f t="shared" si="2"/>
        <v>#DIV/0!</v>
      </c>
      <c r="N118" s="10" t="str">
        <f>IFERROR(__xludf.DUMMYFUNCTION("INT(FILTER(GT(E118,0),ISNUMBER(E118)))"),"#N/A")</f>
        <v>#N/A</v>
      </c>
      <c r="O118" s="10" t="str">
        <f t="shared" si="3"/>
        <v>#DIV/0!</v>
      </c>
      <c r="P118" s="10" t="str">
        <f>IFERROR(__xludf.DUMMYFUNCTION("INT(FILTER(EQ(D118,E118),ISNUMBER(D118),ISNUMBER(E118)))"),"#N/A")</f>
        <v>#N/A</v>
      </c>
    </row>
    <row r="119">
      <c r="A119" s="1" t="s">
        <v>1380</v>
      </c>
      <c r="B119" s="7" t="s">
        <v>1381</v>
      </c>
      <c r="C119" s="25" t="s">
        <v>3670</v>
      </c>
      <c r="D119" s="27"/>
      <c r="E119" s="30"/>
      <c r="F119" s="30"/>
      <c r="G119" s="29"/>
      <c r="H119" s="12"/>
      <c r="I119" s="12"/>
      <c r="J119" s="12"/>
      <c r="K119" s="12"/>
      <c r="L119" s="10" t="str">
        <f t="shared" si="1"/>
        <v>#DIV/0!</v>
      </c>
      <c r="M119" s="10" t="str">
        <f t="shared" si="2"/>
        <v>#DIV/0!</v>
      </c>
      <c r="N119" s="10" t="str">
        <f>IFERROR(__xludf.DUMMYFUNCTION("INT(FILTER(GT(E119,0),ISNUMBER(E119)))"),"#N/A")</f>
        <v>#N/A</v>
      </c>
      <c r="O119" s="10" t="str">
        <f t="shared" si="3"/>
        <v>#DIV/0!</v>
      </c>
      <c r="P119" s="10" t="str">
        <f>IFERROR(__xludf.DUMMYFUNCTION("INT(FILTER(EQ(D119,E119),ISNUMBER(D119),ISNUMBER(E119)))"),"#N/A")</f>
        <v>#N/A</v>
      </c>
    </row>
    <row r="120">
      <c r="A120" s="1" t="s">
        <v>1414</v>
      </c>
      <c r="B120" s="7" t="s">
        <v>1415</v>
      </c>
      <c r="C120" s="25" t="s">
        <v>3661</v>
      </c>
      <c r="D120" s="27"/>
      <c r="E120" s="30"/>
      <c r="F120" s="30"/>
      <c r="G120" s="29"/>
      <c r="H120" s="12"/>
      <c r="I120" s="12"/>
      <c r="J120" s="12"/>
      <c r="K120" s="12"/>
      <c r="L120" s="10" t="str">
        <f t="shared" si="1"/>
        <v>#DIV/0!</v>
      </c>
      <c r="M120" s="10" t="str">
        <f t="shared" si="2"/>
        <v>#DIV/0!</v>
      </c>
      <c r="N120" s="10" t="str">
        <f>IFERROR(__xludf.DUMMYFUNCTION("INT(FILTER(GT(E120,0),ISNUMBER(E120)))"),"#N/A")</f>
        <v>#N/A</v>
      </c>
      <c r="O120" s="10" t="str">
        <f t="shared" si="3"/>
        <v>#DIV/0!</v>
      </c>
      <c r="P120" s="10" t="str">
        <f>IFERROR(__xludf.DUMMYFUNCTION("INT(FILTER(EQ(D120,E120),ISNUMBER(D120),ISNUMBER(E120)))"),"#N/A")</f>
        <v>#N/A</v>
      </c>
    </row>
    <row r="121">
      <c r="A121" s="1" t="s">
        <v>1417</v>
      </c>
      <c r="B121" s="7" t="s">
        <v>1418</v>
      </c>
      <c r="C121" s="25" t="s">
        <v>3584</v>
      </c>
      <c r="D121" s="27"/>
      <c r="E121" s="30"/>
      <c r="F121" s="30"/>
      <c r="G121" s="29"/>
      <c r="H121" s="12"/>
      <c r="I121" s="12"/>
      <c r="J121" s="12"/>
      <c r="K121" s="12"/>
      <c r="L121" s="10" t="str">
        <f t="shared" si="1"/>
        <v>#DIV/0!</v>
      </c>
      <c r="M121" s="10" t="str">
        <f t="shared" si="2"/>
        <v>#DIV/0!</v>
      </c>
      <c r="N121" s="10" t="str">
        <f>IFERROR(__xludf.DUMMYFUNCTION("INT(FILTER(GT(E121,0),ISNUMBER(E121)))"),"#N/A")</f>
        <v>#N/A</v>
      </c>
      <c r="O121" s="10" t="str">
        <f t="shared" si="3"/>
        <v>#DIV/0!</v>
      </c>
      <c r="P121" s="12"/>
    </row>
    <row r="122">
      <c r="A122" s="1" t="s">
        <v>1433</v>
      </c>
      <c r="B122" s="7" t="s">
        <v>1434</v>
      </c>
      <c r="C122" s="25" t="s">
        <v>3584</v>
      </c>
      <c r="D122" s="27"/>
      <c r="E122" s="27"/>
      <c r="F122" s="27"/>
      <c r="G122" s="29"/>
      <c r="H122" s="12"/>
      <c r="I122" s="12"/>
      <c r="J122" s="12"/>
      <c r="K122" s="12"/>
      <c r="L122" s="10" t="str">
        <f t="shared" si="1"/>
        <v>#DIV/0!</v>
      </c>
      <c r="M122" s="10" t="str">
        <f t="shared" si="2"/>
        <v>#DIV/0!</v>
      </c>
      <c r="N122" s="10" t="str">
        <f>IFERROR(__xludf.DUMMYFUNCTION("INT(FILTER(GT(E122,0),ISNUMBER(E122)))"),"#N/A")</f>
        <v>#N/A</v>
      </c>
      <c r="O122" s="10" t="str">
        <f t="shared" si="3"/>
        <v>#DIV/0!</v>
      </c>
      <c r="P122" s="10" t="str">
        <f>IFERROR(__xludf.DUMMYFUNCTION("INT(FILTER(EQ(D122,E122),ISNUMBER(D122),ISNUMBER(E122)))"),"#N/A")</f>
        <v>#N/A</v>
      </c>
    </row>
    <row r="123">
      <c r="A123" s="1" t="s">
        <v>1439</v>
      </c>
      <c r="B123" s="7" t="s">
        <v>1440</v>
      </c>
      <c r="C123" s="25" t="s">
        <v>3647</v>
      </c>
      <c r="D123" s="27"/>
      <c r="E123" s="30"/>
      <c r="F123" s="30"/>
      <c r="G123" s="29"/>
      <c r="H123" s="12"/>
      <c r="I123" s="12"/>
      <c r="J123" s="12"/>
      <c r="K123" s="12"/>
      <c r="L123" s="10" t="str">
        <f t="shared" si="1"/>
        <v>#DIV/0!</v>
      </c>
      <c r="M123" s="10" t="str">
        <f t="shared" si="2"/>
        <v>#DIV/0!</v>
      </c>
      <c r="N123" s="10" t="str">
        <f>IFERROR(__xludf.DUMMYFUNCTION("INT(FILTER(GT(E123,0),ISNUMBER(E123)))"),"#N/A")</f>
        <v>#N/A</v>
      </c>
      <c r="O123" s="10" t="str">
        <f t="shared" si="3"/>
        <v>#DIV/0!</v>
      </c>
      <c r="P123" s="10" t="str">
        <f>IFERROR(__xludf.DUMMYFUNCTION("INT(FILTER(EQ(D123,E123),ISNUMBER(D123),ISNUMBER(E123)))"),"#N/A")</f>
        <v>#N/A</v>
      </c>
    </row>
    <row r="124">
      <c r="A124" s="1" t="s">
        <v>1443</v>
      </c>
      <c r="B124" s="7" t="s">
        <v>1444</v>
      </c>
      <c r="C124" s="25" t="s">
        <v>3671</v>
      </c>
      <c r="D124" s="27"/>
      <c r="E124" s="27"/>
      <c r="F124" s="27"/>
      <c r="G124" s="29"/>
      <c r="H124" s="12"/>
      <c r="I124" s="12"/>
      <c r="J124" s="12"/>
      <c r="K124" s="12"/>
      <c r="L124" s="10" t="str">
        <f t="shared" si="1"/>
        <v>#DIV/0!</v>
      </c>
      <c r="M124" s="10" t="str">
        <f t="shared" si="2"/>
        <v>#DIV/0!</v>
      </c>
      <c r="N124" s="10" t="str">
        <f>IFERROR(__xludf.DUMMYFUNCTION("INT(FILTER(GT(E124,0),ISNUMBER(E124)))"),"#N/A")</f>
        <v>#N/A</v>
      </c>
      <c r="O124" s="10" t="str">
        <f t="shared" si="3"/>
        <v>#DIV/0!</v>
      </c>
      <c r="P124" s="10" t="str">
        <f>IFERROR(__xludf.DUMMYFUNCTION("INT(FILTER(EQ(D124,E124),ISNUMBER(D124),ISNUMBER(E124)))"),"#N/A")</f>
        <v>#N/A</v>
      </c>
    </row>
    <row r="125">
      <c r="A125" s="1" t="s">
        <v>1465</v>
      </c>
      <c r="B125" s="7" t="s">
        <v>1466</v>
      </c>
      <c r="C125" s="25" t="s">
        <v>3672</v>
      </c>
      <c r="D125" s="27"/>
      <c r="E125" s="30"/>
      <c r="F125" s="30"/>
      <c r="G125" s="29"/>
      <c r="H125" s="12"/>
      <c r="I125" s="12"/>
      <c r="J125" s="12"/>
      <c r="K125" s="12"/>
      <c r="L125" s="10" t="str">
        <f t="shared" si="1"/>
        <v>#DIV/0!</v>
      </c>
      <c r="M125" s="10" t="str">
        <f t="shared" si="2"/>
        <v>#DIV/0!</v>
      </c>
      <c r="N125" s="10" t="str">
        <f>IFERROR(__xludf.DUMMYFUNCTION("INT(FILTER(GT(E125,0),ISNUMBER(E125)))"),"#N/A")</f>
        <v>#N/A</v>
      </c>
      <c r="O125" s="10" t="str">
        <f t="shared" si="3"/>
        <v>#DIV/0!</v>
      </c>
      <c r="P125" s="10" t="str">
        <f>IFERROR(__xludf.DUMMYFUNCTION("INT(FILTER(EQ(D125,E125),ISNUMBER(D125),ISNUMBER(E125)))"),"#N/A")</f>
        <v>#N/A</v>
      </c>
    </row>
    <row r="126">
      <c r="A126" s="1" t="s">
        <v>1469</v>
      </c>
      <c r="B126" s="7" t="s">
        <v>1470</v>
      </c>
      <c r="C126" s="25" t="s">
        <v>3608</v>
      </c>
      <c r="D126" s="27"/>
      <c r="E126" s="27"/>
      <c r="F126" s="27"/>
      <c r="G126" s="29"/>
      <c r="H126" s="12"/>
      <c r="I126" s="12"/>
      <c r="J126" s="12"/>
      <c r="K126" s="12"/>
      <c r="L126" s="10" t="str">
        <f t="shared" si="1"/>
        <v>#DIV/0!</v>
      </c>
      <c r="M126" s="10" t="str">
        <f t="shared" si="2"/>
        <v>#DIV/0!</v>
      </c>
      <c r="N126" s="10" t="str">
        <f>IFERROR(__xludf.DUMMYFUNCTION("INT(FILTER(GT(E126,0),ISNUMBER(E126)))"),"#N/A")</f>
        <v>#N/A</v>
      </c>
      <c r="O126" s="10" t="str">
        <f t="shared" si="3"/>
        <v>#DIV/0!</v>
      </c>
      <c r="P126" s="10" t="str">
        <f>IFERROR(__xludf.DUMMYFUNCTION("INT(FILTER(EQ(D126,E126),ISNUMBER(D126),ISNUMBER(E126)))"),"#N/A")</f>
        <v>#N/A</v>
      </c>
    </row>
    <row r="127">
      <c r="A127" s="1" t="s">
        <v>1479</v>
      </c>
      <c r="B127" s="7" t="s">
        <v>1480</v>
      </c>
      <c r="C127" s="25" t="s">
        <v>3673</v>
      </c>
      <c r="D127" s="27"/>
      <c r="E127" s="30"/>
      <c r="F127" s="30"/>
      <c r="G127" s="29"/>
      <c r="H127" s="12"/>
      <c r="I127" s="12"/>
      <c r="J127" s="12"/>
      <c r="K127" s="12"/>
      <c r="L127" s="10" t="str">
        <f t="shared" si="1"/>
        <v>#DIV/0!</v>
      </c>
      <c r="M127" s="10" t="str">
        <f t="shared" si="2"/>
        <v>#DIV/0!</v>
      </c>
      <c r="N127" s="10" t="str">
        <f>IFERROR(__xludf.DUMMYFUNCTION("INT(FILTER(GT(E127,0),ISNUMBER(E127)))"),"#N/A")</f>
        <v>#N/A</v>
      </c>
      <c r="O127" s="10" t="str">
        <f t="shared" si="3"/>
        <v>#DIV/0!</v>
      </c>
      <c r="P127" s="10" t="str">
        <f>IFERROR(__xludf.DUMMYFUNCTION("INT(FILTER(EQ(D127,E127),ISNUMBER(D127),ISNUMBER(E127)))"),"#N/A")</f>
        <v>#N/A</v>
      </c>
    </row>
    <row r="128">
      <c r="A128" s="1" t="s">
        <v>1481</v>
      </c>
      <c r="B128" s="7" t="s">
        <v>1482</v>
      </c>
      <c r="C128" s="25" t="s">
        <v>3588</v>
      </c>
      <c r="D128" s="27"/>
      <c r="E128" s="27"/>
      <c r="F128" s="27"/>
      <c r="G128" s="29"/>
      <c r="H128" s="12"/>
      <c r="I128" s="12"/>
      <c r="J128" s="12"/>
      <c r="K128" s="12"/>
      <c r="L128" s="10" t="str">
        <f t="shared" si="1"/>
        <v>#DIV/0!</v>
      </c>
      <c r="M128" s="10" t="str">
        <f t="shared" si="2"/>
        <v>#DIV/0!</v>
      </c>
      <c r="N128" s="10" t="str">
        <f>IFERROR(__xludf.DUMMYFUNCTION("INT(FILTER(GT(E128,0),ISNUMBER(E128)))"),"#N/A")</f>
        <v>#N/A</v>
      </c>
      <c r="O128" s="10" t="str">
        <f t="shared" si="3"/>
        <v>#DIV/0!</v>
      </c>
      <c r="P128" s="10" t="str">
        <f>IFERROR(__xludf.DUMMYFUNCTION("INT(FILTER(EQ(D128,E128),ISNUMBER(D128),ISNUMBER(E128)))"),"#N/A")</f>
        <v>#N/A</v>
      </c>
    </row>
    <row r="129">
      <c r="A129" s="1" t="s">
        <v>1486</v>
      </c>
      <c r="B129" s="7" t="s">
        <v>1487</v>
      </c>
      <c r="C129" s="25" t="s">
        <v>3674</v>
      </c>
      <c r="D129" s="27"/>
      <c r="E129" s="27"/>
      <c r="F129" s="27"/>
      <c r="G129" s="29"/>
      <c r="H129" s="12"/>
      <c r="I129" s="12"/>
      <c r="J129" s="12"/>
      <c r="K129" s="12"/>
      <c r="L129" s="10" t="str">
        <f t="shared" si="1"/>
        <v>#DIV/0!</v>
      </c>
      <c r="M129" s="10" t="str">
        <f t="shared" si="2"/>
        <v>#DIV/0!</v>
      </c>
      <c r="N129" s="10" t="str">
        <f>IFERROR(__xludf.DUMMYFUNCTION("INT(FILTER(GT(E129,0),ISNUMBER(E129)))"),"#N/A")</f>
        <v>#N/A</v>
      </c>
      <c r="O129" s="10" t="str">
        <f t="shared" si="3"/>
        <v>#DIV/0!</v>
      </c>
      <c r="P129" s="10" t="str">
        <f>IFERROR(__xludf.DUMMYFUNCTION("INT(FILTER(EQ(D129,E129),ISNUMBER(D129),ISNUMBER(E129)))"),"#N/A")</f>
        <v>#N/A</v>
      </c>
    </row>
    <row r="130">
      <c r="A130" s="1" t="s">
        <v>1500</v>
      </c>
      <c r="B130" s="7" t="s">
        <v>1501</v>
      </c>
      <c r="C130" s="25" t="s">
        <v>3675</v>
      </c>
      <c r="D130" s="27"/>
      <c r="E130" s="30"/>
      <c r="F130" s="30"/>
      <c r="G130" s="29"/>
      <c r="H130" s="12"/>
      <c r="I130" s="12"/>
      <c r="J130" s="12"/>
      <c r="K130" s="12"/>
      <c r="L130" s="10" t="str">
        <f t="shared" si="1"/>
        <v>#DIV/0!</v>
      </c>
      <c r="M130" s="10" t="str">
        <f t="shared" si="2"/>
        <v>#DIV/0!</v>
      </c>
      <c r="N130" s="10" t="str">
        <f>IFERROR(__xludf.DUMMYFUNCTION("INT(FILTER(GT(E130,0),ISNUMBER(E130)))"),"#N/A")</f>
        <v>#N/A</v>
      </c>
      <c r="O130" s="10" t="str">
        <f t="shared" si="3"/>
        <v>#DIV/0!</v>
      </c>
      <c r="P130" s="10" t="str">
        <f>IFERROR(__xludf.DUMMYFUNCTION("INT(FILTER(EQ(D130,E130),ISNUMBER(D130),ISNUMBER(E130)))"),"#N/A")</f>
        <v>#N/A</v>
      </c>
    </row>
    <row r="131">
      <c r="A131" s="1" t="s">
        <v>1522</v>
      </c>
      <c r="B131" s="7" t="s">
        <v>1523</v>
      </c>
      <c r="C131" s="25" t="s">
        <v>3676</v>
      </c>
      <c r="D131" s="27"/>
      <c r="E131" s="30"/>
      <c r="F131" s="30"/>
      <c r="G131" s="29"/>
      <c r="H131" s="12"/>
      <c r="I131" s="12"/>
      <c r="J131" s="12"/>
      <c r="K131" s="12"/>
      <c r="L131" s="10" t="str">
        <f t="shared" si="1"/>
        <v>#DIV/0!</v>
      </c>
      <c r="M131" s="10" t="str">
        <f t="shared" si="2"/>
        <v>#DIV/0!</v>
      </c>
      <c r="N131" s="10" t="str">
        <f>IFERROR(__xludf.DUMMYFUNCTION("INT(FILTER(GT(E131,0),ISNUMBER(E131)))"),"#N/A")</f>
        <v>#N/A</v>
      </c>
      <c r="O131" s="10" t="str">
        <f t="shared" si="3"/>
        <v>#DIV/0!</v>
      </c>
      <c r="P131" s="10" t="str">
        <f>IFERROR(__xludf.DUMMYFUNCTION("INT(FILTER(EQ(D131,E131),ISNUMBER(D131),ISNUMBER(E131)))"),"#N/A")</f>
        <v>#N/A</v>
      </c>
    </row>
    <row r="132">
      <c r="A132" s="1" t="s">
        <v>1526</v>
      </c>
      <c r="B132" s="7" t="s">
        <v>1527</v>
      </c>
      <c r="C132" s="25" t="s">
        <v>3677</v>
      </c>
      <c r="D132" s="27"/>
      <c r="E132" s="30"/>
      <c r="F132" s="30"/>
      <c r="G132" s="29"/>
      <c r="H132" s="12"/>
      <c r="I132" s="12"/>
      <c r="J132" s="12"/>
      <c r="K132" s="12"/>
      <c r="L132" s="10" t="str">
        <f t="shared" si="1"/>
        <v>#DIV/0!</v>
      </c>
      <c r="M132" s="10" t="str">
        <f t="shared" si="2"/>
        <v>#DIV/0!</v>
      </c>
      <c r="N132" s="10" t="str">
        <f>IFERROR(__xludf.DUMMYFUNCTION("INT(FILTER(GT(E132,0),ISNUMBER(E132)))"),"#N/A")</f>
        <v>#N/A</v>
      </c>
      <c r="O132" s="10" t="str">
        <f t="shared" si="3"/>
        <v>#DIV/0!</v>
      </c>
      <c r="P132" s="12"/>
    </row>
    <row r="133">
      <c r="A133" s="1" t="s">
        <v>1556</v>
      </c>
      <c r="B133" s="7" t="s">
        <v>1557</v>
      </c>
      <c r="C133" s="25" t="s">
        <v>3678</v>
      </c>
      <c r="D133" s="27"/>
      <c r="E133" s="27"/>
      <c r="F133" s="27"/>
      <c r="G133" s="29"/>
      <c r="H133" s="12"/>
      <c r="I133" s="12"/>
      <c r="J133" s="12"/>
      <c r="K133" s="12"/>
      <c r="L133" s="10" t="str">
        <f t="shared" si="1"/>
        <v>#DIV/0!</v>
      </c>
      <c r="M133" s="10" t="str">
        <f t="shared" si="2"/>
        <v>#DIV/0!</v>
      </c>
      <c r="N133" s="10" t="str">
        <f>IFERROR(__xludf.DUMMYFUNCTION("INT(FILTER(GT(E133,0),ISNUMBER(E133)))"),"#N/A")</f>
        <v>#N/A</v>
      </c>
      <c r="O133" s="10" t="str">
        <f t="shared" si="3"/>
        <v>#DIV/0!</v>
      </c>
      <c r="P133" s="10" t="str">
        <f>IFERROR(__xludf.DUMMYFUNCTION("INT(FILTER(EQ(D133,E133),ISNUMBER(D133),ISNUMBER(E133)))"),"#N/A")</f>
        <v>#N/A</v>
      </c>
    </row>
    <row r="134">
      <c r="A134" s="1" t="s">
        <v>1563</v>
      </c>
      <c r="B134" s="7" t="s">
        <v>1564</v>
      </c>
      <c r="C134" s="25" t="s">
        <v>3584</v>
      </c>
      <c r="D134" s="27"/>
      <c r="E134" s="30"/>
      <c r="F134" s="30"/>
      <c r="G134" s="29"/>
      <c r="H134" s="12"/>
      <c r="I134" s="12"/>
      <c r="J134" s="12"/>
      <c r="K134" s="12"/>
      <c r="L134" s="10" t="str">
        <f t="shared" si="1"/>
        <v>#DIV/0!</v>
      </c>
      <c r="M134" s="10" t="str">
        <f t="shared" si="2"/>
        <v>#DIV/0!</v>
      </c>
      <c r="N134" s="10" t="str">
        <f>IFERROR(__xludf.DUMMYFUNCTION("INT(FILTER(GT(E134,0),ISNUMBER(E134)))"),"#N/A")</f>
        <v>#N/A</v>
      </c>
      <c r="O134" s="10" t="str">
        <f t="shared" si="3"/>
        <v>#DIV/0!</v>
      </c>
      <c r="P134" s="10" t="str">
        <f>IFERROR(__xludf.DUMMYFUNCTION("INT(FILTER(EQ(D134,E134),ISNUMBER(D134),ISNUMBER(E134)))"),"#N/A")</f>
        <v>#N/A</v>
      </c>
    </row>
    <row r="135">
      <c r="A135" s="1" t="s">
        <v>1576</v>
      </c>
      <c r="B135" s="7" t="s">
        <v>1577</v>
      </c>
      <c r="C135" s="25" t="s">
        <v>3679</v>
      </c>
      <c r="D135" s="27"/>
      <c r="E135" s="30"/>
      <c r="F135" s="30"/>
      <c r="G135" s="29"/>
      <c r="H135" s="12"/>
      <c r="I135" s="12"/>
      <c r="J135" s="12"/>
      <c r="K135" s="12"/>
      <c r="L135" s="10" t="str">
        <f t="shared" si="1"/>
        <v>#DIV/0!</v>
      </c>
      <c r="M135" s="10" t="str">
        <f t="shared" si="2"/>
        <v>#DIV/0!</v>
      </c>
      <c r="N135" s="10" t="str">
        <f>IFERROR(__xludf.DUMMYFUNCTION("INT(FILTER(GT(E135,0),ISNUMBER(E135)))"),"#N/A")</f>
        <v>#N/A</v>
      </c>
      <c r="O135" s="10" t="str">
        <f t="shared" si="3"/>
        <v>#DIV/0!</v>
      </c>
      <c r="P135" s="10" t="str">
        <f>IFERROR(__xludf.DUMMYFUNCTION("INT(FILTER(EQ(D135,E135),ISNUMBER(D135),ISNUMBER(E135)))"),"#N/A")</f>
        <v>#N/A</v>
      </c>
    </row>
    <row r="136">
      <c r="A136" s="1" t="s">
        <v>1579</v>
      </c>
      <c r="B136" s="7" t="s">
        <v>1580</v>
      </c>
      <c r="C136" s="25" t="s">
        <v>3680</v>
      </c>
      <c r="D136" s="27"/>
      <c r="E136" s="30"/>
      <c r="F136" s="30"/>
      <c r="G136" s="29"/>
      <c r="H136" s="12"/>
      <c r="I136" s="12"/>
      <c r="J136" s="12"/>
      <c r="K136" s="12"/>
      <c r="L136" s="10" t="str">
        <f t="shared" si="1"/>
        <v>#DIV/0!</v>
      </c>
      <c r="M136" s="10" t="str">
        <f t="shared" si="2"/>
        <v>#DIV/0!</v>
      </c>
      <c r="N136" s="10" t="str">
        <f>IFERROR(__xludf.DUMMYFUNCTION("INT(FILTER(GT(E136,0),ISNUMBER(E136)))"),"#N/A")</f>
        <v>#N/A</v>
      </c>
      <c r="O136" s="10" t="str">
        <f t="shared" si="3"/>
        <v>#DIV/0!</v>
      </c>
      <c r="P136" s="10" t="str">
        <f>IFERROR(__xludf.DUMMYFUNCTION("INT(FILTER(EQ(D136,E136),ISNUMBER(D136),ISNUMBER(E136)))"),"#N/A")</f>
        <v>#N/A</v>
      </c>
    </row>
    <row r="137">
      <c r="A137" s="1" t="s">
        <v>1585</v>
      </c>
      <c r="B137" s="7" t="s">
        <v>1586</v>
      </c>
      <c r="C137" s="25" t="s">
        <v>3584</v>
      </c>
      <c r="D137" s="27"/>
      <c r="E137" s="30"/>
      <c r="F137" s="30"/>
      <c r="G137" s="29"/>
      <c r="H137" s="12"/>
      <c r="I137" s="12"/>
      <c r="J137" s="12"/>
      <c r="K137" s="12"/>
      <c r="L137" s="10" t="str">
        <f t="shared" si="1"/>
        <v>#DIV/0!</v>
      </c>
      <c r="M137" s="10" t="str">
        <f t="shared" si="2"/>
        <v>#DIV/0!</v>
      </c>
      <c r="N137" s="10" t="str">
        <f>IFERROR(__xludf.DUMMYFUNCTION("INT(FILTER(GT(E137,0),ISNUMBER(E137)))"),"#N/A")</f>
        <v>#N/A</v>
      </c>
      <c r="O137" s="10" t="str">
        <f t="shared" si="3"/>
        <v>#DIV/0!</v>
      </c>
      <c r="P137" s="10" t="str">
        <f>IFERROR(__xludf.DUMMYFUNCTION("INT(FILTER(EQ(D137,E137),ISNUMBER(D137),ISNUMBER(E137)))"),"#N/A")</f>
        <v>#N/A</v>
      </c>
    </row>
    <row r="138">
      <c r="A138" s="1" t="s">
        <v>1593</v>
      </c>
      <c r="B138" s="7" t="s">
        <v>1594</v>
      </c>
      <c r="C138" s="25" t="s">
        <v>3681</v>
      </c>
      <c r="D138" s="27"/>
      <c r="E138" s="27"/>
      <c r="F138" s="27"/>
      <c r="G138" s="29"/>
      <c r="H138" s="12"/>
      <c r="I138" s="12"/>
      <c r="J138" s="12"/>
      <c r="K138" s="12"/>
      <c r="L138" s="10" t="str">
        <f t="shared" si="1"/>
        <v>#DIV/0!</v>
      </c>
      <c r="M138" s="10" t="str">
        <f t="shared" si="2"/>
        <v>#DIV/0!</v>
      </c>
      <c r="N138" s="10" t="str">
        <f>IFERROR(__xludf.DUMMYFUNCTION("INT(FILTER(GT(E138,0),ISNUMBER(E138)))"),"#N/A")</f>
        <v>#N/A</v>
      </c>
      <c r="O138" s="10" t="str">
        <f t="shared" si="3"/>
        <v>#DIV/0!</v>
      </c>
      <c r="P138" s="10" t="str">
        <f>IFERROR(__xludf.DUMMYFUNCTION("INT(FILTER(EQ(D138,E138),ISNUMBER(D138),ISNUMBER(E138)))"),"#N/A")</f>
        <v>#N/A</v>
      </c>
    </row>
    <row r="139">
      <c r="A139" s="1" t="s">
        <v>1599</v>
      </c>
      <c r="B139" s="7" t="s">
        <v>1600</v>
      </c>
      <c r="C139" s="25" t="s">
        <v>3682</v>
      </c>
      <c r="D139" s="27"/>
      <c r="E139" s="30"/>
      <c r="F139" s="30"/>
      <c r="G139" s="29"/>
      <c r="H139" s="12"/>
      <c r="I139" s="12"/>
      <c r="J139" s="12"/>
      <c r="K139" s="12"/>
      <c r="L139" s="10" t="str">
        <f t="shared" si="1"/>
        <v>#DIV/0!</v>
      </c>
      <c r="M139" s="10" t="str">
        <f t="shared" si="2"/>
        <v>#DIV/0!</v>
      </c>
      <c r="N139" s="10" t="str">
        <f>IFERROR(__xludf.DUMMYFUNCTION("INT(FILTER(GT(E139,0),ISNUMBER(E139)))"),"#N/A")</f>
        <v>#N/A</v>
      </c>
      <c r="O139" s="10" t="str">
        <f t="shared" si="3"/>
        <v>#DIV/0!</v>
      </c>
      <c r="P139" s="10" t="str">
        <f>IFERROR(__xludf.DUMMYFUNCTION("INT(FILTER(EQ(D139,E139),ISNUMBER(D139),ISNUMBER(E139)))"),"#N/A")</f>
        <v>#N/A</v>
      </c>
    </row>
    <row r="140">
      <c r="A140" s="1" t="s">
        <v>1610</v>
      </c>
      <c r="B140" s="7" t="s">
        <v>1611</v>
      </c>
      <c r="C140" s="25" t="s">
        <v>3580</v>
      </c>
      <c r="D140" s="27"/>
      <c r="E140" s="27"/>
      <c r="F140" s="27"/>
      <c r="G140" s="29"/>
      <c r="H140" s="12"/>
      <c r="I140" s="12"/>
      <c r="J140" s="12"/>
      <c r="K140" s="12"/>
      <c r="L140" s="10" t="str">
        <f t="shared" si="1"/>
        <v>#DIV/0!</v>
      </c>
      <c r="M140" s="10" t="str">
        <f t="shared" si="2"/>
        <v>#DIV/0!</v>
      </c>
      <c r="N140" s="10" t="str">
        <f>IFERROR(__xludf.DUMMYFUNCTION("INT(FILTER(GT(E140,0),ISNUMBER(E140)))"),"#N/A")</f>
        <v>#N/A</v>
      </c>
      <c r="O140" s="10" t="str">
        <f t="shared" si="3"/>
        <v>#DIV/0!</v>
      </c>
      <c r="P140" s="10" t="str">
        <f>IFERROR(__xludf.DUMMYFUNCTION("INT(FILTER(EQ(D140,E140),ISNUMBER(D140),ISNUMBER(E140)))"),"#N/A")</f>
        <v>#N/A</v>
      </c>
    </row>
    <row r="141">
      <c r="A141" s="1" t="s">
        <v>1616</v>
      </c>
      <c r="B141" s="7" t="s">
        <v>1617</v>
      </c>
      <c r="C141" s="25" t="s">
        <v>3683</v>
      </c>
      <c r="D141" s="27"/>
      <c r="E141" s="27"/>
      <c r="F141" s="27"/>
      <c r="G141" s="29"/>
      <c r="H141" s="12"/>
      <c r="I141" s="12"/>
      <c r="J141" s="12"/>
      <c r="K141" s="12"/>
      <c r="L141" s="10" t="str">
        <f t="shared" si="1"/>
        <v>#DIV/0!</v>
      </c>
      <c r="M141" s="10" t="str">
        <f t="shared" si="2"/>
        <v>#DIV/0!</v>
      </c>
      <c r="N141" s="10" t="str">
        <f>IFERROR(__xludf.DUMMYFUNCTION("INT(FILTER(GT(E141,0),ISNUMBER(E141)))"),"#N/A")</f>
        <v>#N/A</v>
      </c>
      <c r="O141" s="10" t="str">
        <f t="shared" si="3"/>
        <v>#DIV/0!</v>
      </c>
      <c r="P141" s="10" t="str">
        <f>IFERROR(__xludf.DUMMYFUNCTION("INT(FILTER(EQ(D141,E141),ISNUMBER(D141),ISNUMBER(E141)))"),"#N/A")</f>
        <v>#N/A</v>
      </c>
    </row>
    <row r="142">
      <c r="A142" s="1" t="s">
        <v>1624</v>
      </c>
      <c r="B142" s="7" t="s">
        <v>1625</v>
      </c>
      <c r="C142" s="25" t="s">
        <v>3684</v>
      </c>
      <c r="D142" s="27"/>
      <c r="E142" s="27"/>
      <c r="F142" s="27"/>
      <c r="G142" s="29"/>
      <c r="H142" s="12"/>
      <c r="I142" s="12"/>
      <c r="J142" s="12"/>
      <c r="K142" s="12"/>
      <c r="L142" s="10" t="str">
        <f t="shared" si="1"/>
        <v>#DIV/0!</v>
      </c>
      <c r="M142" s="10" t="str">
        <f t="shared" si="2"/>
        <v>#DIV/0!</v>
      </c>
      <c r="N142" s="10" t="str">
        <f>IFERROR(__xludf.DUMMYFUNCTION("INT(FILTER(GT(E142,0),ISNUMBER(E142)))"),"#N/A")</f>
        <v>#N/A</v>
      </c>
      <c r="O142" s="10" t="str">
        <f t="shared" si="3"/>
        <v>#DIV/0!</v>
      </c>
      <c r="P142" s="10" t="str">
        <f>IFERROR(__xludf.DUMMYFUNCTION("INT(FILTER(EQ(D142,E142),ISNUMBER(D142),ISNUMBER(E142)))"),"#N/A")</f>
        <v>#N/A</v>
      </c>
    </row>
    <row r="143">
      <c r="A143" s="1" t="s">
        <v>1628</v>
      </c>
      <c r="B143" s="7" t="s">
        <v>1629</v>
      </c>
      <c r="C143" s="25" t="s">
        <v>3580</v>
      </c>
      <c r="D143" s="27"/>
      <c r="E143" s="30"/>
      <c r="F143" s="30"/>
      <c r="G143" s="29"/>
      <c r="H143" s="12"/>
      <c r="I143" s="12"/>
      <c r="J143" s="12"/>
      <c r="K143" s="12"/>
      <c r="L143" s="10" t="str">
        <f t="shared" si="1"/>
        <v>#DIV/0!</v>
      </c>
      <c r="M143" s="10" t="str">
        <f t="shared" si="2"/>
        <v>#DIV/0!</v>
      </c>
      <c r="N143" s="10" t="str">
        <f>IFERROR(__xludf.DUMMYFUNCTION("INT(FILTER(GT(E143,0),ISNUMBER(E143)))"),"#N/A")</f>
        <v>#N/A</v>
      </c>
      <c r="O143" s="10" t="str">
        <f t="shared" si="3"/>
        <v>#DIV/0!</v>
      </c>
      <c r="P143" s="12"/>
    </row>
    <row r="144">
      <c r="A144" s="1" t="s">
        <v>1649</v>
      </c>
      <c r="B144" s="7" t="s">
        <v>1650</v>
      </c>
      <c r="C144" s="25" t="s">
        <v>3685</v>
      </c>
      <c r="D144" s="27"/>
      <c r="E144" s="27"/>
      <c r="F144" s="27"/>
      <c r="G144" s="29"/>
      <c r="H144" s="12"/>
      <c r="I144" s="12"/>
      <c r="J144" s="12"/>
      <c r="K144" s="12"/>
      <c r="L144" s="10" t="str">
        <f t="shared" si="1"/>
        <v>#DIV/0!</v>
      </c>
      <c r="M144" s="10" t="str">
        <f t="shared" si="2"/>
        <v>#DIV/0!</v>
      </c>
      <c r="N144" s="10" t="str">
        <f>IFERROR(__xludf.DUMMYFUNCTION("INT(FILTER(GT(E144,0),ISNUMBER(E144)))"),"#N/A")</f>
        <v>#N/A</v>
      </c>
      <c r="O144" s="10" t="str">
        <f t="shared" si="3"/>
        <v>#DIV/0!</v>
      </c>
      <c r="P144" s="10" t="str">
        <f>IFERROR(__xludf.DUMMYFUNCTION("INT(FILTER(EQ(D144,E144),ISNUMBER(D144),ISNUMBER(E144)))"),"#N/A")</f>
        <v>#N/A</v>
      </c>
    </row>
    <row r="145">
      <c r="A145" s="1" t="s">
        <v>1681</v>
      </c>
      <c r="B145" s="7" t="s">
        <v>1682</v>
      </c>
      <c r="C145" s="25" t="s">
        <v>3588</v>
      </c>
      <c r="D145" s="27"/>
      <c r="E145" s="27"/>
      <c r="F145" s="27"/>
      <c r="G145" s="29"/>
      <c r="H145" s="12"/>
      <c r="I145" s="12"/>
      <c r="J145" s="12"/>
      <c r="K145" s="12"/>
      <c r="L145" s="10" t="str">
        <f t="shared" si="1"/>
        <v>#DIV/0!</v>
      </c>
      <c r="M145" s="10" t="str">
        <f t="shared" si="2"/>
        <v>#DIV/0!</v>
      </c>
      <c r="N145" s="10" t="str">
        <f>IFERROR(__xludf.DUMMYFUNCTION("INT(FILTER(GT(E145,0),ISNUMBER(E145)))"),"#N/A")</f>
        <v>#N/A</v>
      </c>
      <c r="O145" s="10" t="str">
        <f t="shared" si="3"/>
        <v>#DIV/0!</v>
      </c>
      <c r="P145" s="10" t="str">
        <f>IFERROR(__xludf.DUMMYFUNCTION("INT(FILTER(EQ(D145,E145),ISNUMBER(D145),ISNUMBER(E145)))"),"#N/A")</f>
        <v>#N/A</v>
      </c>
    </row>
    <row r="146">
      <c r="A146" s="1" t="s">
        <v>1695</v>
      </c>
      <c r="B146" s="7" t="s">
        <v>1696</v>
      </c>
      <c r="C146" s="25" t="s">
        <v>3584</v>
      </c>
      <c r="D146" s="27"/>
      <c r="E146" s="27"/>
      <c r="F146" s="27"/>
      <c r="G146" s="29"/>
      <c r="H146" s="12"/>
      <c r="I146" s="12"/>
      <c r="J146" s="12"/>
      <c r="K146" s="12"/>
      <c r="L146" s="10" t="str">
        <f t="shared" si="1"/>
        <v>#DIV/0!</v>
      </c>
      <c r="M146" s="10" t="str">
        <f t="shared" si="2"/>
        <v>#DIV/0!</v>
      </c>
      <c r="N146" s="10" t="str">
        <f>IFERROR(__xludf.DUMMYFUNCTION("INT(FILTER(GT(E146,0),ISNUMBER(E146)))"),"#N/A")</f>
        <v>#N/A</v>
      </c>
      <c r="O146" s="10" t="str">
        <f t="shared" si="3"/>
        <v>#DIV/0!</v>
      </c>
      <c r="P146" s="10" t="str">
        <f>IFERROR(__xludf.DUMMYFUNCTION("INT(FILTER(EQ(D146,E146),ISNUMBER(D146),ISNUMBER(E146)))"),"#N/A")</f>
        <v>#N/A</v>
      </c>
    </row>
    <row r="147">
      <c r="A147" s="1" t="s">
        <v>1697</v>
      </c>
      <c r="B147" s="7" t="s">
        <v>1698</v>
      </c>
      <c r="C147" s="25" t="s">
        <v>3686</v>
      </c>
      <c r="D147" s="27"/>
      <c r="E147" s="30"/>
      <c r="F147" s="30"/>
      <c r="G147" s="29"/>
      <c r="H147" s="12"/>
      <c r="I147" s="12"/>
      <c r="J147" s="12"/>
      <c r="K147" s="12"/>
      <c r="L147" s="10" t="str">
        <f t="shared" si="1"/>
        <v>#DIV/0!</v>
      </c>
      <c r="M147" s="10" t="str">
        <f t="shared" si="2"/>
        <v>#DIV/0!</v>
      </c>
      <c r="N147" s="10" t="str">
        <f>IFERROR(__xludf.DUMMYFUNCTION("INT(FILTER(GT(E147,0),ISNUMBER(E147)))"),"#N/A")</f>
        <v>#N/A</v>
      </c>
      <c r="O147" s="10" t="str">
        <f t="shared" si="3"/>
        <v>#DIV/0!</v>
      </c>
      <c r="P147" s="10" t="str">
        <f>IFERROR(__xludf.DUMMYFUNCTION("INT(FILTER(EQ(D147,E147),ISNUMBER(D147),ISNUMBER(E147)))"),"#N/A")</f>
        <v>#N/A</v>
      </c>
    </row>
    <row r="148">
      <c r="A148" s="1" t="s">
        <v>1705</v>
      </c>
      <c r="B148" s="7" t="s">
        <v>1706</v>
      </c>
      <c r="C148" s="25" t="s">
        <v>3687</v>
      </c>
      <c r="D148" s="27"/>
      <c r="E148" s="30"/>
      <c r="F148" s="30"/>
      <c r="G148" s="29"/>
      <c r="H148" s="12"/>
      <c r="I148" s="12"/>
      <c r="J148" s="12"/>
      <c r="K148" s="12"/>
      <c r="L148" s="10" t="str">
        <f t="shared" si="1"/>
        <v>#DIV/0!</v>
      </c>
      <c r="M148" s="10" t="str">
        <f t="shared" si="2"/>
        <v>#DIV/0!</v>
      </c>
      <c r="N148" s="10" t="str">
        <f>IFERROR(__xludf.DUMMYFUNCTION("INT(FILTER(GT(E148,0),ISNUMBER(E148)))"),"#N/A")</f>
        <v>#N/A</v>
      </c>
      <c r="O148" s="10" t="str">
        <f t="shared" si="3"/>
        <v>#DIV/0!</v>
      </c>
      <c r="P148" s="10" t="str">
        <f>IFERROR(__xludf.DUMMYFUNCTION("INT(FILTER(EQ(D148,E148),ISNUMBER(D148),ISNUMBER(E148)))"),"#N/A")</f>
        <v>#N/A</v>
      </c>
    </row>
    <row r="149">
      <c r="A149" s="1" t="s">
        <v>1709</v>
      </c>
      <c r="B149" s="7" t="s">
        <v>1710</v>
      </c>
      <c r="C149" s="25" t="s">
        <v>3599</v>
      </c>
      <c r="D149" s="27"/>
      <c r="E149" s="27"/>
      <c r="F149" s="27"/>
      <c r="G149" s="29"/>
      <c r="H149" s="12"/>
      <c r="I149" s="12"/>
      <c r="J149" s="12"/>
      <c r="K149" s="12"/>
      <c r="L149" s="10" t="str">
        <f t="shared" si="1"/>
        <v>#DIV/0!</v>
      </c>
      <c r="M149" s="10" t="str">
        <f t="shared" si="2"/>
        <v>#DIV/0!</v>
      </c>
      <c r="N149" s="10" t="str">
        <f>IFERROR(__xludf.DUMMYFUNCTION("INT(FILTER(GT(E149,0),ISNUMBER(E149)))"),"#N/A")</f>
        <v>#N/A</v>
      </c>
      <c r="O149" s="10" t="str">
        <f t="shared" si="3"/>
        <v>#DIV/0!</v>
      </c>
      <c r="P149" s="10" t="str">
        <f>IFERROR(__xludf.DUMMYFUNCTION("INT(FILTER(EQ(D149,E149),ISNUMBER(D149),ISNUMBER(E149)))"),"#N/A")</f>
        <v>#N/A</v>
      </c>
    </row>
    <row r="150">
      <c r="A150" s="1" t="s">
        <v>1713</v>
      </c>
      <c r="B150" s="7" t="s">
        <v>1714</v>
      </c>
      <c r="C150" s="25" t="s">
        <v>3688</v>
      </c>
      <c r="D150" s="27"/>
      <c r="E150" s="27"/>
      <c r="F150" s="27"/>
      <c r="G150" s="29"/>
      <c r="H150" s="12"/>
      <c r="I150" s="12"/>
      <c r="J150" s="12"/>
      <c r="K150" s="12"/>
      <c r="L150" s="10" t="str">
        <f t="shared" si="1"/>
        <v>#DIV/0!</v>
      </c>
      <c r="M150" s="10" t="str">
        <f t="shared" si="2"/>
        <v>#DIV/0!</v>
      </c>
      <c r="N150" s="10" t="str">
        <f>IFERROR(__xludf.DUMMYFUNCTION("INT(FILTER(GT(E150,0),ISNUMBER(E150)))"),"#N/A")</f>
        <v>#N/A</v>
      </c>
      <c r="O150" s="10" t="str">
        <f t="shared" si="3"/>
        <v>#DIV/0!</v>
      </c>
      <c r="P150" s="10" t="str">
        <f>IFERROR(__xludf.DUMMYFUNCTION("INT(FILTER(EQ(D150,E150),ISNUMBER(D150),ISNUMBER(E150)))"),"#N/A")</f>
        <v>#N/A</v>
      </c>
    </row>
    <row r="151">
      <c r="A151" s="1" t="s">
        <v>1719</v>
      </c>
      <c r="B151" s="7" t="s">
        <v>1720</v>
      </c>
      <c r="C151" s="25" t="s">
        <v>3599</v>
      </c>
      <c r="D151" s="27"/>
      <c r="E151" s="30"/>
      <c r="F151" s="30"/>
      <c r="G151" s="29"/>
      <c r="H151" s="12"/>
      <c r="I151" s="12"/>
      <c r="J151" s="12"/>
      <c r="K151" s="12"/>
      <c r="L151" s="10" t="str">
        <f t="shared" si="1"/>
        <v>#DIV/0!</v>
      </c>
      <c r="M151" s="10" t="str">
        <f t="shared" si="2"/>
        <v>#DIV/0!</v>
      </c>
      <c r="N151" s="10" t="str">
        <f>IFERROR(__xludf.DUMMYFUNCTION("INT(FILTER(GT(E151,0),ISNUMBER(E151)))"),"#N/A")</f>
        <v>#N/A</v>
      </c>
      <c r="O151" s="10" t="str">
        <f t="shared" si="3"/>
        <v>#DIV/0!</v>
      </c>
      <c r="P151" s="10" t="str">
        <f>IFERROR(__xludf.DUMMYFUNCTION("INT(FILTER(EQ(D151,E151),ISNUMBER(D151),ISNUMBER(E151)))"),"#N/A")</f>
        <v>#N/A</v>
      </c>
    </row>
    <row r="152">
      <c r="A152" s="1" t="s">
        <v>1731</v>
      </c>
      <c r="B152" s="7" t="s">
        <v>1732</v>
      </c>
      <c r="C152" s="25" t="s">
        <v>3689</v>
      </c>
      <c r="D152" s="27"/>
      <c r="E152" s="30"/>
      <c r="F152" s="30"/>
      <c r="G152" s="29"/>
      <c r="H152" s="12"/>
      <c r="I152" s="12"/>
      <c r="J152" s="12"/>
      <c r="K152" s="12"/>
      <c r="L152" s="10" t="str">
        <f t="shared" si="1"/>
        <v>#DIV/0!</v>
      </c>
      <c r="M152" s="10" t="str">
        <f t="shared" si="2"/>
        <v>#DIV/0!</v>
      </c>
      <c r="N152" s="10" t="str">
        <f>IFERROR(__xludf.DUMMYFUNCTION("INT(FILTER(GT(E152,0),ISNUMBER(E152)))"),"#N/A")</f>
        <v>#N/A</v>
      </c>
      <c r="O152" s="10" t="str">
        <f t="shared" si="3"/>
        <v>#DIV/0!</v>
      </c>
      <c r="P152" s="10" t="str">
        <f>IFERROR(__xludf.DUMMYFUNCTION("INT(FILTER(EQ(D152,E152),ISNUMBER(D152),ISNUMBER(E152)))"),"#N/A")</f>
        <v>#N/A</v>
      </c>
    </row>
    <row r="153">
      <c r="A153" s="1" t="s">
        <v>1736</v>
      </c>
      <c r="B153" s="7" t="s">
        <v>1737</v>
      </c>
      <c r="C153" s="25" t="s">
        <v>3690</v>
      </c>
      <c r="D153" s="27"/>
      <c r="E153" s="30"/>
      <c r="F153" s="30"/>
      <c r="G153" s="29"/>
      <c r="H153" s="12"/>
      <c r="I153" s="12"/>
      <c r="J153" s="12"/>
      <c r="K153" s="12"/>
      <c r="L153" s="10" t="str">
        <f t="shared" si="1"/>
        <v>#DIV/0!</v>
      </c>
      <c r="M153" s="10" t="str">
        <f t="shared" si="2"/>
        <v>#DIV/0!</v>
      </c>
      <c r="N153" s="10" t="str">
        <f>IFERROR(__xludf.DUMMYFUNCTION("INT(FILTER(GT(E153,0),ISNUMBER(E153)))"),"#N/A")</f>
        <v>#N/A</v>
      </c>
      <c r="O153" s="10" t="str">
        <f t="shared" si="3"/>
        <v>#DIV/0!</v>
      </c>
      <c r="P153" s="10" t="str">
        <f>IFERROR(__xludf.DUMMYFUNCTION("INT(FILTER(EQ(D153,E153),ISNUMBER(D153),ISNUMBER(E153)))"),"#N/A")</f>
        <v>#N/A</v>
      </c>
    </row>
    <row r="154">
      <c r="A154" s="1" t="s">
        <v>1740</v>
      </c>
      <c r="B154" s="7" t="s">
        <v>1741</v>
      </c>
      <c r="C154" s="25" t="s">
        <v>3584</v>
      </c>
      <c r="D154" s="27"/>
      <c r="E154" s="30"/>
      <c r="F154" s="30"/>
      <c r="G154" s="29"/>
      <c r="H154" s="12"/>
      <c r="I154" s="12"/>
      <c r="J154" s="12"/>
      <c r="K154" s="12"/>
      <c r="L154" s="10" t="str">
        <f t="shared" si="1"/>
        <v>#DIV/0!</v>
      </c>
      <c r="M154" s="10" t="str">
        <f t="shared" si="2"/>
        <v>#DIV/0!</v>
      </c>
      <c r="N154" s="10" t="str">
        <f>IFERROR(__xludf.DUMMYFUNCTION("INT(FILTER(GT(E154,0),ISNUMBER(E154)))"),"#N/A")</f>
        <v>#N/A</v>
      </c>
      <c r="O154" s="10" t="str">
        <f t="shared" si="3"/>
        <v>#DIV/0!</v>
      </c>
      <c r="P154" s="12"/>
    </row>
    <row r="155">
      <c r="A155" s="1" t="s">
        <v>1748</v>
      </c>
      <c r="B155" s="7" t="s">
        <v>1749</v>
      </c>
      <c r="C155" s="25" t="s">
        <v>3584</v>
      </c>
      <c r="D155" s="27"/>
      <c r="E155" s="30"/>
      <c r="F155" s="30"/>
      <c r="G155" s="29"/>
      <c r="H155" s="12"/>
      <c r="I155" s="12"/>
      <c r="J155" s="12"/>
      <c r="K155" s="12"/>
      <c r="L155" s="10" t="str">
        <f t="shared" si="1"/>
        <v>#DIV/0!</v>
      </c>
      <c r="M155" s="10" t="str">
        <f t="shared" si="2"/>
        <v>#DIV/0!</v>
      </c>
      <c r="N155" s="10" t="str">
        <f>IFERROR(__xludf.DUMMYFUNCTION("INT(FILTER(GT(E155,0),ISNUMBER(E155)))"),"#N/A")</f>
        <v>#N/A</v>
      </c>
      <c r="O155" s="10" t="str">
        <f t="shared" si="3"/>
        <v>#DIV/0!</v>
      </c>
      <c r="P155" s="10" t="str">
        <f>IFERROR(__xludf.DUMMYFUNCTION("INT(FILTER(EQ(D155,E155),ISNUMBER(D155),ISNUMBER(E155)))"),"#N/A")</f>
        <v>#N/A</v>
      </c>
    </row>
    <row r="156">
      <c r="A156" s="1" t="s">
        <v>1758</v>
      </c>
      <c r="B156" s="7" t="s">
        <v>1759</v>
      </c>
      <c r="C156" s="25" t="s">
        <v>3691</v>
      </c>
      <c r="D156" s="27"/>
      <c r="E156" s="30"/>
      <c r="F156" s="30"/>
      <c r="G156" s="29"/>
      <c r="H156" s="12"/>
      <c r="I156" s="12"/>
      <c r="J156" s="12"/>
      <c r="K156" s="12"/>
      <c r="L156" s="10" t="str">
        <f t="shared" si="1"/>
        <v>#DIV/0!</v>
      </c>
      <c r="M156" s="10" t="str">
        <f t="shared" si="2"/>
        <v>#DIV/0!</v>
      </c>
      <c r="N156" s="10" t="str">
        <f>IFERROR(__xludf.DUMMYFUNCTION("INT(FILTER(GT(E156,0),ISNUMBER(E156)))"),"#N/A")</f>
        <v>#N/A</v>
      </c>
      <c r="O156" s="10" t="str">
        <f t="shared" si="3"/>
        <v>#DIV/0!</v>
      </c>
      <c r="P156" s="10" t="str">
        <f>IFERROR(__xludf.DUMMYFUNCTION("INT(FILTER(EQ(D156,E156),ISNUMBER(D156),ISNUMBER(E156)))"),"#N/A")</f>
        <v>#N/A</v>
      </c>
    </row>
    <row r="157">
      <c r="A157" s="1" t="s">
        <v>1775</v>
      </c>
      <c r="B157" s="7" t="s">
        <v>1776</v>
      </c>
      <c r="C157" s="25" t="s">
        <v>3611</v>
      </c>
      <c r="D157" s="27"/>
      <c r="E157" s="30"/>
      <c r="F157" s="30"/>
      <c r="G157" s="29"/>
      <c r="H157" s="12"/>
      <c r="I157" s="12"/>
      <c r="J157" s="12"/>
      <c r="K157" s="12"/>
      <c r="L157" s="10" t="str">
        <f t="shared" si="1"/>
        <v>#DIV/0!</v>
      </c>
      <c r="M157" s="10" t="str">
        <f t="shared" si="2"/>
        <v>#DIV/0!</v>
      </c>
      <c r="N157" s="10" t="str">
        <f>IFERROR(__xludf.DUMMYFUNCTION("INT(FILTER(GT(E157,0),ISNUMBER(E157)))"),"#N/A")</f>
        <v>#N/A</v>
      </c>
      <c r="O157" s="10" t="str">
        <f t="shared" si="3"/>
        <v>#DIV/0!</v>
      </c>
      <c r="P157" s="10" t="str">
        <f>IFERROR(__xludf.DUMMYFUNCTION("INT(FILTER(EQ(D157,E157),ISNUMBER(D157),ISNUMBER(E157)))"),"#N/A")</f>
        <v>#N/A</v>
      </c>
    </row>
    <row r="158">
      <c r="A158" s="1" t="s">
        <v>1782</v>
      </c>
      <c r="B158" s="7" t="s">
        <v>1783</v>
      </c>
      <c r="C158" s="25" t="s">
        <v>3645</v>
      </c>
      <c r="D158" s="27"/>
      <c r="E158" s="27"/>
      <c r="F158" s="27"/>
      <c r="G158" s="29"/>
      <c r="H158" s="12"/>
      <c r="I158" s="12"/>
      <c r="J158" s="12"/>
      <c r="K158" s="12"/>
      <c r="L158" s="10" t="str">
        <f t="shared" si="1"/>
        <v>#DIV/0!</v>
      </c>
      <c r="M158" s="10" t="str">
        <f t="shared" si="2"/>
        <v>#DIV/0!</v>
      </c>
      <c r="N158" s="10" t="str">
        <f>IFERROR(__xludf.DUMMYFUNCTION("INT(FILTER(GT(E158,0),ISNUMBER(E158)))"),"#N/A")</f>
        <v>#N/A</v>
      </c>
      <c r="O158" s="10" t="str">
        <f t="shared" si="3"/>
        <v>#DIV/0!</v>
      </c>
      <c r="P158" s="10" t="str">
        <f>IFERROR(__xludf.DUMMYFUNCTION("INT(FILTER(EQ(D158,E158),ISNUMBER(D158),ISNUMBER(E158)))"),"#N/A")</f>
        <v>#N/A</v>
      </c>
    </row>
    <row r="159">
      <c r="A159" s="1" t="s">
        <v>1786</v>
      </c>
      <c r="B159" s="7" t="s">
        <v>1787</v>
      </c>
      <c r="C159" s="25" t="s">
        <v>3692</v>
      </c>
      <c r="D159" s="27"/>
      <c r="E159" s="30"/>
      <c r="F159" s="30"/>
      <c r="G159" s="29"/>
      <c r="H159" s="12"/>
      <c r="I159" s="12"/>
      <c r="J159" s="12"/>
      <c r="K159" s="12"/>
      <c r="L159" s="10" t="str">
        <f t="shared" si="1"/>
        <v>#DIV/0!</v>
      </c>
      <c r="M159" s="10" t="str">
        <f t="shared" si="2"/>
        <v>#DIV/0!</v>
      </c>
      <c r="N159" s="10" t="str">
        <f>IFERROR(__xludf.DUMMYFUNCTION("INT(FILTER(GT(E159,0),ISNUMBER(E159)))"),"#N/A")</f>
        <v>#N/A</v>
      </c>
      <c r="O159" s="10" t="str">
        <f t="shared" si="3"/>
        <v>#DIV/0!</v>
      </c>
      <c r="P159" s="10" t="str">
        <f>IFERROR(__xludf.DUMMYFUNCTION("INT(FILTER(EQ(D159,E159),ISNUMBER(D159),ISNUMBER(E159)))"),"#N/A")</f>
        <v>#N/A</v>
      </c>
    </row>
    <row r="160">
      <c r="A160" s="1" t="s">
        <v>1790</v>
      </c>
      <c r="B160" s="7" t="s">
        <v>1791</v>
      </c>
      <c r="C160" s="25" t="s">
        <v>3693</v>
      </c>
      <c r="D160" s="27"/>
      <c r="E160" s="30"/>
      <c r="F160" s="30"/>
      <c r="G160" s="29"/>
      <c r="H160" s="12"/>
      <c r="I160" s="12"/>
      <c r="J160" s="12"/>
      <c r="K160" s="12"/>
      <c r="L160" s="10" t="str">
        <f t="shared" si="1"/>
        <v>#DIV/0!</v>
      </c>
      <c r="M160" s="10" t="str">
        <f t="shared" si="2"/>
        <v>#DIV/0!</v>
      </c>
      <c r="N160" s="10" t="str">
        <f>IFERROR(__xludf.DUMMYFUNCTION("INT(FILTER(GT(E160,0),ISNUMBER(E160)))"),"#N/A")</f>
        <v>#N/A</v>
      </c>
      <c r="O160" s="10" t="str">
        <f t="shared" si="3"/>
        <v>#DIV/0!</v>
      </c>
      <c r="P160" s="10" t="str">
        <f>IFERROR(__xludf.DUMMYFUNCTION("INT(FILTER(EQ(D160,E160),ISNUMBER(D160),ISNUMBER(E160)))"),"#N/A")</f>
        <v>#N/A</v>
      </c>
    </row>
    <row r="161">
      <c r="A161" s="1" t="s">
        <v>1808</v>
      </c>
      <c r="B161" s="7" t="s">
        <v>1809</v>
      </c>
      <c r="C161" s="25" t="s">
        <v>3584</v>
      </c>
      <c r="D161" s="27"/>
      <c r="E161" s="30"/>
      <c r="F161" s="30"/>
      <c r="G161" s="29"/>
      <c r="H161" s="12"/>
      <c r="I161" s="12"/>
      <c r="J161" s="12"/>
      <c r="K161" s="12"/>
      <c r="L161" s="10" t="str">
        <f t="shared" si="1"/>
        <v>#DIV/0!</v>
      </c>
      <c r="M161" s="10" t="str">
        <f t="shared" si="2"/>
        <v>#DIV/0!</v>
      </c>
      <c r="N161" s="10" t="str">
        <f>IFERROR(__xludf.DUMMYFUNCTION("INT(FILTER(GT(E161,0),ISNUMBER(E161)))"),"#N/A")</f>
        <v>#N/A</v>
      </c>
      <c r="O161" s="10" t="str">
        <f t="shared" si="3"/>
        <v>#DIV/0!</v>
      </c>
      <c r="P161" s="10" t="str">
        <f>IFERROR(__xludf.DUMMYFUNCTION("INT(FILTER(EQ(D161,E161),ISNUMBER(D161),ISNUMBER(E161)))"),"#N/A")</f>
        <v>#N/A</v>
      </c>
    </row>
    <row r="162">
      <c r="A162" s="1" t="s">
        <v>1822</v>
      </c>
      <c r="B162" s="7" t="s">
        <v>1823</v>
      </c>
      <c r="C162" s="25" t="s">
        <v>3694</v>
      </c>
      <c r="D162" s="27"/>
      <c r="E162" s="27"/>
      <c r="F162" s="27"/>
      <c r="G162" s="29"/>
      <c r="H162" s="12"/>
      <c r="I162" s="12"/>
      <c r="J162" s="12"/>
      <c r="K162" s="12"/>
      <c r="L162" s="10" t="str">
        <f t="shared" si="1"/>
        <v>#DIV/0!</v>
      </c>
      <c r="M162" s="10" t="str">
        <f t="shared" si="2"/>
        <v>#DIV/0!</v>
      </c>
      <c r="N162" s="10" t="str">
        <f>IFERROR(__xludf.DUMMYFUNCTION("INT(FILTER(GT(E162,0),ISNUMBER(E162)))"),"#N/A")</f>
        <v>#N/A</v>
      </c>
      <c r="O162" s="10" t="str">
        <f t="shared" si="3"/>
        <v>#DIV/0!</v>
      </c>
      <c r="P162" s="10" t="str">
        <f>IFERROR(__xludf.DUMMYFUNCTION("INT(FILTER(EQ(D162,E162),ISNUMBER(D162),ISNUMBER(E162)))"),"#N/A")</f>
        <v>#N/A</v>
      </c>
    </row>
    <row r="163">
      <c r="A163" s="1" t="s">
        <v>1826</v>
      </c>
      <c r="B163" s="7" t="s">
        <v>1827</v>
      </c>
      <c r="C163" s="25" t="s">
        <v>3695</v>
      </c>
      <c r="D163" s="27"/>
      <c r="E163" s="27"/>
      <c r="F163" s="27"/>
      <c r="G163" s="29"/>
      <c r="H163" s="12"/>
      <c r="I163" s="12"/>
      <c r="J163" s="12"/>
      <c r="K163" s="12"/>
      <c r="L163" s="10" t="str">
        <f t="shared" si="1"/>
        <v>#DIV/0!</v>
      </c>
      <c r="M163" s="10" t="str">
        <f t="shared" si="2"/>
        <v>#DIV/0!</v>
      </c>
      <c r="N163" s="10" t="str">
        <f>IFERROR(__xludf.DUMMYFUNCTION("INT(FILTER(GT(E163,0),ISNUMBER(E163)))"),"#N/A")</f>
        <v>#N/A</v>
      </c>
      <c r="O163" s="10" t="str">
        <f t="shared" si="3"/>
        <v>#DIV/0!</v>
      </c>
      <c r="P163" s="10" t="str">
        <f>IFERROR(__xludf.DUMMYFUNCTION("INT(FILTER(EQ(D163,E163),ISNUMBER(D163),ISNUMBER(E163)))"),"#N/A")</f>
        <v>#N/A</v>
      </c>
    </row>
    <row r="164">
      <c r="A164" s="1" t="s">
        <v>1834</v>
      </c>
      <c r="B164" s="7" t="s">
        <v>1835</v>
      </c>
      <c r="C164" s="25" t="s">
        <v>3580</v>
      </c>
      <c r="D164" s="27"/>
      <c r="E164" s="27"/>
      <c r="F164" s="27"/>
      <c r="G164" s="29"/>
      <c r="H164" s="12"/>
      <c r="I164" s="12"/>
      <c r="J164" s="12"/>
      <c r="K164" s="12"/>
      <c r="L164" s="10" t="str">
        <f t="shared" si="1"/>
        <v>#DIV/0!</v>
      </c>
      <c r="M164" s="10" t="str">
        <f t="shared" si="2"/>
        <v>#DIV/0!</v>
      </c>
      <c r="N164" s="10" t="str">
        <f>IFERROR(__xludf.DUMMYFUNCTION("INT(FILTER(GT(E164,0),ISNUMBER(E164)))"),"#N/A")</f>
        <v>#N/A</v>
      </c>
      <c r="O164" s="10" t="str">
        <f t="shared" si="3"/>
        <v>#DIV/0!</v>
      </c>
      <c r="P164" s="10" t="str">
        <f>IFERROR(__xludf.DUMMYFUNCTION("INT(FILTER(EQ(D164,E164),ISNUMBER(D164),ISNUMBER(E164)))"),"#N/A")</f>
        <v>#N/A</v>
      </c>
    </row>
    <row r="165">
      <c r="A165" s="1" t="s">
        <v>1860</v>
      </c>
      <c r="B165" s="7" t="s">
        <v>1861</v>
      </c>
      <c r="C165" s="25" t="s">
        <v>3696</v>
      </c>
      <c r="D165" s="27"/>
      <c r="E165" s="27"/>
      <c r="F165" s="27"/>
      <c r="G165" s="29"/>
      <c r="H165" s="12"/>
      <c r="I165" s="12"/>
      <c r="J165" s="12"/>
      <c r="K165" s="12"/>
      <c r="L165" s="10" t="str">
        <f t="shared" si="1"/>
        <v>#DIV/0!</v>
      </c>
      <c r="M165" s="10" t="str">
        <f t="shared" si="2"/>
        <v>#DIV/0!</v>
      </c>
      <c r="N165" s="10" t="str">
        <f>IFERROR(__xludf.DUMMYFUNCTION("INT(FILTER(GT(E165,0),ISNUMBER(E165)))"),"#N/A")</f>
        <v>#N/A</v>
      </c>
      <c r="O165" s="10" t="str">
        <f t="shared" si="3"/>
        <v>#DIV/0!</v>
      </c>
      <c r="P165" s="12"/>
    </row>
    <row r="166">
      <c r="A166" s="1" t="s">
        <v>1864</v>
      </c>
      <c r="B166" s="7" t="s">
        <v>1865</v>
      </c>
      <c r="C166" s="25" t="s">
        <v>3697</v>
      </c>
      <c r="D166" s="27"/>
      <c r="E166" s="27"/>
      <c r="F166" s="27"/>
      <c r="G166" s="29"/>
      <c r="H166" s="12"/>
      <c r="I166" s="12"/>
      <c r="J166" s="12"/>
      <c r="K166" s="12"/>
      <c r="L166" s="10" t="str">
        <f t="shared" si="1"/>
        <v>#DIV/0!</v>
      </c>
      <c r="M166" s="10" t="str">
        <f t="shared" si="2"/>
        <v>#DIV/0!</v>
      </c>
      <c r="N166" s="10" t="str">
        <f>IFERROR(__xludf.DUMMYFUNCTION("INT(FILTER(GT(E166,0),ISNUMBER(E166)))"),"#N/A")</f>
        <v>#N/A</v>
      </c>
      <c r="O166" s="10" t="str">
        <f t="shared" si="3"/>
        <v>#DIV/0!</v>
      </c>
      <c r="P166" s="10" t="str">
        <f>IFERROR(__xludf.DUMMYFUNCTION("INT(FILTER(EQ(D166,E166),ISNUMBER(D166),ISNUMBER(E166)))"),"#N/A")</f>
        <v>#N/A</v>
      </c>
    </row>
    <row r="167">
      <c r="A167" s="1" t="s">
        <v>1872</v>
      </c>
      <c r="B167" s="7" t="s">
        <v>1873</v>
      </c>
      <c r="C167" s="25" t="s">
        <v>3698</v>
      </c>
      <c r="D167" s="27"/>
      <c r="E167" s="30"/>
      <c r="F167" s="30"/>
      <c r="G167" s="29"/>
      <c r="H167" s="12"/>
      <c r="I167" s="12"/>
      <c r="J167" s="12"/>
      <c r="K167" s="12"/>
      <c r="L167" s="10" t="str">
        <f t="shared" si="1"/>
        <v>#DIV/0!</v>
      </c>
      <c r="M167" s="10" t="str">
        <f t="shared" si="2"/>
        <v>#DIV/0!</v>
      </c>
      <c r="N167" s="10" t="str">
        <f>IFERROR(__xludf.DUMMYFUNCTION("INT(FILTER(GT(E167,0),ISNUMBER(E167)))"),"#N/A")</f>
        <v>#N/A</v>
      </c>
      <c r="O167" s="10" t="str">
        <f t="shared" si="3"/>
        <v>#DIV/0!</v>
      </c>
      <c r="P167" s="10" t="str">
        <f>IFERROR(__xludf.DUMMYFUNCTION("INT(FILTER(EQ(D167,E167),ISNUMBER(D167),ISNUMBER(E167)))"),"#N/A")</f>
        <v>#N/A</v>
      </c>
    </row>
    <row r="168">
      <c r="A168" s="1" t="s">
        <v>1880</v>
      </c>
      <c r="B168" s="7" t="s">
        <v>1881</v>
      </c>
      <c r="C168" s="25" t="s">
        <v>3599</v>
      </c>
      <c r="D168" s="27"/>
      <c r="E168" s="30"/>
      <c r="F168" s="30"/>
      <c r="G168" s="29"/>
      <c r="H168" s="12"/>
      <c r="I168" s="12"/>
      <c r="J168" s="12"/>
      <c r="K168" s="12"/>
      <c r="L168" s="10" t="str">
        <f t="shared" si="1"/>
        <v>#DIV/0!</v>
      </c>
      <c r="M168" s="10" t="str">
        <f t="shared" si="2"/>
        <v>#DIV/0!</v>
      </c>
      <c r="N168" s="10" t="str">
        <f>IFERROR(__xludf.DUMMYFUNCTION("INT(FILTER(GT(E168,0),ISNUMBER(E168)))"),"#N/A")</f>
        <v>#N/A</v>
      </c>
      <c r="O168" s="10" t="str">
        <f t="shared" si="3"/>
        <v>#DIV/0!</v>
      </c>
      <c r="P168" s="10" t="str">
        <f>IFERROR(__xludf.DUMMYFUNCTION("INT(FILTER(EQ(D168,E168),ISNUMBER(D168),ISNUMBER(E168)))"),"#N/A")</f>
        <v>#N/A</v>
      </c>
    </row>
    <row r="169">
      <c r="A169" s="1" t="s">
        <v>1886</v>
      </c>
      <c r="B169" s="7" t="s">
        <v>1887</v>
      </c>
      <c r="C169" s="25" t="s">
        <v>3584</v>
      </c>
      <c r="D169" s="27"/>
      <c r="E169" s="30"/>
      <c r="F169" s="30"/>
      <c r="G169" s="29"/>
      <c r="H169" s="12"/>
      <c r="I169" s="12"/>
      <c r="J169" s="12"/>
      <c r="K169" s="12"/>
      <c r="L169" s="10" t="str">
        <f t="shared" si="1"/>
        <v>#DIV/0!</v>
      </c>
      <c r="M169" s="10" t="str">
        <f t="shared" si="2"/>
        <v>#DIV/0!</v>
      </c>
      <c r="N169" s="10" t="str">
        <f>IFERROR(__xludf.DUMMYFUNCTION("INT(FILTER(GT(E169,0),ISNUMBER(E169)))"),"#N/A")</f>
        <v>#N/A</v>
      </c>
      <c r="O169" s="10" t="str">
        <f t="shared" si="3"/>
        <v>#DIV/0!</v>
      </c>
      <c r="P169" s="10" t="str">
        <f>IFERROR(__xludf.DUMMYFUNCTION("INT(FILTER(EQ(D169,E169),ISNUMBER(D169),ISNUMBER(E169)))"),"#N/A")</f>
        <v>#N/A</v>
      </c>
    </row>
    <row r="170">
      <c r="A170" s="1" t="s">
        <v>1888</v>
      </c>
      <c r="B170" s="7" t="s">
        <v>1889</v>
      </c>
      <c r="C170" s="25" t="s">
        <v>3699</v>
      </c>
      <c r="D170" s="27"/>
      <c r="E170" s="27"/>
      <c r="F170" s="27"/>
      <c r="G170" s="29"/>
      <c r="H170" s="12"/>
      <c r="I170" s="12"/>
      <c r="J170" s="12"/>
      <c r="K170" s="12"/>
      <c r="L170" s="10" t="str">
        <f t="shared" si="1"/>
        <v>#DIV/0!</v>
      </c>
      <c r="M170" s="10" t="str">
        <f t="shared" si="2"/>
        <v>#DIV/0!</v>
      </c>
      <c r="N170" s="10" t="str">
        <f>IFERROR(__xludf.DUMMYFUNCTION("INT(FILTER(GT(E170,0),ISNUMBER(E170)))"),"#N/A")</f>
        <v>#N/A</v>
      </c>
      <c r="O170" s="10" t="str">
        <f t="shared" si="3"/>
        <v>#DIV/0!</v>
      </c>
      <c r="P170" s="10" t="str">
        <f>IFERROR(__xludf.DUMMYFUNCTION("INT(FILTER(EQ(D170,E170),ISNUMBER(D170),ISNUMBER(E170)))"),"#N/A")</f>
        <v>#N/A</v>
      </c>
    </row>
    <row r="171">
      <c r="A171" s="1" t="s">
        <v>1892</v>
      </c>
      <c r="B171" s="7" t="s">
        <v>1893</v>
      </c>
      <c r="C171" s="25" t="s">
        <v>3700</v>
      </c>
      <c r="D171" s="27"/>
      <c r="E171" s="30"/>
      <c r="F171" s="30"/>
      <c r="G171" s="29"/>
      <c r="H171" s="12"/>
      <c r="I171" s="12"/>
      <c r="J171" s="12"/>
      <c r="K171" s="12"/>
      <c r="L171" s="10" t="str">
        <f t="shared" si="1"/>
        <v>#DIV/0!</v>
      </c>
      <c r="M171" s="10" t="str">
        <f t="shared" si="2"/>
        <v>#DIV/0!</v>
      </c>
      <c r="N171" s="10" t="str">
        <f>IFERROR(__xludf.DUMMYFUNCTION("INT(FILTER(GT(E171,0),ISNUMBER(E171)))"),"#N/A")</f>
        <v>#N/A</v>
      </c>
      <c r="O171" s="10" t="str">
        <f t="shared" si="3"/>
        <v>#DIV/0!</v>
      </c>
      <c r="P171" s="10" t="str">
        <f>IFERROR(__xludf.DUMMYFUNCTION("INT(FILTER(EQ(D171,E171),ISNUMBER(D171),ISNUMBER(E171)))"),"#N/A")</f>
        <v>#N/A</v>
      </c>
    </row>
    <row r="172">
      <c r="A172" s="1" t="s">
        <v>1922</v>
      </c>
      <c r="B172" s="7" t="s">
        <v>1923</v>
      </c>
      <c r="C172" s="25" t="s">
        <v>3701</v>
      </c>
      <c r="D172" s="27"/>
      <c r="E172" s="30"/>
      <c r="F172" s="30"/>
      <c r="G172" s="29"/>
      <c r="H172" s="12"/>
      <c r="I172" s="12"/>
      <c r="J172" s="12"/>
      <c r="K172" s="12"/>
      <c r="L172" s="10" t="str">
        <f t="shared" si="1"/>
        <v>#DIV/0!</v>
      </c>
      <c r="M172" s="10" t="str">
        <f t="shared" si="2"/>
        <v>#DIV/0!</v>
      </c>
      <c r="N172" s="10" t="str">
        <f>IFERROR(__xludf.DUMMYFUNCTION("INT(FILTER(GT(E172,0),ISNUMBER(E172)))"),"#N/A")</f>
        <v>#N/A</v>
      </c>
      <c r="O172" s="10" t="str">
        <f t="shared" si="3"/>
        <v>#DIV/0!</v>
      </c>
      <c r="P172" s="10" t="str">
        <f>IFERROR(__xludf.DUMMYFUNCTION("INT(FILTER(EQ(D172,E172),ISNUMBER(D172),ISNUMBER(E172)))"),"#N/A")</f>
        <v>#N/A</v>
      </c>
    </row>
    <row r="173">
      <c r="A173" s="1" t="s">
        <v>1926</v>
      </c>
      <c r="B173" s="7" t="s">
        <v>1927</v>
      </c>
      <c r="C173" s="25" t="s">
        <v>3702</v>
      </c>
      <c r="D173" s="27"/>
      <c r="E173" s="30"/>
      <c r="F173" s="30"/>
      <c r="G173" s="29"/>
      <c r="H173" s="12"/>
      <c r="I173" s="12"/>
      <c r="J173" s="12"/>
      <c r="K173" s="12"/>
      <c r="L173" s="10" t="str">
        <f t="shared" si="1"/>
        <v>#DIV/0!</v>
      </c>
      <c r="M173" s="10" t="str">
        <f t="shared" si="2"/>
        <v>#DIV/0!</v>
      </c>
      <c r="N173" s="10" t="str">
        <f>IFERROR(__xludf.DUMMYFUNCTION("INT(FILTER(GT(E173,0),ISNUMBER(E173)))"),"#N/A")</f>
        <v>#N/A</v>
      </c>
      <c r="O173" s="10" t="str">
        <f t="shared" si="3"/>
        <v>#DIV/0!</v>
      </c>
      <c r="P173" s="10" t="str">
        <f>IFERROR(__xludf.DUMMYFUNCTION("INT(FILTER(EQ(D173,E173),ISNUMBER(D173),ISNUMBER(E173)))"),"#N/A")</f>
        <v>#N/A</v>
      </c>
    </row>
    <row r="174">
      <c r="A174" s="1" t="s">
        <v>1938</v>
      </c>
      <c r="B174" s="7" t="s">
        <v>1939</v>
      </c>
      <c r="C174" s="25" t="s">
        <v>3703</v>
      </c>
      <c r="D174" s="27"/>
      <c r="E174" s="27"/>
      <c r="F174" s="27"/>
      <c r="G174" s="29"/>
      <c r="H174" s="12"/>
      <c r="I174" s="12"/>
      <c r="J174" s="12"/>
      <c r="K174" s="12"/>
      <c r="L174" s="10" t="str">
        <f t="shared" si="1"/>
        <v>#DIV/0!</v>
      </c>
      <c r="M174" s="10" t="str">
        <f t="shared" si="2"/>
        <v>#DIV/0!</v>
      </c>
      <c r="N174" s="10" t="str">
        <f>IFERROR(__xludf.DUMMYFUNCTION("INT(FILTER(GT(E174,0),ISNUMBER(E174)))"),"#N/A")</f>
        <v>#N/A</v>
      </c>
      <c r="O174" s="10" t="str">
        <f t="shared" si="3"/>
        <v>#DIV/0!</v>
      </c>
      <c r="P174" s="10" t="str">
        <f>IFERROR(__xludf.DUMMYFUNCTION("INT(FILTER(EQ(D174,E174),ISNUMBER(D174),ISNUMBER(E174)))"),"#N/A")</f>
        <v>#N/A</v>
      </c>
    </row>
    <row r="175">
      <c r="A175" s="1" t="s">
        <v>1944</v>
      </c>
      <c r="B175" s="7" t="s">
        <v>1945</v>
      </c>
      <c r="C175" s="25" t="s">
        <v>3704</v>
      </c>
      <c r="D175" s="27"/>
      <c r="E175" s="30"/>
      <c r="F175" s="30"/>
      <c r="G175" s="29"/>
      <c r="H175" s="12"/>
      <c r="I175" s="12"/>
      <c r="J175" s="12"/>
      <c r="K175" s="12"/>
      <c r="L175" s="10" t="str">
        <f t="shared" si="1"/>
        <v>#DIV/0!</v>
      </c>
      <c r="M175" s="10" t="str">
        <f t="shared" si="2"/>
        <v>#DIV/0!</v>
      </c>
      <c r="N175" s="10" t="str">
        <f>IFERROR(__xludf.DUMMYFUNCTION("INT(FILTER(GT(E175,0),ISNUMBER(E175)))"),"#N/A")</f>
        <v>#N/A</v>
      </c>
      <c r="O175" s="10" t="str">
        <f t="shared" si="3"/>
        <v>#DIV/0!</v>
      </c>
      <c r="P175" s="10" t="str">
        <f>IFERROR(__xludf.DUMMYFUNCTION("INT(FILTER(EQ(D175,E175),ISNUMBER(D175),ISNUMBER(E175)))"),"#N/A")</f>
        <v>#N/A</v>
      </c>
    </row>
    <row r="176">
      <c r="A176" s="1" t="s">
        <v>1948</v>
      </c>
      <c r="B176" s="7" t="s">
        <v>1949</v>
      </c>
      <c r="C176" s="25" t="s">
        <v>3584</v>
      </c>
      <c r="D176" s="27"/>
      <c r="E176" s="30"/>
      <c r="F176" s="30"/>
      <c r="G176" s="29"/>
      <c r="H176" s="12"/>
      <c r="I176" s="12"/>
      <c r="J176" s="12"/>
      <c r="K176" s="12"/>
      <c r="L176" s="10" t="str">
        <f t="shared" si="1"/>
        <v>#DIV/0!</v>
      </c>
      <c r="M176" s="10" t="str">
        <f t="shared" si="2"/>
        <v>#DIV/0!</v>
      </c>
      <c r="N176" s="10" t="str">
        <f>IFERROR(__xludf.DUMMYFUNCTION("INT(FILTER(GT(E176,0),ISNUMBER(E176)))"),"#N/A")</f>
        <v>#N/A</v>
      </c>
      <c r="O176" s="10" t="str">
        <f t="shared" si="3"/>
        <v>#DIV/0!</v>
      </c>
      <c r="P176" s="12"/>
    </row>
    <row r="177">
      <c r="A177" s="1" t="s">
        <v>1954</v>
      </c>
      <c r="B177" s="7" t="s">
        <v>1955</v>
      </c>
      <c r="C177" s="25" t="s">
        <v>3584</v>
      </c>
      <c r="D177" s="27"/>
      <c r="E177" s="30"/>
      <c r="F177" s="30"/>
      <c r="G177" s="29"/>
      <c r="H177" s="12"/>
      <c r="I177" s="12"/>
      <c r="J177" s="12"/>
      <c r="K177" s="12"/>
      <c r="L177" s="10" t="str">
        <f t="shared" si="1"/>
        <v>#DIV/0!</v>
      </c>
      <c r="M177" s="10" t="str">
        <f t="shared" si="2"/>
        <v>#DIV/0!</v>
      </c>
      <c r="N177" s="10" t="str">
        <f>IFERROR(__xludf.DUMMYFUNCTION("INT(FILTER(GT(E177,0),ISNUMBER(E177)))"),"#N/A")</f>
        <v>#N/A</v>
      </c>
      <c r="O177" s="10" t="str">
        <f t="shared" si="3"/>
        <v>#DIV/0!</v>
      </c>
      <c r="P177" s="10" t="str">
        <f>IFERROR(__xludf.DUMMYFUNCTION("INT(FILTER(EQ(D177,E177),ISNUMBER(D177),ISNUMBER(E177)))"),"#N/A")</f>
        <v>#N/A</v>
      </c>
    </row>
    <row r="178">
      <c r="A178" s="1" t="s">
        <v>1960</v>
      </c>
      <c r="B178" s="7" t="s">
        <v>1961</v>
      </c>
      <c r="C178" s="25" t="s">
        <v>3678</v>
      </c>
      <c r="D178" s="27"/>
      <c r="E178" s="27"/>
      <c r="F178" s="27"/>
      <c r="G178" s="29"/>
      <c r="H178" s="12"/>
      <c r="I178" s="12"/>
      <c r="J178" s="12"/>
      <c r="K178" s="12"/>
      <c r="L178" s="10" t="str">
        <f t="shared" si="1"/>
        <v>#DIV/0!</v>
      </c>
      <c r="M178" s="10" t="str">
        <f t="shared" si="2"/>
        <v>#DIV/0!</v>
      </c>
      <c r="N178" s="10" t="str">
        <f>IFERROR(__xludf.DUMMYFUNCTION("INT(FILTER(GT(E178,0),ISNUMBER(E178)))"),"#N/A")</f>
        <v>#N/A</v>
      </c>
      <c r="O178" s="10" t="str">
        <f t="shared" si="3"/>
        <v>#DIV/0!</v>
      </c>
      <c r="P178" s="10" t="str">
        <f>IFERROR(__xludf.DUMMYFUNCTION("INT(FILTER(EQ(D178,E178),ISNUMBER(D178),ISNUMBER(E178)))"),"#N/A")</f>
        <v>#N/A</v>
      </c>
    </row>
    <row r="179">
      <c r="A179" s="1" t="s">
        <v>1970</v>
      </c>
      <c r="B179" s="7" t="s">
        <v>1971</v>
      </c>
      <c r="C179" s="25" t="s">
        <v>3705</v>
      </c>
      <c r="D179" s="27"/>
      <c r="E179" s="27"/>
      <c r="F179" s="27"/>
      <c r="G179" s="29"/>
      <c r="H179" s="12"/>
      <c r="I179" s="12"/>
      <c r="J179" s="12"/>
      <c r="K179" s="12"/>
      <c r="L179" s="10" t="str">
        <f t="shared" si="1"/>
        <v>#DIV/0!</v>
      </c>
      <c r="M179" s="10" t="str">
        <f t="shared" si="2"/>
        <v>#DIV/0!</v>
      </c>
      <c r="N179" s="10" t="str">
        <f>IFERROR(__xludf.DUMMYFUNCTION("INT(FILTER(GT(E179,0),ISNUMBER(E179)))"),"#N/A")</f>
        <v>#N/A</v>
      </c>
      <c r="O179" s="10" t="str">
        <f t="shared" si="3"/>
        <v>#DIV/0!</v>
      </c>
      <c r="P179" s="10" t="str">
        <f>IFERROR(__xludf.DUMMYFUNCTION("INT(FILTER(EQ(D179,E179),ISNUMBER(D179),ISNUMBER(E179)))"),"#N/A")</f>
        <v>#N/A</v>
      </c>
    </row>
    <row r="180">
      <c r="A180" s="1" t="s">
        <v>1982</v>
      </c>
      <c r="B180" s="7" t="s">
        <v>1983</v>
      </c>
      <c r="C180" s="25" t="s">
        <v>3706</v>
      </c>
      <c r="D180" s="27"/>
      <c r="E180" s="27"/>
      <c r="F180" s="27"/>
      <c r="G180" s="29"/>
      <c r="H180" s="12"/>
      <c r="I180" s="12"/>
      <c r="J180" s="12"/>
      <c r="K180" s="12"/>
      <c r="L180" s="10" t="str">
        <f t="shared" si="1"/>
        <v>#DIV/0!</v>
      </c>
      <c r="M180" s="10" t="str">
        <f t="shared" si="2"/>
        <v>#DIV/0!</v>
      </c>
      <c r="N180" s="10" t="str">
        <f>IFERROR(__xludf.DUMMYFUNCTION("INT(FILTER(GT(E180,0),ISNUMBER(E180)))"),"#N/A")</f>
        <v>#N/A</v>
      </c>
      <c r="O180" s="10" t="str">
        <f t="shared" si="3"/>
        <v>#DIV/0!</v>
      </c>
      <c r="P180" s="10" t="str">
        <f>IFERROR(__xludf.DUMMYFUNCTION("INT(FILTER(EQ(D180,E180),ISNUMBER(D180),ISNUMBER(E180)))"),"#N/A")</f>
        <v>#N/A</v>
      </c>
    </row>
    <row r="181">
      <c r="A181" s="1" t="s">
        <v>2010</v>
      </c>
      <c r="B181" s="7" t="s">
        <v>2011</v>
      </c>
      <c r="C181" s="25" t="s">
        <v>3707</v>
      </c>
      <c r="D181" s="27"/>
      <c r="E181" s="27"/>
      <c r="F181" s="27"/>
      <c r="G181" s="29"/>
      <c r="H181" s="12"/>
      <c r="I181" s="12"/>
      <c r="J181" s="12"/>
      <c r="K181" s="12"/>
      <c r="L181" s="10" t="str">
        <f t="shared" si="1"/>
        <v>#DIV/0!</v>
      </c>
      <c r="M181" s="10" t="str">
        <f t="shared" si="2"/>
        <v>#DIV/0!</v>
      </c>
      <c r="N181" s="10" t="str">
        <f>IFERROR(__xludf.DUMMYFUNCTION("INT(FILTER(GT(E181,0),ISNUMBER(E181)))"),"#N/A")</f>
        <v>#N/A</v>
      </c>
      <c r="O181" s="10" t="str">
        <f t="shared" si="3"/>
        <v>#DIV/0!</v>
      </c>
      <c r="P181" s="10" t="str">
        <f>IFERROR(__xludf.DUMMYFUNCTION("INT(FILTER(EQ(D181,E181),ISNUMBER(D181),ISNUMBER(E181)))"),"#N/A")</f>
        <v>#N/A</v>
      </c>
    </row>
    <row r="182">
      <c r="A182" s="1" t="s">
        <v>2016</v>
      </c>
      <c r="B182" s="7" t="s">
        <v>2017</v>
      </c>
      <c r="C182" s="25" t="s">
        <v>3708</v>
      </c>
      <c r="D182" s="27"/>
      <c r="E182" s="30"/>
      <c r="F182" s="30"/>
      <c r="G182" s="29"/>
      <c r="H182" s="12"/>
      <c r="I182" s="12"/>
      <c r="J182" s="12"/>
      <c r="K182" s="12"/>
      <c r="L182" s="10" t="str">
        <f t="shared" si="1"/>
        <v>#DIV/0!</v>
      </c>
      <c r="M182" s="10" t="str">
        <f t="shared" si="2"/>
        <v>#DIV/0!</v>
      </c>
      <c r="N182" s="10" t="str">
        <f>IFERROR(__xludf.DUMMYFUNCTION("INT(FILTER(GT(E182,0),ISNUMBER(E182)))"),"#N/A")</f>
        <v>#N/A</v>
      </c>
      <c r="O182" s="10" t="str">
        <f t="shared" si="3"/>
        <v>#DIV/0!</v>
      </c>
      <c r="P182" s="10" t="str">
        <f>IFERROR(__xludf.DUMMYFUNCTION("INT(FILTER(EQ(D182,E182),ISNUMBER(D182),ISNUMBER(E182)))"),"#N/A")</f>
        <v>#N/A</v>
      </c>
    </row>
    <row r="183">
      <c r="A183" s="1" t="s">
        <v>2024</v>
      </c>
      <c r="B183" s="7" t="s">
        <v>2025</v>
      </c>
      <c r="C183" s="25" t="s">
        <v>3709</v>
      </c>
      <c r="D183" s="27"/>
      <c r="E183" s="30"/>
      <c r="F183" s="30"/>
      <c r="G183" s="29"/>
      <c r="H183" s="12"/>
      <c r="I183" s="12"/>
      <c r="J183" s="12"/>
      <c r="K183" s="12"/>
      <c r="L183" s="10" t="str">
        <f t="shared" si="1"/>
        <v>#DIV/0!</v>
      </c>
      <c r="M183" s="10" t="str">
        <f t="shared" si="2"/>
        <v>#DIV/0!</v>
      </c>
      <c r="N183" s="10" t="str">
        <f>IFERROR(__xludf.DUMMYFUNCTION("INT(FILTER(GT(E183,0),ISNUMBER(E183)))"),"#N/A")</f>
        <v>#N/A</v>
      </c>
      <c r="O183" s="10" t="str">
        <f t="shared" si="3"/>
        <v>#DIV/0!</v>
      </c>
      <c r="P183" s="10" t="str">
        <f>IFERROR(__xludf.DUMMYFUNCTION("INT(FILTER(EQ(D183,E183),ISNUMBER(D183),ISNUMBER(E183)))"),"#N/A")</f>
        <v>#N/A</v>
      </c>
    </row>
    <row r="184">
      <c r="A184" s="1" t="s">
        <v>2028</v>
      </c>
      <c r="B184" s="7" t="s">
        <v>2029</v>
      </c>
      <c r="C184" s="25" t="s">
        <v>3599</v>
      </c>
      <c r="D184" s="27"/>
      <c r="E184" s="27"/>
      <c r="F184" s="27"/>
      <c r="G184" s="29"/>
      <c r="H184" s="12"/>
      <c r="I184" s="12"/>
      <c r="J184" s="12"/>
      <c r="K184" s="12"/>
      <c r="L184" s="10" t="str">
        <f t="shared" si="1"/>
        <v>#DIV/0!</v>
      </c>
      <c r="M184" s="10" t="str">
        <f t="shared" si="2"/>
        <v>#DIV/0!</v>
      </c>
      <c r="N184" s="10" t="str">
        <f>IFERROR(__xludf.DUMMYFUNCTION("INT(FILTER(GT(E184,0),ISNUMBER(E184)))"),"#N/A")</f>
        <v>#N/A</v>
      </c>
      <c r="O184" s="10" t="str">
        <f t="shared" si="3"/>
        <v>#DIV/0!</v>
      </c>
      <c r="P184" s="10" t="str">
        <f>IFERROR(__xludf.DUMMYFUNCTION("INT(FILTER(EQ(D184,E184),ISNUMBER(D184),ISNUMBER(E184)))"),"#N/A")</f>
        <v>#N/A</v>
      </c>
    </row>
    <row r="185">
      <c r="A185" s="1" t="s">
        <v>2032</v>
      </c>
      <c r="B185" s="7" t="s">
        <v>2033</v>
      </c>
      <c r="C185" s="25" t="s">
        <v>3710</v>
      </c>
      <c r="D185" s="27"/>
      <c r="E185" s="30"/>
      <c r="F185" s="30"/>
      <c r="G185" s="29"/>
      <c r="H185" s="12"/>
      <c r="I185" s="12"/>
      <c r="J185" s="12"/>
      <c r="K185" s="12"/>
      <c r="L185" s="10" t="str">
        <f t="shared" si="1"/>
        <v>#DIV/0!</v>
      </c>
      <c r="M185" s="10" t="str">
        <f t="shared" si="2"/>
        <v>#DIV/0!</v>
      </c>
      <c r="N185" s="10" t="str">
        <f>IFERROR(__xludf.DUMMYFUNCTION("INT(FILTER(GT(E185,0),ISNUMBER(E185)))"),"#N/A")</f>
        <v>#N/A</v>
      </c>
      <c r="O185" s="10" t="str">
        <f t="shared" si="3"/>
        <v>#DIV/0!</v>
      </c>
      <c r="P185" s="10" t="str">
        <f>IFERROR(__xludf.DUMMYFUNCTION("INT(FILTER(EQ(D185,E185),ISNUMBER(D185),ISNUMBER(E185)))"),"#N/A")</f>
        <v>#N/A</v>
      </c>
    </row>
    <row r="186">
      <c r="A186" s="1" t="s">
        <v>2048</v>
      </c>
      <c r="B186" s="7" t="s">
        <v>2049</v>
      </c>
      <c r="C186" s="25" t="s">
        <v>3711</v>
      </c>
      <c r="D186" s="27"/>
      <c r="E186" s="27"/>
      <c r="F186" s="27"/>
      <c r="G186" s="29"/>
      <c r="H186" s="12"/>
      <c r="I186" s="12"/>
      <c r="J186" s="12"/>
      <c r="K186" s="12"/>
      <c r="L186" s="10" t="str">
        <f t="shared" si="1"/>
        <v>#DIV/0!</v>
      </c>
      <c r="M186" s="10" t="str">
        <f t="shared" si="2"/>
        <v>#DIV/0!</v>
      </c>
      <c r="N186" s="10" t="str">
        <f>IFERROR(__xludf.DUMMYFUNCTION("INT(FILTER(GT(E186,0),ISNUMBER(E186)))"),"#N/A")</f>
        <v>#N/A</v>
      </c>
      <c r="O186" s="10" t="str">
        <f t="shared" si="3"/>
        <v>#DIV/0!</v>
      </c>
      <c r="P186" s="10" t="str">
        <f>IFERROR(__xludf.DUMMYFUNCTION("INT(FILTER(EQ(D186,E186),ISNUMBER(D186),ISNUMBER(E186)))"),"#N/A")</f>
        <v>#N/A</v>
      </c>
    </row>
    <row r="187">
      <c r="A187" s="1" t="s">
        <v>2050</v>
      </c>
      <c r="B187" s="7" t="s">
        <v>2051</v>
      </c>
      <c r="C187" s="25" t="s">
        <v>3712</v>
      </c>
      <c r="D187" s="27"/>
      <c r="E187" s="30"/>
      <c r="F187" s="30"/>
      <c r="G187" s="29"/>
      <c r="H187" s="12"/>
      <c r="I187" s="12"/>
      <c r="J187" s="12"/>
      <c r="K187" s="12"/>
      <c r="L187" s="10" t="str">
        <f t="shared" si="1"/>
        <v>#DIV/0!</v>
      </c>
      <c r="M187" s="10" t="str">
        <f t="shared" si="2"/>
        <v>#DIV/0!</v>
      </c>
      <c r="N187" s="10" t="str">
        <f>IFERROR(__xludf.DUMMYFUNCTION("INT(FILTER(GT(E187,0),ISNUMBER(E187)))"),"#N/A")</f>
        <v>#N/A</v>
      </c>
      <c r="O187" s="10" t="str">
        <f t="shared" si="3"/>
        <v>#DIV/0!</v>
      </c>
      <c r="P187" s="12"/>
    </row>
    <row r="188">
      <c r="A188" s="1" t="s">
        <v>2058</v>
      </c>
      <c r="B188" s="7" t="s">
        <v>2059</v>
      </c>
      <c r="C188" s="25" t="s">
        <v>3713</v>
      </c>
      <c r="D188" s="27"/>
      <c r="E188" s="27"/>
      <c r="F188" s="27"/>
      <c r="G188" s="29"/>
      <c r="H188" s="12"/>
      <c r="I188" s="12"/>
      <c r="J188" s="12"/>
      <c r="K188" s="12"/>
      <c r="L188" s="10" t="str">
        <f t="shared" si="1"/>
        <v>#DIV/0!</v>
      </c>
      <c r="M188" s="10" t="str">
        <f t="shared" si="2"/>
        <v>#DIV/0!</v>
      </c>
      <c r="N188" s="10" t="str">
        <f>IFERROR(__xludf.DUMMYFUNCTION("INT(FILTER(GT(E188,0),ISNUMBER(E188)))"),"#N/A")</f>
        <v>#N/A</v>
      </c>
      <c r="O188" s="10" t="str">
        <f t="shared" si="3"/>
        <v>#DIV/0!</v>
      </c>
      <c r="P188" s="10" t="str">
        <f>IFERROR(__xludf.DUMMYFUNCTION("INT(FILTER(EQ(D188,E188),ISNUMBER(D188),ISNUMBER(E188)))"),"#N/A")</f>
        <v>#N/A</v>
      </c>
    </row>
    <row r="189">
      <c r="A189" s="1" t="s">
        <v>2065</v>
      </c>
      <c r="B189" s="7" t="s">
        <v>2066</v>
      </c>
      <c r="C189" s="25" t="s">
        <v>3714</v>
      </c>
      <c r="D189" s="27"/>
      <c r="E189" s="27"/>
      <c r="F189" s="27"/>
      <c r="G189" s="29"/>
      <c r="H189" s="12"/>
      <c r="I189" s="12"/>
      <c r="J189" s="12"/>
      <c r="K189" s="12"/>
      <c r="L189" s="10" t="str">
        <f t="shared" si="1"/>
        <v>#DIV/0!</v>
      </c>
      <c r="M189" s="10" t="str">
        <f t="shared" si="2"/>
        <v>#DIV/0!</v>
      </c>
      <c r="N189" s="10" t="str">
        <f>IFERROR(__xludf.DUMMYFUNCTION("INT(FILTER(GT(E189,0),ISNUMBER(E189)))"),"#N/A")</f>
        <v>#N/A</v>
      </c>
      <c r="O189" s="10" t="str">
        <f t="shared" si="3"/>
        <v>#DIV/0!</v>
      </c>
      <c r="P189" s="10" t="str">
        <f>IFERROR(__xludf.DUMMYFUNCTION("INT(FILTER(EQ(D189,E189),ISNUMBER(D189),ISNUMBER(E189)))"),"#N/A")</f>
        <v>#N/A</v>
      </c>
    </row>
    <row r="190">
      <c r="A190" s="1" t="s">
        <v>2079</v>
      </c>
      <c r="B190" s="7" t="s">
        <v>2080</v>
      </c>
      <c r="C190" s="25" t="s">
        <v>3682</v>
      </c>
      <c r="D190" s="27"/>
      <c r="E190" s="27"/>
      <c r="F190" s="27"/>
      <c r="G190" s="29"/>
      <c r="H190" s="12"/>
      <c r="I190" s="12"/>
      <c r="J190" s="12"/>
      <c r="K190" s="12"/>
      <c r="L190" s="10" t="str">
        <f t="shared" si="1"/>
        <v>#DIV/0!</v>
      </c>
      <c r="M190" s="10" t="str">
        <f t="shared" si="2"/>
        <v>#DIV/0!</v>
      </c>
      <c r="N190" s="10" t="str">
        <f>IFERROR(__xludf.DUMMYFUNCTION("INT(FILTER(GT(E190,0),ISNUMBER(E190)))"),"#N/A")</f>
        <v>#N/A</v>
      </c>
      <c r="O190" s="10" t="str">
        <f t="shared" si="3"/>
        <v>#DIV/0!</v>
      </c>
      <c r="P190" s="10" t="str">
        <f>IFERROR(__xludf.DUMMYFUNCTION("INT(FILTER(EQ(D190,E190),ISNUMBER(D190),ISNUMBER(E190)))"),"#N/A")</f>
        <v>#N/A</v>
      </c>
    </row>
    <row r="191">
      <c r="A191" s="1" t="s">
        <v>2097</v>
      </c>
      <c r="B191" s="7" t="s">
        <v>2098</v>
      </c>
      <c r="C191" s="25" t="s">
        <v>3715</v>
      </c>
      <c r="D191" s="27"/>
      <c r="E191" s="27"/>
      <c r="F191" s="27"/>
      <c r="G191" s="29"/>
      <c r="H191" s="12"/>
      <c r="I191" s="12"/>
      <c r="J191" s="12"/>
      <c r="K191" s="12"/>
      <c r="L191" s="10" t="str">
        <f t="shared" si="1"/>
        <v>#DIV/0!</v>
      </c>
      <c r="M191" s="10" t="str">
        <f t="shared" si="2"/>
        <v>#DIV/0!</v>
      </c>
      <c r="N191" s="10" t="str">
        <f>IFERROR(__xludf.DUMMYFUNCTION("INT(FILTER(GT(E191,0),ISNUMBER(E191)))"),"#N/A")</f>
        <v>#N/A</v>
      </c>
      <c r="O191" s="10" t="str">
        <f t="shared" si="3"/>
        <v>#DIV/0!</v>
      </c>
      <c r="P191" s="10" t="str">
        <f>IFERROR(__xludf.DUMMYFUNCTION("INT(FILTER(EQ(D191,E191),ISNUMBER(D191),ISNUMBER(E191)))"),"#N/A")</f>
        <v>#N/A</v>
      </c>
    </row>
    <row r="192">
      <c r="A192" s="1" t="s">
        <v>2105</v>
      </c>
      <c r="B192" s="7" t="s">
        <v>2106</v>
      </c>
      <c r="C192" s="25" t="s">
        <v>3716</v>
      </c>
      <c r="D192" s="27"/>
      <c r="E192" s="30"/>
      <c r="F192" s="30"/>
      <c r="G192" s="29"/>
      <c r="H192" s="12"/>
      <c r="I192" s="12"/>
      <c r="J192" s="12"/>
      <c r="K192" s="12"/>
      <c r="L192" s="10" t="str">
        <f t="shared" si="1"/>
        <v>#DIV/0!</v>
      </c>
      <c r="M192" s="10" t="str">
        <f t="shared" si="2"/>
        <v>#DIV/0!</v>
      </c>
      <c r="N192" s="10" t="str">
        <f>IFERROR(__xludf.DUMMYFUNCTION("INT(FILTER(GT(E192,0),ISNUMBER(E192)))"),"#N/A")</f>
        <v>#N/A</v>
      </c>
      <c r="O192" s="10" t="str">
        <f t="shared" si="3"/>
        <v>#DIV/0!</v>
      </c>
      <c r="P192" s="10" t="str">
        <f>IFERROR(__xludf.DUMMYFUNCTION("INT(FILTER(EQ(D192,E192),ISNUMBER(D192),ISNUMBER(E192)))"),"#N/A")</f>
        <v>#N/A</v>
      </c>
    </row>
    <row r="193">
      <c r="A193" s="1" t="s">
        <v>2109</v>
      </c>
      <c r="B193" s="7" t="s">
        <v>2110</v>
      </c>
      <c r="C193" s="25" t="s">
        <v>3717</v>
      </c>
      <c r="D193" s="27"/>
      <c r="E193" s="30"/>
      <c r="F193" s="30"/>
      <c r="G193" s="29"/>
      <c r="H193" s="12"/>
      <c r="I193" s="12"/>
      <c r="J193" s="12"/>
      <c r="K193" s="12"/>
      <c r="L193" s="10" t="str">
        <f t="shared" si="1"/>
        <v>#DIV/0!</v>
      </c>
      <c r="M193" s="10" t="str">
        <f t="shared" si="2"/>
        <v>#DIV/0!</v>
      </c>
      <c r="N193" s="10" t="str">
        <f>IFERROR(__xludf.DUMMYFUNCTION("INT(FILTER(GT(E193,0),ISNUMBER(E193)))"),"#N/A")</f>
        <v>#N/A</v>
      </c>
      <c r="O193" s="10" t="str">
        <f t="shared" si="3"/>
        <v>#DIV/0!</v>
      </c>
      <c r="P193" s="10" t="str">
        <f>IFERROR(__xludf.DUMMYFUNCTION("INT(FILTER(EQ(D193,E193),ISNUMBER(D193),ISNUMBER(E193)))"),"#N/A")</f>
        <v>#N/A</v>
      </c>
    </row>
    <row r="194">
      <c r="A194" s="1" t="s">
        <v>2113</v>
      </c>
      <c r="B194" s="7" t="s">
        <v>2114</v>
      </c>
      <c r="C194" s="25" t="s">
        <v>3584</v>
      </c>
      <c r="D194" s="27"/>
      <c r="E194" s="30"/>
      <c r="F194" s="30"/>
      <c r="G194" s="29"/>
      <c r="H194" s="12"/>
      <c r="I194" s="12"/>
      <c r="J194" s="12"/>
      <c r="K194" s="12"/>
      <c r="L194" s="10" t="str">
        <f t="shared" si="1"/>
        <v>#DIV/0!</v>
      </c>
      <c r="M194" s="10" t="str">
        <f t="shared" si="2"/>
        <v>#DIV/0!</v>
      </c>
      <c r="N194" s="10" t="str">
        <f>IFERROR(__xludf.DUMMYFUNCTION("INT(FILTER(GT(E194,0),ISNUMBER(E194)))"),"#N/A")</f>
        <v>#N/A</v>
      </c>
      <c r="O194" s="10" t="str">
        <f t="shared" si="3"/>
        <v>#DIV/0!</v>
      </c>
      <c r="P194" s="10" t="str">
        <f>IFERROR(__xludf.DUMMYFUNCTION("INT(FILTER(EQ(D194,E194),ISNUMBER(D194),ISNUMBER(E194)))"),"#N/A")</f>
        <v>#N/A</v>
      </c>
    </row>
    <row r="195">
      <c r="A195" s="1" t="s">
        <v>2115</v>
      </c>
      <c r="B195" s="7" t="s">
        <v>2116</v>
      </c>
      <c r="C195" s="25" t="s">
        <v>3584</v>
      </c>
      <c r="D195" s="27"/>
      <c r="E195" s="30"/>
      <c r="F195" s="30"/>
      <c r="G195" s="29"/>
      <c r="H195" s="12"/>
      <c r="I195" s="12"/>
      <c r="J195" s="12"/>
      <c r="K195" s="12"/>
      <c r="L195" s="10" t="str">
        <f t="shared" si="1"/>
        <v>#DIV/0!</v>
      </c>
      <c r="M195" s="10" t="str">
        <f t="shared" si="2"/>
        <v>#DIV/0!</v>
      </c>
      <c r="N195" s="10" t="str">
        <f>IFERROR(__xludf.DUMMYFUNCTION("INT(FILTER(GT(E195,0),ISNUMBER(E195)))"),"#N/A")</f>
        <v>#N/A</v>
      </c>
      <c r="O195" s="10" t="str">
        <f t="shared" si="3"/>
        <v>#DIV/0!</v>
      </c>
      <c r="P195" s="10" t="str">
        <f>IFERROR(__xludf.DUMMYFUNCTION("INT(FILTER(EQ(D195,E195),ISNUMBER(D195),ISNUMBER(E195)))"),"#N/A")</f>
        <v>#N/A</v>
      </c>
    </row>
    <row r="196">
      <c r="A196" s="1" t="s">
        <v>2119</v>
      </c>
      <c r="B196" s="7" t="s">
        <v>2120</v>
      </c>
      <c r="C196" s="25" t="s">
        <v>3580</v>
      </c>
      <c r="D196" s="27"/>
      <c r="E196" s="27"/>
      <c r="F196" s="27"/>
      <c r="G196" s="29"/>
      <c r="H196" s="12"/>
      <c r="I196" s="12"/>
      <c r="J196" s="12"/>
      <c r="K196" s="12"/>
      <c r="L196" s="10" t="str">
        <f t="shared" si="1"/>
        <v>#DIV/0!</v>
      </c>
      <c r="M196" s="10" t="str">
        <f t="shared" si="2"/>
        <v>#DIV/0!</v>
      </c>
      <c r="N196" s="10" t="str">
        <f>IFERROR(__xludf.DUMMYFUNCTION("INT(FILTER(GT(E196,0),ISNUMBER(E196)))"),"#N/A")</f>
        <v>#N/A</v>
      </c>
      <c r="O196" s="10" t="str">
        <f t="shared" si="3"/>
        <v>#DIV/0!</v>
      </c>
      <c r="P196" s="10" t="str">
        <f>IFERROR(__xludf.DUMMYFUNCTION("INT(FILTER(EQ(D196,E196),ISNUMBER(D196),ISNUMBER(E196)))"),"#N/A")</f>
        <v>#N/A</v>
      </c>
    </row>
    <row r="197">
      <c r="A197" s="1" t="s">
        <v>2134</v>
      </c>
      <c r="B197" s="7" t="s">
        <v>2135</v>
      </c>
      <c r="C197" s="25" t="s">
        <v>3588</v>
      </c>
      <c r="D197" s="27"/>
      <c r="E197" s="27"/>
      <c r="F197" s="27"/>
      <c r="G197" s="29"/>
      <c r="H197" s="12"/>
      <c r="I197" s="12"/>
      <c r="J197" s="12"/>
      <c r="K197" s="12"/>
      <c r="L197" s="10" t="str">
        <f t="shared" si="1"/>
        <v>#DIV/0!</v>
      </c>
      <c r="M197" s="10" t="str">
        <f t="shared" si="2"/>
        <v>#DIV/0!</v>
      </c>
      <c r="N197" s="10" t="str">
        <f>IFERROR(__xludf.DUMMYFUNCTION("INT(FILTER(GT(E197,0),ISNUMBER(E197)))"),"#N/A")</f>
        <v>#N/A</v>
      </c>
      <c r="O197" s="10" t="str">
        <f t="shared" si="3"/>
        <v>#DIV/0!</v>
      </c>
      <c r="P197" s="10" t="str">
        <f>IFERROR(__xludf.DUMMYFUNCTION("INT(FILTER(EQ(D197,E197),ISNUMBER(D197),ISNUMBER(E197)))"),"#N/A")</f>
        <v>#N/A</v>
      </c>
    </row>
    <row r="198">
      <c r="A198" s="1" t="s">
        <v>2136</v>
      </c>
      <c r="B198" s="7" t="s">
        <v>2137</v>
      </c>
      <c r="C198" s="25" t="s">
        <v>3718</v>
      </c>
      <c r="D198" s="27"/>
      <c r="E198" s="27"/>
      <c r="F198" s="27"/>
      <c r="G198" s="29"/>
      <c r="H198" s="12"/>
      <c r="I198" s="12"/>
      <c r="J198" s="12"/>
      <c r="K198" s="12"/>
      <c r="L198" s="10" t="str">
        <f t="shared" si="1"/>
        <v>#DIV/0!</v>
      </c>
      <c r="M198" s="10" t="str">
        <f t="shared" si="2"/>
        <v>#DIV/0!</v>
      </c>
      <c r="N198" s="10" t="str">
        <f>IFERROR(__xludf.DUMMYFUNCTION("INT(FILTER(GT(E198,0),ISNUMBER(E198)))"),"#N/A")</f>
        <v>#N/A</v>
      </c>
      <c r="O198" s="10" t="str">
        <f t="shared" si="3"/>
        <v>#DIV/0!</v>
      </c>
      <c r="P198" s="12"/>
    </row>
    <row r="199">
      <c r="A199" s="1" t="s">
        <v>2148</v>
      </c>
      <c r="B199" s="7" t="s">
        <v>2149</v>
      </c>
      <c r="C199" s="25" t="s">
        <v>3584</v>
      </c>
      <c r="D199" s="27"/>
      <c r="E199" s="27"/>
      <c r="F199" s="27"/>
      <c r="G199" s="29"/>
      <c r="H199" s="12"/>
      <c r="I199" s="12"/>
      <c r="J199" s="12"/>
      <c r="K199" s="12"/>
      <c r="L199" s="10" t="str">
        <f t="shared" si="1"/>
        <v>#DIV/0!</v>
      </c>
      <c r="M199" s="10" t="str">
        <f t="shared" si="2"/>
        <v>#DIV/0!</v>
      </c>
      <c r="N199" s="10" t="str">
        <f>IFERROR(__xludf.DUMMYFUNCTION("INT(FILTER(GT(E199,0),ISNUMBER(E199)))"),"#N/A")</f>
        <v>#N/A</v>
      </c>
      <c r="O199" s="10" t="str">
        <f t="shared" si="3"/>
        <v>#DIV/0!</v>
      </c>
      <c r="P199" s="10" t="str">
        <f>IFERROR(__xludf.DUMMYFUNCTION("INT(FILTER(EQ(D199,E199),ISNUMBER(D199),ISNUMBER(E199)))"),"#N/A")</f>
        <v>#N/A</v>
      </c>
    </row>
    <row r="200">
      <c r="A200" s="1" t="s">
        <v>2150</v>
      </c>
      <c r="B200" s="7" t="s">
        <v>2151</v>
      </c>
      <c r="C200" s="25" t="s">
        <v>3719</v>
      </c>
      <c r="D200" s="27"/>
      <c r="E200" s="27"/>
      <c r="F200" s="27"/>
      <c r="G200" s="29"/>
      <c r="H200" s="12"/>
      <c r="I200" s="12"/>
      <c r="J200" s="12"/>
      <c r="K200" s="12"/>
      <c r="L200" s="10" t="str">
        <f t="shared" si="1"/>
        <v>#DIV/0!</v>
      </c>
      <c r="M200" s="10" t="str">
        <f t="shared" si="2"/>
        <v>#DIV/0!</v>
      </c>
      <c r="N200" s="10" t="str">
        <f>IFERROR(__xludf.DUMMYFUNCTION("INT(FILTER(GT(E200,0),ISNUMBER(E200)))"),"#N/A")</f>
        <v>#N/A</v>
      </c>
      <c r="O200" s="10" t="str">
        <f t="shared" si="3"/>
        <v>#DIV/0!</v>
      </c>
      <c r="P200" s="10" t="str">
        <f>IFERROR(__xludf.DUMMYFUNCTION("INT(FILTER(EQ(D200,E200),ISNUMBER(D200),ISNUMBER(E200)))"),"#N/A")</f>
        <v>#N/A</v>
      </c>
    </row>
    <row r="201">
      <c r="A201" s="1" t="s">
        <v>2160</v>
      </c>
      <c r="B201" s="7" t="s">
        <v>2161</v>
      </c>
      <c r="C201" s="25" t="s">
        <v>3720</v>
      </c>
      <c r="D201" s="27"/>
      <c r="E201" s="27"/>
      <c r="F201" s="27"/>
      <c r="G201" s="29"/>
      <c r="H201" s="12"/>
      <c r="I201" s="12"/>
      <c r="J201" s="12"/>
      <c r="K201" s="12"/>
      <c r="L201" s="10" t="str">
        <f t="shared" si="1"/>
        <v>#DIV/0!</v>
      </c>
      <c r="M201" s="10" t="str">
        <f t="shared" si="2"/>
        <v>#DIV/0!</v>
      </c>
      <c r="N201" s="10" t="str">
        <f>IFERROR(__xludf.DUMMYFUNCTION("INT(FILTER(GT(E201,0),ISNUMBER(E201)))"),"#N/A")</f>
        <v>#N/A</v>
      </c>
      <c r="O201" s="10" t="str">
        <f t="shared" si="3"/>
        <v>#DIV/0!</v>
      </c>
      <c r="P201" s="10" t="str">
        <f>IFERROR(__xludf.DUMMYFUNCTION("INT(FILTER(EQ(D201,E201),ISNUMBER(D201),ISNUMBER(E201)))"),"#N/A")</f>
        <v>#N/A</v>
      </c>
    </row>
    <row r="202">
      <c r="A202" s="1" t="s">
        <v>2168</v>
      </c>
      <c r="B202" s="7" t="s">
        <v>2169</v>
      </c>
      <c r="C202" s="25" t="s">
        <v>3721</v>
      </c>
      <c r="D202" s="27"/>
      <c r="E202" s="27"/>
      <c r="F202" s="27"/>
      <c r="G202" s="29"/>
      <c r="H202" s="12"/>
      <c r="I202" s="12"/>
      <c r="J202" s="12"/>
      <c r="K202" s="12"/>
      <c r="L202" s="10" t="str">
        <f t="shared" si="1"/>
        <v>#DIV/0!</v>
      </c>
      <c r="M202" s="10" t="str">
        <f t="shared" si="2"/>
        <v>#DIV/0!</v>
      </c>
      <c r="N202" s="10" t="str">
        <f>IFERROR(__xludf.DUMMYFUNCTION("INT(FILTER(GT(E202,0),ISNUMBER(E202)))"),"#N/A")</f>
        <v>#N/A</v>
      </c>
      <c r="O202" s="10" t="str">
        <f t="shared" si="3"/>
        <v>#DIV/0!</v>
      </c>
      <c r="P202" s="10" t="str">
        <f>IFERROR(__xludf.DUMMYFUNCTION("INT(FILTER(EQ(D202,E202),ISNUMBER(D202),ISNUMBER(E202)))"),"#N/A")</f>
        <v>#N/A</v>
      </c>
    </row>
    <row r="203">
      <c r="A203" s="1" t="s">
        <v>2176</v>
      </c>
      <c r="B203" s="7" t="s">
        <v>2177</v>
      </c>
      <c r="C203" s="25" t="s">
        <v>3608</v>
      </c>
      <c r="D203" s="27"/>
      <c r="E203" s="27"/>
      <c r="F203" s="27"/>
      <c r="G203" s="29"/>
      <c r="H203" s="12"/>
      <c r="I203" s="12"/>
      <c r="J203" s="12"/>
      <c r="K203" s="12"/>
      <c r="L203" s="10" t="str">
        <f t="shared" si="1"/>
        <v>#DIV/0!</v>
      </c>
      <c r="M203" s="10" t="str">
        <f t="shared" si="2"/>
        <v>#DIV/0!</v>
      </c>
      <c r="N203" s="10" t="str">
        <f>IFERROR(__xludf.DUMMYFUNCTION("INT(FILTER(GT(E203,0),ISNUMBER(E203)))"),"#N/A")</f>
        <v>#N/A</v>
      </c>
      <c r="O203" s="10" t="str">
        <f t="shared" si="3"/>
        <v>#DIV/0!</v>
      </c>
      <c r="P203" s="10" t="str">
        <f>IFERROR(__xludf.DUMMYFUNCTION("INT(FILTER(EQ(D203,E203),ISNUMBER(D203),ISNUMBER(E203)))"),"#N/A")</f>
        <v>#N/A</v>
      </c>
    </row>
    <row r="204">
      <c r="A204" s="1" t="s">
        <v>2179</v>
      </c>
      <c r="B204" s="7" t="s">
        <v>2180</v>
      </c>
      <c r="C204" s="25" t="s">
        <v>3678</v>
      </c>
      <c r="D204" s="27"/>
      <c r="E204" s="30"/>
      <c r="F204" s="30"/>
      <c r="G204" s="29"/>
      <c r="H204" s="12"/>
      <c r="I204" s="12"/>
      <c r="J204" s="12"/>
      <c r="K204" s="12"/>
      <c r="L204" s="10" t="str">
        <f t="shared" si="1"/>
        <v>#DIV/0!</v>
      </c>
      <c r="M204" s="10" t="str">
        <f t="shared" si="2"/>
        <v>#DIV/0!</v>
      </c>
      <c r="N204" s="10" t="str">
        <f>IFERROR(__xludf.DUMMYFUNCTION("INT(FILTER(GT(E204,0),ISNUMBER(E204)))"),"#N/A")</f>
        <v>#N/A</v>
      </c>
      <c r="O204" s="10" t="str">
        <f t="shared" si="3"/>
        <v>#DIV/0!</v>
      </c>
      <c r="P204" s="10" t="str">
        <f>IFERROR(__xludf.DUMMYFUNCTION("INT(FILTER(EQ(D204,E204),ISNUMBER(D204),ISNUMBER(E204)))"),"#N/A")</f>
        <v>#N/A</v>
      </c>
    </row>
    <row r="205">
      <c r="A205" s="1" t="s">
        <v>2187</v>
      </c>
      <c r="B205" s="7" t="s">
        <v>2188</v>
      </c>
      <c r="C205" s="25" t="s">
        <v>3722</v>
      </c>
      <c r="D205" s="27"/>
      <c r="E205" s="27"/>
      <c r="F205" s="27"/>
      <c r="G205" s="29"/>
      <c r="H205" s="12"/>
      <c r="I205" s="12"/>
      <c r="J205" s="12"/>
      <c r="K205" s="12"/>
      <c r="L205" s="10" t="str">
        <f t="shared" si="1"/>
        <v>#DIV/0!</v>
      </c>
      <c r="M205" s="10" t="str">
        <f t="shared" si="2"/>
        <v>#DIV/0!</v>
      </c>
      <c r="N205" s="10" t="str">
        <f>IFERROR(__xludf.DUMMYFUNCTION("INT(FILTER(GT(E205,0),ISNUMBER(E205)))"),"#N/A")</f>
        <v>#N/A</v>
      </c>
      <c r="O205" s="10" t="str">
        <f t="shared" si="3"/>
        <v>#DIV/0!</v>
      </c>
      <c r="P205" s="10" t="str">
        <f>IFERROR(__xludf.DUMMYFUNCTION("INT(FILTER(EQ(D205,E205),ISNUMBER(D205),ISNUMBER(E205)))"),"#N/A")</f>
        <v>#N/A</v>
      </c>
    </row>
    <row r="206">
      <c r="A206" s="1" t="s">
        <v>2197</v>
      </c>
      <c r="B206" s="7" t="s">
        <v>2198</v>
      </c>
      <c r="C206" s="25" t="s">
        <v>3723</v>
      </c>
      <c r="D206" s="27"/>
      <c r="E206" s="27"/>
      <c r="F206" s="27"/>
      <c r="G206" s="29"/>
      <c r="H206" s="12"/>
      <c r="I206" s="12"/>
      <c r="J206" s="12"/>
      <c r="K206" s="12"/>
      <c r="L206" s="10" t="str">
        <f t="shared" si="1"/>
        <v>#DIV/0!</v>
      </c>
      <c r="M206" s="10" t="str">
        <f t="shared" si="2"/>
        <v>#DIV/0!</v>
      </c>
      <c r="N206" s="10" t="str">
        <f>IFERROR(__xludf.DUMMYFUNCTION("INT(FILTER(GT(E206,0),ISNUMBER(E206)))"),"#N/A")</f>
        <v>#N/A</v>
      </c>
      <c r="O206" s="10" t="str">
        <f t="shared" si="3"/>
        <v>#DIV/0!</v>
      </c>
      <c r="P206" s="10" t="str">
        <f>IFERROR(__xludf.DUMMYFUNCTION("INT(FILTER(EQ(D206,E206),ISNUMBER(D206),ISNUMBER(E206)))"),"#N/A")</f>
        <v>#N/A</v>
      </c>
    </row>
    <row r="207">
      <c r="A207" s="1" t="s">
        <v>2205</v>
      </c>
      <c r="B207" s="7" t="s">
        <v>2206</v>
      </c>
      <c r="C207" s="25" t="s">
        <v>3724</v>
      </c>
      <c r="D207" s="27"/>
      <c r="E207" s="30"/>
      <c r="F207" s="30"/>
      <c r="G207" s="29"/>
      <c r="H207" s="12"/>
      <c r="I207" s="12"/>
      <c r="J207" s="12"/>
      <c r="K207" s="12"/>
      <c r="L207" s="10" t="str">
        <f t="shared" si="1"/>
        <v>#DIV/0!</v>
      </c>
      <c r="M207" s="10" t="str">
        <f t="shared" si="2"/>
        <v>#DIV/0!</v>
      </c>
      <c r="N207" s="10" t="str">
        <f>IFERROR(__xludf.DUMMYFUNCTION("INT(FILTER(GT(E207,0),ISNUMBER(E207)))"),"#N/A")</f>
        <v>#N/A</v>
      </c>
      <c r="O207" s="10" t="str">
        <f t="shared" si="3"/>
        <v>#DIV/0!</v>
      </c>
      <c r="P207" s="10" t="str">
        <f>IFERROR(__xludf.DUMMYFUNCTION("INT(FILTER(EQ(D207,E207),ISNUMBER(D207),ISNUMBER(E207)))"),"#N/A")</f>
        <v>#N/A</v>
      </c>
    </row>
    <row r="208">
      <c r="A208" s="1" t="s">
        <v>2217</v>
      </c>
      <c r="B208" s="7" t="s">
        <v>2218</v>
      </c>
      <c r="C208" s="25" t="s">
        <v>3725</v>
      </c>
      <c r="D208" s="31"/>
      <c r="E208" s="31"/>
      <c r="F208" s="31"/>
      <c r="G208" s="29"/>
      <c r="H208" s="12"/>
      <c r="I208" s="12"/>
      <c r="J208" s="12"/>
      <c r="K208" s="12"/>
      <c r="L208" s="10" t="str">
        <f t="shared" si="1"/>
        <v>#DIV/0!</v>
      </c>
      <c r="M208" s="10" t="str">
        <f t="shared" si="2"/>
        <v>#DIV/0!</v>
      </c>
      <c r="N208" s="10" t="str">
        <f>IFERROR(__xludf.DUMMYFUNCTION("INT(FILTER(GT(E208,0),ISNUMBER(E208)))"),"#N/A")</f>
        <v>#N/A</v>
      </c>
      <c r="O208" s="10" t="str">
        <f t="shared" si="3"/>
        <v>#DIV/0!</v>
      </c>
      <c r="P208" s="10" t="str">
        <f>IFERROR(__xludf.DUMMYFUNCTION("INT(FILTER(EQ(D208,E208),ISNUMBER(D208),ISNUMBER(E208)))"),"#N/A")</f>
        <v>#N/A</v>
      </c>
    </row>
    <row r="209">
      <c r="A209" s="1" t="s">
        <v>2249</v>
      </c>
      <c r="B209" s="7" t="s">
        <v>2250</v>
      </c>
      <c r="C209" s="25" t="s">
        <v>3726</v>
      </c>
      <c r="D209" s="27"/>
      <c r="E209" s="30"/>
      <c r="F209" s="30"/>
      <c r="G209" s="29"/>
      <c r="H209" s="12"/>
      <c r="I209" s="12"/>
      <c r="J209" s="12"/>
      <c r="K209" s="12"/>
      <c r="L209" s="10" t="str">
        <f t="shared" si="1"/>
        <v>#DIV/0!</v>
      </c>
      <c r="M209" s="10" t="str">
        <f t="shared" si="2"/>
        <v>#DIV/0!</v>
      </c>
      <c r="N209" s="10" t="str">
        <f>IFERROR(__xludf.DUMMYFUNCTION("INT(FILTER(GT(E209,0),ISNUMBER(E209)))"),"#N/A")</f>
        <v>#N/A</v>
      </c>
      <c r="O209" s="10" t="str">
        <f t="shared" si="3"/>
        <v>#DIV/0!</v>
      </c>
      <c r="P209" s="12"/>
    </row>
    <row r="210">
      <c r="A210" s="1" t="s">
        <v>2255</v>
      </c>
      <c r="B210" s="7" t="s">
        <v>2256</v>
      </c>
      <c r="C210" s="25" t="s">
        <v>3727</v>
      </c>
      <c r="D210" s="27"/>
      <c r="E210" s="27"/>
      <c r="F210" s="27"/>
      <c r="G210" s="29"/>
      <c r="H210" s="12"/>
      <c r="I210" s="12"/>
      <c r="J210" s="12"/>
      <c r="K210" s="12"/>
      <c r="L210" s="10" t="str">
        <f t="shared" si="1"/>
        <v>#DIV/0!</v>
      </c>
      <c r="M210" s="10" t="str">
        <f t="shared" si="2"/>
        <v>#DIV/0!</v>
      </c>
      <c r="N210" s="10" t="str">
        <f>IFERROR(__xludf.DUMMYFUNCTION("INT(FILTER(GT(E210,0),ISNUMBER(E210)))"),"#N/A")</f>
        <v>#N/A</v>
      </c>
      <c r="O210" s="10" t="str">
        <f t="shared" si="3"/>
        <v>#DIV/0!</v>
      </c>
      <c r="P210" s="10" t="str">
        <f>IFERROR(__xludf.DUMMYFUNCTION("INT(FILTER(EQ(D210,E210),ISNUMBER(D210),ISNUMBER(E210)))"),"#N/A")</f>
        <v>#N/A</v>
      </c>
    </row>
    <row r="211">
      <c r="A211" s="1" t="s">
        <v>2267</v>
      </c>
      <c r="B211" s="7" t="s">
        <v>2268</v>
      </c>
      <c r="C211" s="25" t="s">
        <v>3584</v>
      </c>
      <c r="D211" s="27"/>
      <c r="E211" s="30"/>
      <c r="F211" s="30"/>
      <c r="G211" s="29"/>
      <c r="H211" s="12"/>
      <c r="I211" s="12"/>
      <c r="J211" s="12"/>
      <c r="K211" s="12"/>
      <c r="L211" s="10" t="str">
        <f t="shared" si="1"/>
        <v>#DIV/0!</v>
      </c>
      <c r="M211" s="10" t="str">
        <f t="shared" si="2"/>
        <v>#DIV/0!</v>
      </c>
      <c r="N211" s="10" t="str">
        <f>IFERROR(__xludf.DUMMYFUNCTION("INT(FILTER(GT(E211,0),ISNUMBER(E211)))"),"#N/A")</f>
        <v>#N/A</v>
      </c>
      <c r="O211" s="10" t="str">
        <f t="shared" si="3"/>
        <v>#DIV/0!</v>
      </c>
      <c r="P211" s="10" t="str">
        <f>IFERROR(__xludf.DUMMYFUNCTION("INT(FILTER(EQ(D211,E211),ISNUMBER(D211),ISNUMBER(E211)))"),"#N/A")</f>
        <v>#N/A</v>
      </c>
    </row>
    <row r="212">
      <c r="A212" s="1" t="s">
        <v>2279</v>
      </c>
      <c r="B212" s="7" t="s">
        <v>2280</v>
      </c>
      <c r="C212" s="25" t="s">
        <v>3728</v>
      </c>
      <c r="D212" s="27"/>
      <c r="E212" s="27"/>
      <c r="F212" s="27"/>
      <c r="G212" s="29"/>
      <c r="H212" s="12"/>
      <c r="I212" s="12"/>
      <c r="J212" s="12"/>
      <c r="K212" s="12"/>
      <c r="L212" s="10" t="str">
        <f t="shared" si="1"/>
        <v>#DIV/0!</v>
      </c>
      <c r="M212" s="10" t="str">
        <f t="shared" si="2"/>
        <v>#DIV/0!</v>
      </c>
      <c r="N212" s="10" t="str">
        <f>IFERROR(__xludf.DUMMYFUNCTION("INT(FILTER(GT(E212,0),ISNUMBER(E212)))"),"#N/A")</f>
        <v>#N/A</v>
      </c>
      <c r="O212" s="10" t="str">
        <f t="shared" si="3"/>
        <v>#DIV/0!</v>
      </c>
      <c r="P212" s="10" t="str">
        <f>IFERROR(__xludf.DUMMYFUNCTION("INT(FILTER(EQ(D212,E212),ISNUMBER(D212),ISNUMBER(E212)))"),"#N/A")</f>
        <v>#N/A</v>
      </c>
    </row>
    <row r="213">
      <c r="A213" s="1" t="s">
        <v>2283</v>
      </c>
      <c r="B213" s="7" t="s">
        <v>2284</v>
      </c>
      <c r="C213" s="32" t="s">
        <v>3729</v>
      </c>
      <c r="D213" s="27"/>
      <c r="E213" s="27"/>
      <c r="F213" s="27"/>
      <c r="G213" s="29"/>
      <c r="H213" s="12"/>
      <c r="I213" s="12"/>
      <c r="J213" s="12"/>
      <c r="K213" s="12"/>
      <c r="L213" s="10" t="str">
        <f t="shared" si="1"/>
        <v>#DIV/0!</v>
      </c>
      <c r="M213" s="10" t="str">
        <f t="shared" si="2"/>
        <v>#DIV/0!</v>
      </c>
      <c r="N213" s="10" t="str">
        <f>IFERROR(__xludf.DUMMYFUNCTION("INT(FILTER(GT(E213,0),ISNUMBER(E213)))"),"#N/A")</f>
        <v>#N/A</v>
      </c>
      <c r="O213" s="10" t="str">
        <f t="shared" si="3"/>
        <v>#DIV/0!</v>
      </c>
      <c r="P213" s="10" t="str">
        <f>IFERROR(__xludf.DUMMYFUNCTION("INT(FILTER(EQ(D213,E213),ISNUMBER(D213),ISNUMBER(E213)))"),"#N/A")</f>
        <v>#N/A</v>
      </c>
    </row>
    <row r="214">
      <c r="A214" s="1" t="s">
        <v>2287</v>
      </c>
      <c r="B214" s="7" t="s">
        <v>2288</v>
      </c>
      <c r="C214" s="25" t="s">
        <v>3730</v>
      </c>
      <c r="D214" s="27"/>
      <c r="E214" s="30"/>
      <c r="F214" s="30"/>
      <c r="G214" s="29"/>
      <c r="H214" s="12"/>
      <c r="I214" s="12"/>
      <c r="J214" s="12"/>
      <c r="K214" s="12"/>
      <c r="L214" s="10" t="str">
        <f t="shared" si="1"/>
        <v>#DIV/0!</v>
      </c>
      <c r="M214" s="10" t="str">
        <f t="shared" si="2"/>
        <v>#DIV/0!</v>
      </c>
      <c r="N214" s="10" t="str">
        <f>IFERROR(__xludf.DUMMYFUNCTION("INT(FILTER(GT(E214,0),ISNUMBER(E214)))"),"#N/A")</f>
        <v>#N/A</v>
      </c>
      <c r="O214" s="10" t="str">
        <f t="shared" si="3"/>
        <v>#DIV/0!</v>
      </c>
      <c r="P214" s="10" t="str">
        <f>IFERROR(__xludf.DUMMYFUNCTION("INT(FILTER(EQ(D214,E214),ISNUMBER(D214),ISNUMBER(E214)))"),"#N/A")</f>
        <v>#N/A</v>
      </c>
    </row>
    <row r="215">
      <c r="A215" s="1" t="s">
        <v>2297</v>
      </c>
      <c r="B215" s="7" t="s">
        <v>2298</v>
      </c>
      <c r="C215" s="25" t="s">
        <v>3731</v>
      </c>
      <c r="D215" s="27"/>
      <c r="E215" s="30"/>
      <c r="F215" s="30"/>
      <c r="G215" s="29"/>
      <c r="H215" s="12"/>
      <c r="I215" s="12"/>
      <c r="J215" s="12"/>
      <c r="K215" s="12"/>
      <c r="L215" s="10" t="str">
        <f t="shared" si="1"/>
        <v>#DIV/0!</v>
      </c>
      <c r="M215" s="10" t="str">
        <f t="shared" si="2"/>
        <v>#DIV/0!</v>
      </c>
      <c r="N215" s="10" t="str">
        <f>IFERROR(__xludf.DUMMYFUNCTION("INT(FILTER(GT(E215,0),ISNUMBER(E215)))"),"#N/A")</f>
        <v>#N/A</v>
      </c>
      <c r="O215" s="10" t="str">
        <f t="shared" si="3"/>
        <v>#DIV/0!</v>
      </c>
      <c r="P215" s="10" t="str">
        <f>IFERROR(__xludf.DUMMYFUNCTION("INT(FILTER(EQ(D215,E215),ISNUMBER(D215),ISNUMBER(E215)))"),"#N/A")</f>
        <v>#N/A</v>
      </c>
    </row>
    <row r="216">
      <c r="A216" s="1" t="s">
        <v>2317</v>
      </c>
      <c r="B216" s="7" t="s">
        <v>2318</v>
      </c>
      <c r="C216" s="25" t="s">
        <v>3732</v>
      </c>
      <c r="D216" s="27"/>
      <c r="E216" s="30"/>
      <c r="F216" s="30"/>
      <c r="G216" s="29"/>
      <c r="H216" s="12"/>
      <c r="I216" s="12"/>
      <c r="J216" s="12"/>
      <c r="K216" s="12"/>
      <c r="L216" s="10" t="str">
        <f t="shared" si="1"/>
        <v>#DIV/0!</v>
      </c>
      <c r="M216" s="10" t="str">
        <f t="shared" si="2"/>
        <v>#DIV/0!</v>
      </c>
      <c r="N216" s="10" t="str">
        <f>IFERROR(__xludf.DUMMYFUNCTION("INT(FILTER(GT(E216,0),ISNUMBER(E216)))"),"#N/A")</f>
        <v>#N/A</v>
      </c>
      <c r="O216" s="10" t="str">
        <f t="shared" si="3"/>
        <v>#DIV/0!</v>
      </c>
      <c r="P216" s="10" t="str">
        <f>IFERROR(__xludf.DUMMYFUNCTION("INT(FILTER(EQ(D216,E216),ISNUMBER(D216),ISNUMBER(E216)))"),"#N/A")</f>
        <v>#N/A</v>
      </c>
    </row>
    <row r="217">
      <c r="A217" s="1" t="s">
        <v>2327</v>
      </c>
      <c r="B217" s="7" t="s">
        <v>2328</v>
      </c>
      <c r="C217" s="25" t="s">
        <v>3733</v>
      </c>
      <c r="D217" s="27"/>
      <c r="E217" s="27"/>
      <c r="F217" s="27"/>
      <c r="G217" s="29"/>
      <c r="H217" s="12"/>
      <c r="I217" s="12"/>
      <c r="J217" s="12"/>
      <c r="K217" s="12"/>
      <c r="L217" s="10" t="str">
        <f t="shared" si="1"/>
        <v>#DIV/0!</v>
      </c>
      <c r="M217" s="10" t="str">
        <f t="shared" si="2"/>
        <v>#DIV/0!</v>
      </c>
      <c r="N217" s="10" t="str">
        <f>IFERROR(__xludf.DUMMYFUNCTION("INT(FILTER(GT(E217,0),ISNUMBER(E217)))"),"#N/A")</f>
        <v>#N/A</v>
      </c>
      <c r="O217" s="10" t="str">
        <f t="shared" si="3"/>
        <v>#DIV/0!</v>
      </c>
      <c r="P217" s="10" t="str">
        <f>IFERROR(__xludf.DUMMYFUNCTION("INT(FILTER(EQ(D217,E217),ISNUMBER(D217),ISNUMBER(E217)))"),"#N/A")</f>
        <v>#N/A</v>
      </c>
    </row>
    <row r="218">
      <c r="A218" s="1" t="s">
        <v>2331</v>
      </c>
      <c r="B218" s="7" t="s">
        <v>2332</v>
      </c>
      <c r="C218" s="25" t="s">
        <v>3734</v>
      </c>
      <c r="D218" s="27"/>
      <c r="E218" s="27"/>
      <c r="F218" s="27"/>
      <c r="G218" s="29"/>
      <c r="H218" s="12"/>
      <c r="I218" s="12"/>
      <c r="J218" s="12"/>
      <c r="K218" s="12"/>
      <c r="L218" s="10" t="str">
        <f t="shared" si="1"/>
        <v>#DIV/0!</v>
      </c>
      <c r="M218" s="10" t="str">
        <f t="shared" si="2"/>
        <v>#DIV/0!</v>
      </c>
      <c r="N218" s="10" t="str">
        <f>IFERROR(__xludf.DUMMYFUNCTION("INT(FILTER(GT(E218,0),ISNUMBER(E218)))"),"#N/A")</f>
        <v>#N/A</v>
      </c>
      <c r="O218" s="10" t="str">
        <f t="shared" si="3"/>
        <v>#DIV/0!</v>
      </c>
      <c r="P218" s="10" t="str">
        <f>IFERROR(__xludf.DUMMYFUNCTION("INT(FILTER(EQ(D218,E218),ISNUMBER(D218),ISNUMBER(E218)))"),"#N/A")</f>
        <v>#N/A</v>
      </c>
    </row>
    <row r="219">
      <c r="A219" s="1" t="s">
        <v>2343</v>
      </c>
      <c r="B219" s="7" t="s">
        <v>2344</v>
      </c>
      <c r="C219" s="25" t="s">
        <v>3735</v>
      </c>
      <c r="D219" s="27"/>
      <c r="E219" s="30"/>
      <c r="F219" s="30"/>
      <c r="G219" s="29"/>
      <c r="H219" s="12"/>
      <c r="I219" s="12"/>
      <c r="J219" s="12"/>
      <c r="K219" s="12"/>
      <c r="L219" s="10" t="str">
        <f t="shared" si="1"/>
        <v>#DIV/0!</v>
      </c>
      <c r="M219" s="10" t="str">
        <f t="shared" si="2"/>
        <v>#DIV/0!</v>
      </c>
      <c r="N219" s="10" t="str">
        <f>IFERROR(__xludf.DUMMYFUNCTION("INT(FILTER(GT(E219,0),ISNUMBER(E219)))"),"#N/A")</f>
        <v>#N/A</v>
      </c>
      <c r="O219" s="10" t="str">
        <f t="shared" si="3"/>
        <v>#DIV/0!</v>
      </c>
      <c r="P219" s="10" t="str">
        <f>IFERROR(__xludf.DUMMYFUNCTION("INT(FILTER(EQ(D219,E219),ISNUMBER(D219),ISNUMBER(E219)))"),"#N/A")</f>
        <v>#N/A</v>
      </c>
    </row>
    <row r="220">
      <c r="A220" s="1" t="s">
        <v>2355</v>
      </c>
      <c r="B220" s="7" t="s">
        <v>2356</v>
      </c>
      <c r="C220" s="25" t="s">
        <v>3584</v>
      </c>
      <c r="D220" s="31"/>
      <c r="E220" s="30"/>
      <c r="F220" s="30"/>
      <c r="G220" s="29"/>
      <c r="H220" s="12"/>
      <c r="I220" s="12"/>
      <c r="J220" s="12"/>
      <c r="K220" s="12"/>
      <c r="L220" s="10" t="str">
        <f t="shared" si="1"/>
        <v>#DIV/0!</v>
      </c>
      <c r="M220" s="10" t="str">
        <f t="shared" si="2"/>
        <v>#DIV/0!</v>
      </c>
      <c r="N220" s="10" t="str">
        <f>IFERROR(__xludf.DUMMYFUNCTION("INT(FILTER(GT(E220,0),ISNUMBER(E220)))"),"#N/A")</f>
        <v>#N/A</v>
      </c>
      <c r="O220" s="10" t="str">
        <f t="shared" si="3"/>
        <v>#DIV/0!</v>
      </c>
      <c r="P220" s="12"/>
    </row>
    <row r="221">
      <c r="A221" s="1" t="s">
        <v>2371</v>
      </c>
      <c r="B221" s="7" t="s">
        <v>2372</v>
      </c>
      <c r="C221" s="25" t="s">
        <v>3736</v>
      </c>
      <c r="D221" s="27"/>
      <c r="E221" s="30"/>
      <c r="F221" s="30"/>
      <c r="G221" s="29"/>
      <c r="H221" s="12"/>
      <c r="I221" s="12"/>
      <c r="J221" s="12"/>
      <c r="K221" s="12"/>
      <c r="L221" s="10" t="str">
        <f t="shared" si="1"/>
        <v>#DIV/0!</v>
      </c>
      <c r="M221" s="10" t="str">
        <f t="shared" si="2"/>
        <v>#DIV/0!</v>
      </c>
      <c r="N221" s="10" t="str">
        <f>IFERROR(__xludf.DUMMYFUNCTION("INT(FILTER(GT(E221,0),ISNUMBER(E221)))"),"#N/A")</f>
        <v>#N/A</v>
      </c>
      <c r="O221" s="10" t="str">
        <f t="shared" si="3"/>
        <v>#DIV/0!</v>
      </c>
      <c r="P221" s="10" t="str">
        <f>IFERROR(__xludf.DUMMYFUNCTION("INT(FILTER(EQ(D221,E221),ISNUMBER(D221),ISNUMBER(E221)))"),"#N/A")</f>
        <v>#N/A</v>
      </c>
    </row>
    <row r="222">
      <c r="A222" s="1" t="s">
        <v>2383</v>
      </c>
      <c r="B222" s="7" t="s">
        <v>2384</v>
      </c>
      <c r="C222" s="25" t="s">
        <v>3737</v>
      </c>
      <c r="D222" s="27"/>
      <c r="E222" s="30"/>
      <c r="F222" s="30"/>
      <c r="G222" s="29"/>
      <c r="H222" s="12"/>
      <c r="I222" s="12"/>
      <c r="J222" s="12"/>
      <c r="K222" s="12"/>
      <c r="L222" s="10" t="str">
        <f t="shared" si="1"/>
        <v>#DIV/0!</v>
      </c>
      <c r="M222" s="10" t="str">
        <f t="shared" si="2"/>
        <v>#DIV/0!</v>
      </c>
      <c r="N222" s="10" t="str">
        <f>IFERROR(__xludf.DUMMYFUNCTION("INT(FILTER(GT(E222,0),ISNUMBER(E222)))"),"#N/A")</f>
        <v>#N/A</v>
      </c>
      <c r="O222" s="10" t="str">
        <f t="shared" si="3"/>
        <v>#DIV/0!</v>
      </c>
      <c r="P222" s="10" t="str">
        <f>IFERROR(__xludf.DUMMYFUNCTION("INT(FILTER(EQ(D222,E222),ISNUMBER(D222),ISNUMBER(E222)))"),"#N/A")</f>
        <v>#N/A</v>
      </c>
    </row>
    <row r="223">
      <c r="A223" s="1" t="s">
        <v>2385</v>
      </c>
      <c r="B223" s="7" t="s">
        <v>2386</v>
      </c>
      <c r="C223" s="25" t="s">
        <v>3580</v>
      </c>
      <c r="D223" s="27"/>
      <c r="E223" s="30"/>
      <c r="F223" s="30"/>
      <c r="G223" s="29"/>
      <c r="H223" s="12"/>
      <c r="I223" s="12"/>
      <c r="J223" s="12"/>
      <c r="K223" s="12"/>
      <c r="L223" s="10" t="str">
        <f t="shared" si="1"/>
        <v>#DIV/0!</v>
      </c>
      <c r="M223" s="10" t="str">
        <f t="shared" si="2"/>
        <v>#DIV/0!</v>
      </c>
      <c r="N223" s="10" t="str">
        <f>IFERROR(__xludf.DUMMYFUNCTION("INT(FILTER(GT(E223,0),ISNUMBER(E223)))"),"#N/A")</f>
        <v>#N/A</v>
      </c>
      <c r="O223" s="10" t="str">
        <f t="shared" si="3"/>
        <v>#DIV/0!</v>
      </c>
      <c r="P223" s="10" t="str">
        <f>IFERROR(__xludf.DUMMYFUNCTION("INT(FILTER(EQ(D223,E223),ISNUMBER(D223),ISNUMBER(E223)))"),"#N/A")</f>
        <v>#N/A</v>
      </c>
    </row>
    <row r="224">
      <c r="A224" s="1" t="s">
        <v>2387</v>
      </c>
      <c r="B224" s="7" t="s">
        <v>2388</v>
      </c>
      <c r="C224" s="25" t="s">
        <v>3738</v>
      </c>
      <c r="D224" s="31"/>
      <c r="E224" s="30"/>
      <c r="F224" s="30"/>
      <c r="G224" s="29"/>
      <c r="H224" s="12"/>
      <c r="I224" s="12"/>
      <c r="J224" s="12"/>
      <c r="K224" s="12"/>
      <c r="L224" s="10" t="str">
        <f t="shared" si="1"/>
        <v>#DIV/0!</v>
      </c>
      <c r="M224" s="10" t="str">
        <f t="shared" si="2"/>
        <v>#DIV/0!</v>
      </c>
      <c r="N224" s="10" t="str">
        <f>IFERROR(__xludf.DUMMYFUNCTION("INT(FILTER(GT(E224,0),ISNUMBER(E224)))"),"#N/A")</f>
        <v>#N/A</v>
      </c>
      <c r="O224" s="10" t="str">
        <f t="shared" si="3"/>
        <v>#DIV/0!</v>
      </c>
      <c r="P224" s="10" t="str">
        <f>IFERROR(__xludf.DUMMYFUNCTION("INT(FILTER(EQ(D224,E224),ISNUMBER(D224),ISNUMBER(E224)))"),"#N/A")</f>
        <v>#N/A</v>
      </c>
    </row>
    <row r="225">
      <c r="A225" s="1" t="s">
        <v>2395</v>
      </c>
      <c r="B225" s="7" t="s">
        <v>2396</v>
      </c>
      <c r="C225" s="25" t="s">
        <v>3739</v>
      </c>
      <c r="D225" s="27"/>
      <c r="E225" s="30"/>
      <c r="F225" s="30"/>
      <c r="G225" s="29"/>
      <c r="H225" s="12"/>
      <c r="I225" s="12"/>
      <c r="J225" s="12"/>
      <c r="K225" s="12"/>
      <c r="L225" s="10" t="str">
        <f t="shared" si="1"/>
        <v>#DIV/0!</v>
      </c>
      <c r="M225" s="10" t="str">
        <f t="shared" si="2"/>
        <v>#DIV/0!</v>
      </c>
      <c r="N225" s="10" t="str">
        <f>IFERROR(__xludf.DUMMYFUNCTION("INT(FILTER(GT(E225,0),ISNUMBER(E225)))"),"#N/A")</f>
        <v>#N/A</v>
      </c>
      <c r="O225" s="10" t="str">
        <f t="shared" si="3"/>
        <v>#DIV/0!</v>
      </c>
      <c r="P225" s="10" t="str">
        <f>IFERROR(__xludf.DUMMYFUNCTION("INT(FILTER(EQ(D225,E225),ISNUMBER(D225),ISNUMBER(E225)))"),"#N/A")</f>
        <v>#N/A</v>
      </c>
    </row>
    <row r="226">
      <c r="A226" s="1" t="s">
        <v>2401</v>
      </c>
      <c r="B226" s="7" t="s">
        <v>2402</v>
      </c>
      <c r="C226" s="25" t="s">
        <v>3740</v>
      </c>
      <c r="D226" s="27"/>
      <c r="E226" s="30"/>
      <c r="F226" s="30"/>
      <c r="G226" s="29"/>
      <c r="H226" s="12"/>
      <c r="I226" s="12"/>
      <c r="J226" s="12"/>
      <c r="K226" s="12"/>
      <c r="L226" s="10" t="str">
        <f t="shared" si="1"/>
        <v>#DIV/0!</v>
      </c>
      <c r="M226" s="10" t="str">
        <f t="shared" si="2"/>
        <v>#DIV/0!</v>
      </c>
      <c r="N226" s="10" t="str">
        <f>IFERROR(__xludf.DUMMYFUNCTION("INT(FILTER(GT(E226,0),ISNUMBER(E226)))"),"#N/A")</f>
        <v>#N/A</v>
      </c>
      <c r="O226" s="10" t="str">
        <f t="shared" si="3"/>
        <v>#DIV/0!</v>
      </c>
      <c r="P226" s="10" t="str">
        <f>IFERROR(__xludf.DUMMYFUNCTION("INT(FILTER(EQ(D226,E226),ISNUMBER(D226),ISNUMBER(E226)))"),"#N/A")</f>
        <v>#N/A</v>
      </c>
    </row>
    <row r="227">
      <c r="A227" s="1" t="s">
        <v>2405</v>
      </c>
      <c r="B227" s="7" t="s">
        <v>2406</v>
      </c>
      <c r="C227" s="25" t="s">
        <v>3584</v>
      </c>
      <c r="D227" s="27"/>
      <c r="E227" s="27"/>
      <c r="F227" s="27"/>
      <c r="G227" s="29"/>
      <c r="H227" s="12"/>
      <c r="I227" s="12"/>
      <c r="J227" s="12"/>
      <c r="K227" s="12"/>
      <c r="L227" s="10" t="str">
        <f t="shared" si="1"/>
        <v>#DIV/0!</v>
      </c>
      <c r="M227" s="10" t="str">
        <f t="shared" si="2"/>
        <v>#DIV/0!</v>
      </c>
      <c r="N227" s="10" t="str">
        <f>IFERROR(__xludf.DUMMYFUNCTION("INT(FILTER(GT(E227,0),ISNUMBER(E227)))"),"#N/A")</f>
        <v>#N/A</v>
      </c>
      <c r="O227" s="10" t="str">
        <f t="shared" si="3"/>
        <v>#DIV/0!</v>
      </c>
      <c r="P227" s="10" t="str">
        <f>IFERROR(__xludf.DUMMYFUNCTION("INT(FILTER(EQ(D227,E227),ISNUMBER(D227),ISNUMBER(E227)))"),"#N/A")</f>
        <v>#N/A</v>
      </c>
    </row>
    <row r="228">
      <c r="A228" s="1" t="s">
        <v>2429</v>
      </c>
      <c r="B228" s="7" t="s">
        <v>2430</v>
      </c>
      <c r="C228" s="25" t="s">
        <v>3584</v>
      </c>
      <c r="D228" s="27"/>
      <c r="E228" s="30"/>
      <c r="F228" s="30"/>
      <c r="G228" s="29"/>
      <c r="H228" s="12"/>
      <c r="I228" s="12"/>
      <c r="J228" s="12"/>
      <c r="K228" s="12"/>
      <c r="L228" s="10" t="str">
        <f t="shared" si="1"/>
        <v>#DIV/0!</v>
      </c>
      <c r="M228" s="10" t="str">
        <f t="shared" si="2"/>
        <v>#DIV/0!</v>
      </c>
      <c r="N228" s="10" t="str">
        <f>IFERROR(__xludf.DUMMYFUNCTION("INT(FILTER(GT(E228,0),ISNUMBER(E228)))"),"#N/A")</f>
        <v>#N/A</v>
      </c>
      <c r="O228" s="10" t="str">
        <f t="shared" si="3"/>
        <v>#DIV/0!</v>
      </c>
      <c r="P228" s="10" t="str">
        <f>IFERROR(__xludf.DUMMYFUNCTION("INT(FILTER(EQ(D228,E228),ISNUMBER(D228),ISNUMBER(E228)))"),"#N/A")</f>
        <v>#N/A</v>
      </c>
    </row>
    <row r="229">
      <c r="A229" s="1" t="s">
        <v>2433</v>
      </c>
      <c r="B229" s="7" t="s">
        <v>2434</v>
      </c>
      <c r="C229" s="25" t="s">
        <v>3661</v>
      </c>
      <c r="D229" s="27"/>
      <c r="E229" s="27"/>
      <c r="F229" s="27"/>
      <c r="G229" s="29"/>
      <c r="H229" s="12"/>
      <c r="I229" s="12"/>
      <c r="J229" s="12"/>
      <c r="K229" s="12"/>
      <c r="L229" s="10" t="str">
        <f t="shared" si="1"/>
        <v>#DIV/0!</v>
      </c>
      <c r="M229" s="10" t="str">
        <f t="shared" si="2"/>
        <v>#DIV/0!</v>
      </c>
      <c r="N229" s="10" t="str">
        <f>IFERROR(__xludf.DUMMYFUNCTION("INT(FILTER(GT(E229,0),ISNUMBER(E229)))"),"#N/A")</f>
        <v>#N/A</v>
      </c>
      <c r="O229" s="10" t="str">
        <f t="shared" si="3"/>
        <v>#DIV/0!</v>
      </c>
      <c r="P229" s="10" t="str">
        <f>IFERROR(__xludf.DUMMYFUNCTION("INT(FILTER(EQ(D229,E229),ISNUMBER(D229),ISNUMBER(E229)))"),"#N/A")</f>
        <v>#N/A</v>
      </c>
    </row>
    <row r="230">
      <c r="A230" s="1" t="s">
        <v>2435</v>
      </c>
      <c r="B230" s="7" t="s">
        <v>2436</v>
      </c>
      <c r="C230" s="25" t="s">
        <v>3741</v>
      </c>
      <c r="D230" s="27"/>
      <c r="E230" s="27"/>
      <c r="F230" s="27"/>
      <c r="G230" s="29"/>
      <c r="H230" s="12"/>
      <c r="I230" s="12"/>
      <c r="J230" s="12"/>
      <c r="K230" s="12"/>
      <c r="L230" s="10" t="str">
        <f t="shared" si="1"/>
        <v>#DIV/0!</v>
      </c>
      <c r="M230" s="10" t="str">
        <f t="shared" si="2"/>
        <v>#DIV/0!</v>
      </c>
      <c r="N230" s="10" t="str">
        <f>IFERROR(__xludf.DUMMYFUNCTION("INT(FILTER(GT(E230,0),ISNUMBER(E230)))"),"#N/A")</f>
        <v>#N/A</v>
      </c>
      <c r="O230" s="10" t="str">
        <f t="shared" si="3"/>
        <v>#DIV/0!</v>
      </c>
      <c r="P230" s="10" t="str">
        <f>IFERROR(__xludf.DUMMYFUNCTION("INT(FILTER(EQ(D230,E230),ISNUMBER(D230),ISNUMBER(E230)))"),"#N/A")</f>
        <v>#N/A</v>
      </c>
    </row>
    <row r="231">
      <c r="A231" s="1" t="s">
        <v>2439</v>
      </c>
      <c r="B231" s="7" t="s">
        <v>2440</v>
      </c>
      <c r="C231" s="25" t="s">
        <v>3742</v>
      </c>
      <c r="D231" s="27"/>
      <c r="E231" s="30"/>
      <c r="F231" s="30"/>
      <c r="G231" s="29"/>
      <c r="H231" s="12"/>
      <c r="I231" s="12"/>
      <c r="J231" s="12"/>
      <c r="K231" s="12"/>
      <c r="L231" s="10" t="str">
        <f t="shared" si="1"/>
        <v>#DIV/0!</v>
      </c>
      <c r="M231" s="10" t="str">
        <f t="shared" si="2"/>
        <v>#DIV/0!</v>
      </c>
      <c r="N231" s="10" t="str">
        <f>IFERROR(__xludf.DUMMYFUNCTION("INT(FILTER(GT(E231,0),ISNUMBER(E231)))"),"#N/A")</f>
        <v>#N/A</v>
      </c>
      <c r="O231" s="10" t="str">
        <f t="shared" si="3"/>
        <v>#DIV/0!</v>
      </c>
      <c r="P231" s="12"/>
    </row>
    <row r="232">
      <c r="A232" s="1" t="s">
        <v>2441</v>
      </c>
      <c r="B232" s="7" t="s">
        <v>2442</v>
      </c>
      <c r="C232" s="25" t="s">
        <v>3743</v>
      </c>
      <c r="D232" s="27"/>
      <c r="E232" s="27"/>
      <c r="F232" s="27"/>
      <c r="G232" s="29"/>
      <c r="H232" s="12"/>
      <c r="I232" s="12"/>
      <c r="J232" s="12"/>
      <c r="K232" s="12"/>
      <c r="L232" s="10" t="str">
        <f t="shared" si="1"/>
        <v>#DIV/0!</v>
      </c>
      <c r="M232" s="10" t="str">
        <f t="shared" si="2"/>
        <v>#DIV/0!</v>
      </c>
      <c r="N232" s="10" t="str">
        <f>IFERROR(__xludf.DUMMYFUNCTION("INT(FILTER(GT(E232,0),ISNUMBER(E232)))"),"#N/A")</f>
        <v>#N/A</v>
      </c>
      <c r="O232" s="10" t="str">
        <f t="shared" si="3"/>
        <v>#DIV/0!</v>
      </c>
      <c r="P232" s="10" t="str">
        <f>IFERROR(__xludf.DUMMYFUNCTION("INT(FILTER(EQ(D232,E232),ISNUMBER(D232),ISNUMBER(E232)))"),"#N/A")</f>
        <v>#N/A</v>
      </c>
    </row>
    <row r="233">
      <c r="A233" s="1" t="s">
        <v>2445</v>
      </c>
      <c r="B233" s="7" t="s">
        <v>2446</v>
      </c>
      <c r="C233" s="25" t="s">
        <v>3744</v>
      </c>
      <c r="D233" s="27"/>
      <c r="E233" s="27"/>
      <c r="F233" s="27"/>
      <c r="G233" s="29"/>
      <c r="H233" s="12"/>
      <c r="I233" s="12"/>
      <c r="J233" s="12"/>
      <c r="K233" s="12"/>
      <c r="L233" s="10" t="str">
        <f t="shared" si="1"/>
        <v>#DIV/0!</v>
      </c>
      <c r="M233" s="10" t="str">
        <f t="shared" si="2"/>
        <v>#DIV/0!</v>
      </c>
      <c r="N233" s="10" t="str">
        <f>IFERROR(__xludf.DUMMYFUNCTION("INT(FILTER(GT(E233,0),ISNUMBER(E233)))"),"#N/A")</f>
        <v>#N/A</v>
      </c>
      <c r="O233" s="10" t="str">
        <f t="shared" si="3"/>
        <v>#DIV/0!</v>
      </c>
      <c r="P233" s="10" t="str">
        <f>IFERROR(__xludf.DUMMYFUNCTION("INT(FILTER(EQ(D233,E233),ISNUMBER(D233),ISNUMBER(E233)))"),"#N/A")</f>
        <v>#N/A</v>
      </c>
    </row>
    <row r="234">
      <c r="A234" s="1" t="s">
        <v>2449</v>
      </c>
      <c r="B234" s="7" t="s">
        <v>2450</v>
      </c>
      <c r="C234" s="25" t="s">
        <v>3745</v>
      </c>
      <c r="D234" s="27"/>
      <c r="E234" s="30"/>
      <c r="F234" s="30"/>
      <c r="G234" s="29"/>
      <c r="H234" s="12"/>
      <c r="I234" s="12"/>
      <c r="J234" s="12"/>
      <c r="K234" s="12"/>
      <c r="L234" s="10" t="str">
        <f t="shared" si="1"/>
        <v>#DIV/0!</v>
      </c>
      <c r="M234" s="10" t="str">
        <f t="shared" si="2"/>
        <v>#DIV/0!</v>
      </c>
      <c r="N234" s="10" t="str">
        <f>IFERROR(__xludf.DUMMYFUNCTION("INT(FILTER(GT(E234,0),ISNUMBER(E234)))"),"#N/A")</f>
        <v>#N/A</v>
      </c>
      <c r="O234" s="10" t="str">
        <f t="shared" si="3"/>
        <v>#DIV/0!</v>
      </c>
      <c r="P234" s="10" t="str">
        <f>IFERROR(__xludf.DUMMYFUNCTION("INT(FILTER(EQ(D234,E234),ISNUMBER(D234),ISNUMBER(E234)))"),"#N/A")</f>
        <v>#N/A</v>
      </c>
    </row>
    <row r="235">
      <c r="A235" s="1" t="s">
        <v>2469</v>
      </c>
      <c r="B235" s="7" t="s">
        <v>2470</v>
      </c>
      <c r="C235" s="25" t="s">
        <v>3746</v>
      </c>
      <c r="D235" s="27"/>
      <c r="E235" s="27"/>
      <c r="F235" s="27"/>
      <c r="G235" s="29"/>
      <c r="H235" s="12"/>
      <c r="I235" s="12"/>
      <c r="J235" s="12"/>
      <c r="K235" s="12"/>
      <c r="L235" s="10" t="str">
        <f t="shared" si="1"/>
        <v>#DIV/0!</v>
      </c>
      <c r="M235" s="10" t="str">
        <f t="shared" si="2"/>
        <v>#DIV/0!</v>
      </c>
      <c r="N235" s="10" t="str">
        <f>IFERROR(__xludf.DUMMYFUNCTION("INT(FILTER(GT(E235,0),ISNUMBER(E235)))"),"#N/A")</f>
        <v>#N/A</v>
      </c>
      <c r="O235" s="10" t="str">
        <f t="shared" si="3"/>
        <v>#DIV/0!</v>
      </c>
      <c r="P235" s="10" t="str">
        <f>IFERROR(__xludf.DUMMYFUNCTION("INT(FILTER(EQ(D235,E235),ISNUMBER(D235),ISNUMBER(E235)))"),"#N/A")</f>
        <v>#N/A</v>
      </c>
    </row>
    <row r="236">
      <c r="A236" s="1" t="s">
        <v>2487</v>
      </c>
      <c r="B236" s="7" t="s">
        <v>2488</v>
      </c>
      <c r="C236" s="25" t="s">
        <v>3747</v>
      </c>
      <c r="D236" s="27"/>
      <c r="E236" s="27"/>
      <c r="F236" s="27"/>
      <c r="G236" s="29"/>
      <c r="H236" s="12"/>
      <c r="I236" s="12"/>
      <c r="J236" s="12"/>
      <c r="K236" s="12"/>
      <c r="L236" s="10" t="str">
        <f t="shared" si="1"/>
        <v>#DIV/0!</v>
      </c>
      <c r="M236" s="10" t="str">
        <f t="shared" si="2"/>
        <v>#DIV/0!</v>
      </c>
      <c r="N236" s="10" t="str">
        <f>IFERROR(__xludf.DUMMYFUNCTION("INT(FILTER(GT(E236,0),ISNUMBER(E236)))"),"#N/A")</f>
        <v>#N/A</v>
      </c>
      <c r="O236" s="10" t="str">
        <f t="shared" si="3"/>
        <v>#DIV/0!</v>
      </c>
      <c r="P236" s="10" t="str">
        <f>IFERROR(__xludf.DUMMYFUNCTION("INT(FILTER(EQ(D236,E236),ISNUMBER(D236),ISNUMBER(E236)))"),"#N/A")</f>
        <v>#N/A</v>
      </c>
    </row>
    <row r="237">
      <c r="A237" s="1" t="s">
        <v>2495</v>
      </c>
      <c r="B237" s="7" t="s">
        <v>2496</v>
      </c>
      <c r="C237" s="25" t="s">
        <v>3748</v>
      </c>
      <c r="D237" s="27"/>
      <c r="E237" s="27"/>
      <c r="F237" s="27"/>
      <c r="G237" s="29"/>
      <c r="H237" s="12"/>
      <c r="I237" s="12"/>
      <c r="J237" s="12"/>
      <c r="K237" s="12"/>
      <c r="L237" s="10" t="str">
        <f t="shared" si="1"/>
        <v>#DIV/0!</v>
      </c>
      <c r="M237" s="10" t="str">
        <f t="shared" si="2"/>
        <v>#DIV/0!</v>
      </c>
      <c r="N237" s="10" t="str">
        <f>IFERROR(__xludf.DUMMYFUNCTION("INT(FILTER(GT(E237,0),ISNUMBER(E237)))"),"#N/A")</f>
        <v>#N/A</v>
      </c>
      <c r="O237" s="10" t="str">
        <f t="shared" si="3"/>
        <v>#DIV/0!</v>
      </c>
      <c r="P237" s="10" t="str">
        <f>IFERROR(__xludf.DUMMYFUNCTION("INT(FILTER(EQ(D237,E237),ISNUMBER(D237),ISNUMBER(E237)))"),"#N/A")</f>
        <v>#N/A</v>
      </c>
    </row>
    <row r="238">
      <c r="A238" s="1" t="s">
        <v>2500</v>
      </c>
      <c r="B238" s="7" t="s">
        <v>2501</v>
      </c>
      <c r="C238" s="25" t="s">
        <v>3678</v>
      </c>
      <c r="D238" s="27"/>
      <c r="E238" s="27"/>
      <c r="F238" s="27"/>
      <c r="G238" s="29"/>
      <c r="H238" s="12"/>
      <c r="I238" s="12"/>
      <c r="J238" s="12"/>
      <c r="K238" s="12"/>
      <c r="L238" s="10" t="str">
        <f t="shared" si="1"/>
        <v>#DIV/0!</v>
      </c>
      <c r="M238" s="10" t="str">
        <f t="shared" si="2"/>
        <v>#DIV/0!</v>
      </c>
      <c r="N238" s="10" t="str">
        <f>IFERROR(__xludf.DUMMYFUNCTION("INT(FILTER(GT(E238,0),ISNUMBER(E238)))"),"#N/A")</f>
        <v>#N/A</v>
      </c>
      <c r="O238" s="10" t="str">
        <f t="shared" si="3"/>
        <v>#DIV/0!</v>
      </c>
      <c r="P238" s="10" t="str">
        <f>IFERROR(__xludf.DUMMYFUNCTION("INT(FILTER(EQ(D238,E238),ISNUMBER(D238),ISNUMBER(E238)))"),"#N/A")</f>
        <v>#N/A</v>
      </c>
    </row>
    <row r="239">
      <c r="A239" s="1" t="s">
        <v>2523</v>
      </c>
      <c r="B239" s="7" t="s">
        <v>2524</v>
      </c>
      <c r="C239" s="25" t="s">
        <v>3749</v>
      </c>
      <c r="D239" s="27"/>
      <c r="E239" s="30"/>
      <c r="F239" s="30"/>
      <c r="G239" s="29"/>
      <c r="H239" s="12"/>
      <c r="I239" s="12"/>
      <c r="J239" s="12"/>
      <c r="K239" s="12"/>
      <c r="L239" s="10" t="str">
        <f t="shared" si="1"/>
        <v>#DIV/0!</v>
      </c>
      <c r="M239" s="10" t="str">
        <f t="shared" si="2"/>
        <v>#DIV/0!</v>
      </c>
      <c r="N239" s="10" t="str">
        <f>IFERROR(__xludf.DUMMYFUNCTION("INT(FILTER(GT(E239,0),ISNUMBER(E239)))"),"#N/A")</f>
        <v>#N/A</v>
      </c>
      <c r="O239" s="10" t="str">
        <f t="shared" si="3"/>
        <v>#DIV/0!</v>
      </c>
      <c r="P239" s="10" t="str">
        <f>IFERROR(__xludf.DUMMYFUNCTION("INT(FILTER(EQ(D239,E239),ISNUMBER(D239),ISNUMBER(E239)))"),"#N/A")</f>
        <v>#N/A</v>
      </c>
    </row>
    <row r="240">
      <c r="A240" s="1" t="s">
        <v>2544</v>
      </c>
      <c r="B240" s="7" t="s">
        <v>2545</v>
      </c>
      <c r="C240" s="25" t="s">
        <v>3750</v>
      </c>
      <c r="D240" s="27"/>
      <c r="E240" s="27"/>
      <c r="F240" s="27"/>
      <c r="G240" s="29"/>
      <c r="H240" s="12"/>
      <c r="I240" s="12"/>
      <c r="J240" s="12"/>
      <c r="K240" s="12"/>
      <c r="L240" s="10" t="str">
        <f t="shared" si="1"/>
        <v>#DIV/0!</v>
      </c>
      <c r="M240" s="10" t="str">
        <f t="shared" si="2"/>
        <v>#DIV/0!</v>
      </c>
      <c r="N240" s="10" t="str">
        <f>IFERROR(__xludf.DUMMYFUNCTION("INT(FILTER(GT(E240,0),ISNUMBER(E240)))"),"#N/A")</f>
        <v>#N/A</v>
      </c>
      <c r="O240" s="10" t="str">
        <f t="shared" si="3"/>
        <v>#DIV/0!</v>
      </c>
      <c r="P240" s="10" t="str">
        <f>IFERROR(__xludf.DUMMYFUNCTION("INT(FILTER(EQ(D240,E240),ISNUMBER(D240),ISNUMBER(E240)))"),"#N/A")</f>
        <v>#N/A</v>
      </c>
    </row>
    <row r="241">
      <c r="A241" s="1" t="s">
        <v>2547</v>
      </c>
      <c r="B241" s="7" t="s">
        <v>2548</v>
      </c>
      <c r="C241" s="25" t="s">
        <v>3751</v>
      </c>
      <c r="D241" s="27"/>
      <c r="E241" s="27"/>
      <c r="F241" s="27"/>
      <c r="G241" s="29"/>
      <c r="H241" s="12"/>
      <c r="I241" s="12"/>
      <c r="J241" s="12"/>
      <c r="K241" s="12"/>
      <c r="L241" s="10" t="str">
        <f t="shared" si="1"/>
        <v>#DIV/0!</v>
      </c>
      <c r="M241" s="10" t="str">
        <f t="shared" si="2"/>
        <v>#DIV/0!</v>
      </c>
      <c r="N241" s="10" t="str">
        <f>IFERROR(__xludf.DUMMYFUNCTION("INT(FILTER(GT(E241,0),ISNUMBER(E241)))"),"#N/A")</f>
        <v>#N/A</v>
      </c>
      <c r="O241" s="10" t="str">
        <f t="shared" si="3"/>
        <v>#DIV/0!</v>
      </c>
      <c r="P241" s="10" t="str">
        <f>IFERROR(__xludf.DUMMYFUNCTION("INT(FILTER(EQ(D241,E241),ISNUMBER(D241),ISNUMBER(E241)))"),"#N/A")</f>
        <v>#N/A</v>
      </c>
    </row>
    <row r="242">
      <c r="A242" s="1" t="s">
        <v>2551</v>
      </c>
      <c r="B242" s="7" t="s">
        <v>2552</v>
      </c>
      <c r="C242" s="25" t="s">
        <v>3752</v>
      </c>
      <c r="D242" s="27"/>
      <c r="E242" s="30"/>
      <c r="F242" s="30"/>
      <c r="G242" s="29"/>
      <c r="H242" s="12"/>
      <c r="I242" s="12"/>
      <c r="J242" s="12"/>
      <c r="K242" s="12"/>
      <c r="L242" s="10" t="str">
        <f t="shared" si="1"/>
        <v>#DIV/0!</v>
      </c>
      <c r="M242" s="10" t="str">
        <f t="shared" si="2"/>
        <v>#DIV/0!</v>
      </c>
      <c r="N242" s="10" t="str">
        <f>IFERROR(__xludf.DUMMYFUNCTION("INT(FILTER(GT(E242,0),ISNUMBER(E242)))"),"#N/A")</f>
        <v>#N/A</v>
      </c>
      <c r="O242" s="10" t="str">
        <f t="shared" si="3"/>
        <v>#DIV/0!</v>
      </c>
      <c r="P242" s="12"/>
    </row>
    <row r="243">
      <c r="A243" s="1" t="s">
        <v>2556</v>
      </c>
      <c r="B243" s="7" t="s">
        <v>2557</v>
      </c>
      <c r="C243" s="25" t="s">
        <v>2558</v>
      </c>
      <c r="D243" s="27"/>
      <c r="E243" s="27"/>
      <c r="F243" s="27"/>
      <c r="G243" s="29"/>
      <c r="H243" s="12"/>
      <c r="I243" s="12"/>
      <c r="J243" s="12"/>
      <c r="K243" s="12"/>
      <c r="L243" s="10" t="str">
        <f t="shared" si="1"/>
        <v>#DIV/0!</v>
      </c>
      <c r="M243" s="10" t="str">
        <f t="shared" si="2"/>
        <v>#DIV/0!</v>
      </c>
      <c r="N243" s="10" t="str">
        <f>IFERROR(__xludf.DUMMYFUNCTION("INT(FILTER(GT(E243,0),ISNUMBER(E243)))"),"#N/A")</f>
        <v>#N/A</v>
      </c>
      <c r="O243" s="10" t="str">
        <f t="shared" si="3"/>
        <v>#DIV/0!</v>
      </c>
      <c r="P243" s="10" t="str">
        <f>IFERROR(__xludf.DUMMYFUNCTION("INT(FILTER(EQ(D243,E243),ISNUMBER(D243),ISNUMBER(E243)))"),"#N/A")</f>
        <v>#N/A</v>
      </c>
    </row>
    <row r="244">
      <c r="A244" s="1" t="s">
        <v>2560</v>
      </c>
      <c r="B244" s="7" t="s">
        <v>2561</v>
      </c>
      <c r="C244" s="25" t="s">
        <v>3753</v>
      </c>
      <c r="D244" s="27"/>
      <c r="E244" s="27"/>
      <c r="F244" s="27"/>
      <c r="G244" s="29"/>
      <c r="H244" s="12"/>
      <c r="I244" s="12"/>
      <c r="J244" s="12"/>
      <c r="K244" s="12"/>
      <c r="L244" s="10" t="str">
        <f t="shared" si="1"/>
        <v>#DIV/0!</v>
      </c>
      <c r="M244" s="10" t="str">
        <f t="shared" si="2"/>
        <v>#DIV/0!</v>
      </c>
      <c r="N244" s="10" t="str">
        <f>IFERROR(__xludf.DUMMYFUNCTION("INT(FILTER(GT(E244,0),ISNUMBER(E244)))"),"#N/A")</f>
        <v>#N/A</v>
      </c>
      <c r="O244" s="10" t="str">
        <f t="shared" si="3"/>
        <v>#DIV/0!</v>
      </c>
      <c r="P244" s="10" t="str">
        <f>IFERROR(__xludf.DUMMYFUNCTION("INT(FILTER(EQ(D244,E244),ISNUMBER(D244),ISNUMBER(E244)))"),"#N/A")</f>
        <v>#N/A</v>
      </c>
    </row>
    <row r="245">
      <c r="A245" s="1" t="s">
        <v>2569</v>
      </c>
      <c r="B245" s="7" t="s">
        <v>2570</v>
      </c>
      <c r="C245" s="25" t="s">
        <v>3754</v>
      </c>
      <c r="D245" s="27"/>
      <c r="E245" s="30"/>
      <c r="F245" s="30"/>
      <c r="G245" s="29"/>
      <c r="H245" s="12"/>
      <c r="I245" s="12"/>
      <c r="J245" s="12"/>
      <c r="K245" s="12"/>
      <c r="L245" s="10" t="str">
        <f t="shared" si="1"/>
        <v>#DIV/0!</v>
      </c>
      <c r="M245" s="10" t="str">
        <f t="shared" si="2"/>
        <v>#DIV/0!</v>
      </c>
      <c r="N245" s="10" t="str">
        <f>IFERROR(__xludf.DUMMYFUNCTION("INT(FILTER(GT(E245,0),ISNUMBER(E245)))"),"#N/A")</f>
        <v>#N/A</v>
      </c>
      <c r="O245" s="10" t="str">
        <f t="shared" si="3"/>
        <v>#DIV/0!</v>
      </c>
      <c r="P245" s="10" t="str">
        <f>IFERROR(__xludf.DUMMYFUNCTION("INT(FILTER(EQ(D245,E245),ISNUMBER(D245),ISNUMBER(E245)))"),"#N/A")</f>
        <v>#N/A</v>
      </c>
    </row>
    <row r="246">
      <c r="A246" s="1" t="s">
        <v>2581</v>
      </c>
      <c r="B246" s="7" t="s">
        <v>2582</v>
      </c>
      <c r="C246" s="25" t="s">
        <v>3755</v>
      </c>
      <c r="D246" s="31"/>
      <c r="E246" s="30"/>
      <c r="F246" s="30"/>
      <c r="G246" s="29"/>
      <c r="H246" s="12"/>
      <c r="I246" s="12"/>
      <c r="J246" s="12"/>
      <c r="K246" s="12"/>
      <c r="L246" s="10" t="str">
        <f t="shared" si="1"/>
        <v>#DIV/0!</v>
      </c>
      <c r="M246" s="10" t="str">
        <f t="shared" si="2"/>
        <v>#DIV/0!</v>
      </c>
      <c r="N246" s="10" t="str">
        <f>IFERROR(__xludf.DUMMYFUNCTION("INT(FILTER(GT(E246,0),ISNUMBER(E246)))"),"#N/A")</f>
        <v>#N/A</v>
      </c>
      <c r="O246" s="10" t="str">
        <f t="shared" si="3"/>
        <v>#DIV/0!</v>
      </c>
      <c r="P246" s="10" t="str">
        <f>IFERROR(__xludf.DUMMYFUNCTION("INT(FILTER(EQ(D246,E246),ISNUMBER(D246),ISNUMBER(E246)))"),"#N/A")</f>
        <v>#N/A</v>
      </c>
    </row>
    <row r="247">
      <c r="A247" s="1" t="s">
        <v>2587</v>
      </c>
      <c r="B247" s="7" t="s">
        <v>2588</v>
      </c>
      <c r="C247" s="25" t="s">
        <v>3756</v>
      </c>
      <c r="D247" s="27"/>
      <c r="E247" s="30"/>
      <c r="F247" s="30"/>
      <c r="G247" s="29"/>
      <c r="H247" s="12"/>
      <c r="I247" s="12"/>
      <c r="J247" s="12"/>
      <c r="K247" s="12"/>
      <c r="L247" s="10" t="str">
        <f t="shared" si="1"/>
        <v>#DIV/0!</v>
      </c>
      <c r="M247" s="10" t="str">
        <f t="shared" si="2"/>
        <v>#DIV/0!</v>
      </c>
      <c r="N247" s="10" t="str">
        <f>IFERROR(__xludf.DUMMYFUNCTION("INT(FILTER(GT(E247,0),ISNUMBER(E247)))"),"#N/A")</f>
        <v>#N/A</v>
      </c>
      <c r="O247" s="10" t="str">
        <f t="shared" si="3"/>
        <v>#DIV/0!</v>
      </c>
      <c r="P247" s="10" t="str">
        <f>IFERROR(__xludf.DUMMYFUNCTION("INT(FILTER(EQ(D247,E247),ISNUMBER(D247),ISNUMBER(E247)))"),"#N/A")</f>
        <v>#N/A</v>
      </c>
    </row>
    <row r="248">
      <c r="A248" s="1" t="s">
        <v>2590</v>
      </c>
      <c r="B248" s="7" t="s">
        <v>2591</v>
      </c>
      <c r="C248" s="25" t="s">
        <v>3608</v>
      </c>
      <c r="D248" s="27"/>
      <c r="E248" s="27"/>
      <c r="F248" s="27"/>
      <c r="G248" s="29"/>
      <c r="H248" s="12"/>
      <c r="I248" s="12"/>
      <c r="J248" s="12"/>
      <c r="K248" s="12"/>
      <c r="L248" s="10" t="str">
        <f t="shared" si="1"/>
        <v>#DIV/0!</v>
      </c>
      <c r="M248" s="10" t="str">
        <f t="shared" si="2"/>
        <v>#DIV/0!</v>
      </c>
      <c r="N248" s="10" t="str">
        <f>IFERROR(__xludf.DUMMYFUNCTION("INT(FILTER(GT(E248,0),ISNUMBER(E248)))"),"#N/A")</f>
        <v>#N/A</v>
      </c>
      <c r="O248" s="10" t="str">
        <f t="shared" si="3"/>
        <v>#DIV/0!</v>
      </c>
      <c r="P248" s="10" t="str">
        <f>IFERROR(__xludf.DUMMYFUNCTION("INT(FILTER(EQ(D248,E248),ISNUMBER(D248),ISNUMBER(E248)))"),"#N/A")</f>
        <v>#N/A</v>
      </c>
    </row>
    <row r="249">
      <c r="A249" s="1" t="s">
        <v>2592</v>
      </c>
      <c r="B249" s="7" t="s">
        <v>2593</v>
      </c>
      <c r="C249" s="25" t="s">
        <v>3757</v>
      </c>
      <c r="D249" s="27"/>
      <c r="E249" s="30"/>
      <c r="F249" s="30"/>
      <c r="G249" s="29"/>
      <c r="H249" s="12"/>
      <c r="I249" s="12"/>
      <c r="J249" s="12"/>
      <c r="K249" s="12"/>
      <c r="L249" s="10" t="str">
        <f t="shared" si="1"/>
        <v>#DIV/0!</v>
      </c>
      <c r="M249" s="10" t="str">
        <f t="shared" si="2"/>
        <v>#DIV/0!</v>
      </c>
      <c r="N249" s="10" t="str">
        <f>IFERROR(__xludf.DUMMYFUNCTION("INT(FILTER(GT(E249,0),ISNUMBER(E249)))"),"#N/A")</f>
        <v>#N/A</v>
      </c>
      <c r="O249" s="10" t="str">
        <f t="shared" si="3"/>
        <v>#DIV/0!</v>
      </c>
      <c r="P249" s="10" t="str">
        <f>IFERROR(__xludf.DUMMYFUNCTION("INT(FILTER(EQ(D249,E249),ISNUMBER(D249),ISNUMBER(E249)))"),"#N/A")</f>
        <v>#N/A</v>
      </c>
    </row>
    <row r="250">
      <c r="A250" s="1" t="s">
        <v>2601</v>
      </c>
      <c r="B250" s="7" t="s">
        <v>2602</v>
      </c>
      <c r="C250" s="25" t="s">
        <v>3644</v>
      </c>
      <c r="D250" s="27"/>
      <c r="E250" s="27"/>
      <c r="F250" s="27"/>
      <c r="G250" s="29"/>
      <c r="H250" s="12"/>
      <c r="I250" s="12"/>
      <c r="J250" s="12"/>
      <c r="K250" s="12"/>
      <c r="L250" s="10" t="str">
        <f t="shared" si="1"/>
        <v>#DIV/0!</v>
      </c>
      <c r="M250" s="10" t="str">
        <f t="shared" si="2"/>
        <v>#DIV/0!</v>
      </c>
      <c r="N250" s="10" t="str">
        <f>IFERROR(__xludf.DUMMYFUNCTION("INT(FILTER(GT(E250,0),ISNUMBER(E250)))"),"#N/A")</f>
        <v>#N/A</v>
      </c>
      <c r="O250" s="10" t="str">
        <f t="shared" si="3"/>
        <v>#DIV/0!</v>
      </c>
      <c r="P250" s="10" t="str">
        <f>IFERROR(__xludf.DUMMYFUNCTION("INT(FILTER(EQ(D250,E250),ISNUMBER(D250),ISNUMBER(E250)))"),"#N/A")</f>
        <v>#N/A</v>
      </c>
    </row>
    <row r="251">
      <c r="A251" s="1" t="s">
        <v>2628</v>
      </c>
      <c r="B251" s="7" t="s">
        <v>2629</v>
      </c>
      <c r="C251" s="25" t="s">
        <v>3636</v>
      </c>
      <c r="D251" s="31"/>
      <c r="E251" s="31"/>
      <c r="F251" s="31"/>
      <c r="G251" s="29"/>
      <c r="H251" s="12"/>
      <c r="I251" s="12"/>
      <c r="J251" s="12"/>
      <c r="K251" s="12"/>
      <c r="L251" s="18" t="str">
        <f t="shared" si="1"/>
        <v>#DIV/0!</v>
      </c>
      <c r="M251" s="10" t="str">
        <f t="shared" si="2"/>
        <v>#DIV/0!</v>
      </c>
      <c r="N251" s="18" t="str">
        <f>IFERROR(__xludf.DUMMYFUNCTION("INT(FILTER(GT(E251,0),ISNUMBER(E251)))"),"#N/A")</f>
        <v>#N/A</v>
      </c>
      <c r="O251" s="18" t="str">
        <f t="shared" si="3"/>
        <v>#DIV/0!</v>
      </c>
      <c r="P251" s="18" t="str">
        <f>IFERROR(__xludf.DUMMYFUNCTION("INT(FILTER(EQ(D251,E251),ISNUMBER(D251),ISNUMBER(E251)))"),"#N/A")</f>
        <v>#N/A</v>
      </c>
    </row>
    <row r="252">
      <c r="A252" s="1" t="s">
        <v>2632</v>
      </c>
      <c r="B252" s="7" t="s">
        <v>2633</v>
      </c>
      <c r="C252" s="25" t="s">
        <v>3758</v>
      </c>
      <c r="D252" s="31"/>
      <c r="E252" s="31"/>
      <c r="F252" s="31"/>
      <c r="G252" s="29"/>
      <c r="H252" s="12"/>
      <c r="I252" s="12"/>
      <c r="J252" s="12"/>
      <c r="K252" s="12"/>
      <c r="L252" s="18" t="str">
        <f t="shared" si="1"/>
        <v>#DIV/0!</v>
      </c>
      <c r="M252" s="10" t="str">
        <f t="shared" si="2"/>
        <v>#DIV/0!</v>
      </c>
      <c r="N252" s="18" t="str">
        <f>IFERROR(__xludf.DUMMYFUNCTION("INT(FILTER(GT(E252,0),ISNUMBER(E252)))"),"#N/A")</f>
        <v>#N/A</v>
      </c>
      <c r="O252" s="18" t="str">
        <f t="shared" si="3"/>
        <v>#DIV/0!</v>
      </c>
      <c r="P252" s="18" t="str">
        <f>IFERROR(__xludf.DUMMYFUNCTION("INT(FILTER(EQ(D252,E252),ISNUMBER(D252),ISNUMBER(E252)))"),"#N/A")</f>
        <v>#N/A</v>
      </c>
    </row>
    <row r="253">
      <c r="A253" s="1" t="s">
        <v>2670</v>
      </c>
      <c r="B253" s="7" t="s">
        <v>2671</v>
      </c>
      <c r="C253" s="25" t="s">
        <v>3759</v>
      </c>
      <c r="D253" s="31"/>
      <c r="E253" s="31"/>
      <c r="F253" s="31"/>
      <c r="G253" s="29"/>
      <c r="H253" s="12"/>
      <c r="I253" s="12"/>
      <c r="J253" s="12"/>
      <c r="K253" s="12"/>
      <c r="L253" s="18" t="str">
        <f t="shared" si="1"/>
        <v>#DIV/0!</v>
      </c>
      <c r="M253" s="10" t="str">
        <f t="shared" si="2"/>
        <v>#DIV/0!</v>
      </c>
      <c r="N253" s="18" t="str">
        <f>IFERROR(__xludf.DUMMYFUNCTION("INT(FILTER(GT(E253,0),ISNUMBER(E253)))"),"#N/A")</f>
        <v>#N/A</v>
      </c>
      <c r="O253" s="18" t="str">
        <f t="shared" si="3"/>
        <v>#DIV/0!</v>
      </c>
      <c r="P253" s="18" t="str">
        <f>IFERROR(__xludf.DUMMYFUNCTION("INT(FILTER(EQ(D253,E253),ISNUMBER(D253),ISNUMBER(E253)))"),"#N/A")</f>
        <v>#N/A</v>
      </c>
    </row>
    <row r="254">
      <c r="A254" s="1" t="s">
        <v>2678</v>
      </c>
      <c r="B254" s="7" t="s">
        <v>2679</v>
      </c>
      <c r="C254" s="25" t="s">
        <v>3760</v>
      </c>
      <c r="D254" s="31"/>
      <c r="E254" s="31"/>
      <c r="F254" s="31"/>
      <c r="G254" s="29"/>
      <c r="H254" s="12"/>
      <c r="I254" s="12"/>
      <c r="J254" s="12"/>
      <c r="K254" s="12"/>
      <c r="L254" s="18" t="str">
        <f t="shared" si="1"/>
        <v>#DIV/0!</v>
      </c>
      <c r="M254" s="10" t="str">
        <f t="shared" si="2"/>
        <v>#DIV/0!</v>
      </c>
      <c r="N254" s="18" t="str">
        <f>IFERROR(__xludf.DUMMYFUNCTION("INT(FILTER(GT(E254,0),ISNUMBER(E254)))"),"#N/A")</f>
        <v>#N/A</v>
      </c>
      <c r="O254" s="18" t="str">
        <f t="shared" si="3"/>
        <v>#DIV/0!</v>
      </c>
      <c r="P254" s="18" t="str">
        <f>IFERROR(__xludf.DUMMYFUNCTION("INT(FILTER(EQ(D254,E254),ISNUMBER(D254),ISNUMBER(E254)))"),"#N/A")</f>
        <v>#N/A</v>
      </c>
    </row>
    <row r="255">
      <c r="A255" s="1" t="s">
        <v>2686</v>
      </c>
      <c r="B255" s="7" t="s">
        <v>2687</v>
      </c>
      <c r="C255" s="25" t="s">
        <v>3761</v>
      </c>
      <c r="D255" s="31"/>
      <c r="E255" s="31"/>
      <c r="F255" s="31"/>
      <c r="G255" s="29"/>
      <c r="H255" s="12"/>
      <c r="I255" s="12"/>
      <c r="J255" s="12"/>
      <c r="K255" s="12"/>
      <c r="L255" s="18" t="str">
        <f t="shared" si="1"/>
        <v>#DIV/0!</v>
      </c>
      <c r="M255" s="10" t="str">
        <f t="shared" si="2"/>
        <v>#DIV/0!</v>
      </c>
      <c r="N255" s="18" t="str">
        <f>IFERROR(__xludf.DUMMYFUNCTION("INT(FILTER(GT(E255,0),ISNUMBER(E255)))"),"#N/A")</f>
        <v>#N/A</v>
      </c>
      <c r="O255" s="18" t="str">
        <f t="shared" si="3"/>
        <v>#DIV/0!</v>
      </c>
      <c r="P255" s="18" t="str">
        <f>IFERROR(__xludf.DUMMYFUNCTION("INT(FILTER(EQ(D255,E255),ISNUMBER(D255),ISNUMBER(E255)))"),"#N/A")</f>
        <v>#N/A</v>
      </c>
    </row>
    <row r="256">
      <c r="A256" s="1" t="s">
        <v>2697</v>
      </c>
      <c r="B256" s="7" t="s">
        <v>2698</v>
      </c>
      <c r="C256" s="25" t="s">
        <v>3762</v>
      </c>
      <c r="D256" s="31"/>
      <c r="E256" s="31"/>
      <c r="F256" s="31"/>
      <c r="G256" s="29"/>
      <c r="H256" s="12"/>
      <c r="I256" s="12"/>
      <c r="J256" s="12"/>
      <c r="K256" s="12"/>
      <c r="L256" s="18" t="str">
        <f t="shared" si="1"/>
        <v>#DIV/0!</v>
      </c>
      <c r="M256" s="10" t="str">
        <f t="shared" si="2"/>
        <v>#DIV/0!</v>
      </c>
      <c r="N256" s="18" t="str">
        <f>IFERROR(__xludf.DUMMYFUNCTION("INT(FILTER(GT(E256,0),ISNUMBER(E256)))"),"#N/A")</f>
        <v>#N/A</v>
      </c>
      <c r="O256" s="18" t="str">
        <f t="shared" si="3"/>
        <v>#DIV/0!</v>
      </c>
      <c r="P256" s="18" t="str">
        <f>IFERROR(__xludf.DUMMYFUNCTION("INT(FILTER(EQ(D256,E256),ISNUMBER(D256),ISNUMBER(E256)))"),"#N/A")</f>
        <v>#N/A</v>
      </c>
    </row>
    <row r="257">
      <c r="A257" s="1" t="s">
        <v>2705</v>
      </c>
      <c r="B257" s="7" t="s">
        <v>2706</v>
      </c>
      <c r="C257" s="25" t="s">
        <v>3763</v>
      </c>
      <c r="D257" s="31"/>
      <c r="E257" s="31"/>
      <c r="F257" s="31"/>
      <c r="G257" s="29"/>
      <c r="H257" s="12"/>
      <c r="I257" s="12"/>
      <c r="J257" s="12"/>
      <c r="K257" s="12"/>
      <c r="L257" s="18" t="str">
        <f t="shared" si="1"/>
        <v>#DIV/0!</v>
      </c>
      <c r="M257" s="10" t="str">
        <f t="shared" si="2"/>
        <v>#DIV/0!</v>
      </c>
      <c r="N257" s="18" t="str">
        <f>IFERROR(__xludf.DUMMYFUNCTION("INT(FILTER(GT(E257,0),ISNUMBER(E257)))"),"#N/A")</f>
        <v>#N/A</v>
      </c>
      <c r="O257" s="18" t="str">
        <f t="shared" si="3"/>
        <v>#DIV/0!</v>
      </c>
      <c r="P257" s="18" t="str">
        <f>IFERROR(__xludf.DUMMYFUNCTION("INT(FILTER(EQ(D257,E257),ISNUMBER(D257),ISNUMBER(E257)))"),"#N/A")</f>
        <v>#N/A</v>
      </c>
    </row>
    <row r="258">
      <c r="A258" s="1" t="s">
        <v>2709</v>
      </c>
      <c r="B258" s="7" t="s">
        <v>2710</v>
      </c>
      <c r="C258" s="25" t="s">
        <v>3764</v>
      </c>
      <c r="D258" s="31"/>
      <c r="E258" s="31"/>
      <c r="F258" s="31"/>
      <c r="G258" s="29"/>
      <c r="H258" s="12"/>
      <c r="I258" s="12"/>
      <c r="J258" s="12"/>
      <c r="K258" s="12"/>
      <c r="L258" s="18" t="str">
        <f t="shared" si="1"/>
        <v>#DIV/0!</v>
      </c>
      <c r="M258" s="10" t="str">
        <f t="shared" si="2"/>
        <v>#DIV/0!</v>
      </c>
      <c r="N258" s="18" t="str">
        <f>IFERROR(__xludf.DUMMYFUNCTION("INT(FILTER(GT(E258,0),ISNUMBER(E258)))"),"#N/A")</f>
        <v>#N/A</v>
      </c>
      <c r="O258" s="18" t="str">
        <f t="shared" si="3"/>
        <v>#DIV/0!</v>
      </c>
      <c r="P258" s="18" t="str">
        <f>IFERROR(__xludf.DUMMYFUNCTION("INT(FILTER(EQ(D258,E258),ISNUMBER(D258),ISNUMBER(E258)))"),"#N/A")</f>
        <v>#N/A</v>
      </c>
    </row>
    <row r="259">
      <c r="A259" s="1" t="s">
        <v>2716</v>
      </c>
      <c r="B259" s="7" t="s">
        <v>2717</v>
      </c>
      <c r="C259" s="25" t="s">
        <v>3608</v>
      </c>
      <c r="D259" s="31"/>
      <c r="E259" s="31"/>
      <c r="F259" s="31"/>
      <c r="G259" s="29"/>
      <c r="H259" s="12"/>
      <c r="I259" s="12"/>
      <c r="J259" s="12"/>
      <c r="K259" s="12"/>
      <c r="L259" s="18" t="str">
        <f t="shared" si="1"/>
        <v>#DIV/0!</v>
      </c>
      <c r="M259" s="18" t="str">
        <f t="shared" si="2"/>
        <v>#DIV/0!</v>
      </c>
      <c r="N259" s="18" t="str">
        <f>IFERROR(__xludf.DUMMYFUNCTION("INT(FILTER(GT(E259,0),ISNUMBER(E259)))"),"#N/A")</f>
        <v>#N/A</v>
      </c>
      <c r="O259" s="18" t="str">
        <f t="shared" si="3"/>
        <v>#DIV/0!</v>
      </c>
      <c r="P259" s="18" t="str">
        <f>IFERROR(__xludf.DUMMYFUNCTION("INT(FILTER(EQ(D259,E259),ISNUMBER(D259),ISNUMBER(E259)))"),"#N/A")</f>
        <v>#N/A</v>
      </c>
    </row>
    <row r="260">
      <c r="A260" s="1" t="s">
        <v>2718</v>
      </c>
      <c r="B260" s="7" t="s">
        <v>2719</v>
      </c>
      <c r="C260" s="25" t="s">
        <v>3599</v>
      </c>
      <c r="D260" s="31"/>
      <c r="E260" s="31"/>
      <c r="F260" s="31"/>
      <c r="G260" s="29"/>
      <c r="H260" s="12"/>
      <c r="I260" s="12"/>
      <c r="J260" s="12"/>
      <c r="K260" s="12"/>
      <c r="L260" s="18" t="str">
        <f t="shared" si="1"/>
        <v>#DIV/0!</v>
      </c>
      <c r="M260" s="18" t="str">
        <f t="shared" si="2"/>
        <v>#DIV/0!</v>
      </c>
      <c r="N260" s="18" t="str">
        <f>IFERROR(__xludf.DUMMYFUNCTION("INT(FILTER(GT(E260,0),ISNUMBER(E260)))"),"#N/A")</f>
        <v>#N/A</v>
      </c>
      <c r="O260" s="18" t="str">
        <f t="shared" si="3"/>
        <v>#DIV/0!</v>
      </c>
      <c r="P260" s="18" t="str">
        <f>IFERROR(__xludf.DUMMYFUNCTION("INT(FILTER(EQ(D260,E260),ISNUMBER(D260),ISNUMBER(E260)))"),"#N/A")</f>
        <v>#N/A</v>
      </c>
    </row>
    <row r="261">
      <c r="A261" s="1" t="s">
        <v>2730</v>
      </c>
      <c r="B261" s="7" t="s">
        <v>2731</v>
      </c>
      <c r="C261" s="25" t="s">
        <v>3765</v>
      </c>
      <c r="D261" s="31"/>
      <c r="E261" s="31"/>
      <c r="F261" s="31"/>
      <c r="G261" s="29"/>
      <c r="H261" s="12"/>
      <c r="I261" s="12"/>
      <c r="J261" s="12"/>
      <c r="K261" s="12"/>
      <c r="L261" s="18" t="str">
        <f t="shared" si="1"/>
        <v>#DIV/0!</v>
      </c>
      <c r="M261" s="18" t="str">
        <f t="shared" si="2"/>
        <v>#DIV/0!</v>
      </c>
      <c r="N261" s="18" t="str">
        <f>IFERROR(__xludf.DUMMYFUNCTION("INT(FILTER(GT(E261,0),ISNUMBER(E261)))"),"#N/A")</f>
        <v>#N/A</v>
      </c>
      <c r="O261" s="18" t="str">
        <f t="shared" si="3"/>
        <v>#DIV/0!</v>
      </c>
      <c r="P261" s="18" t="str">
        <f>IFERROR(__xludf.DUMMYFUNCTION("INT(FILTER(EQ(D261,E261),ISNUMBER(D261),ISNUMBER(E261)))"),"#N/A")</f>
        <v>#N/A</v>
      </c>
    </row>
    <row r="262">
      <c r="A262" s="1" t="s">
        <v>2734</v>
      </c>
      <c r="B262" s="7" t="s">
        <v>2735</v>
      </c>
      <c r="C262" s="25" t="s">
        <v>3679</v>
      </c>
      <c r="D262" s="31"/>
      <c r="E262" s="31"/>
      <c r="F262" s="31"/>
      <c r="G262" s="29"/>
      <c r="H262" s="12"/>
      <c r="I262" s="12"/>
      <c r="J262" s="12"/>
      <c r="K262" s="12"/>
      <c r="L262" s="18" t="str">
        <f t="shared" si="1"/>
        <v>#DIV/0!</v>
      </c>
      <c r="M262" s="18" t="str">
        <f t="shared" si="2"/>
        <v>#DIV/0!</v>
      </c>
      <c r="N262" s="18" t="str">
        <f>IFERROR(__xludf.DUMMYFUNCTION("INT(FILTER(GT(E262,0),ISNUMBER(E262)))"),"#N/A")</f>
        <v>#N/A</v>
      </c>
      <c r="O262" s="18" t="str">
        <f t="shared" si="3"/>
        <v>#DIV/0!</v>
      </c>
      <c r="P262" s="18" t="str">
        <f>IFERROR(__xludf.DUMMYFUNCTION("INT(FILTER(EQ(D262,E262),ISNUMBER(D262),ISNUMBER(E262)))"),"#N/A")</f>
        <v>#N/A</v>
      </c>
    </row>
    <row r="263">
      <c r="A263" s="1" t="s">
        <v>2738</v>
      </c>
      <c r="B263" s="7" t="s">
        <v>2739</v>
      </c>
      <c r="C263" s="25" t="s">
        <v>3251</v>
      </c>
      <c r="D263" s="31"/>
      <c r="E263" s="31"/>
      <c r="F263" s="31"/>
      <c r="G263" s="29"/>
      <c r="H263" s="12"/>
      <c r="I263" s="12"/>
      <c r="J263" s="12"/>
      <c r="K263" s="12"/>
      <c r="L263" s="18" t="str">
        <f t="shared" si="1"/>
        <v>#DIV/0!</v>
      </c>
      <c r="M263" s="18" t="str">
        <f t="shared" si="2"/>
        <v>#DIV/0!</v>
      </c>
      <c r="N263" s="18" t="str">
        <f>IFERROR(__xludf.DUMMYFUNCTION("INT(FILTER(GT(E263,0),ISNUMBER(E263)))"),"#N/A")</f>
        <v>#N/A</v>
      </c>
      <c r="O263" s="18" t="str">
        <f t="shared" si="3"/>
        <v>#DIV/0!</v>
      </c>
      <c r="P263" s="18" t="str">
        <f>IFERROR(__xludf.DUMMYFUNCTION("INT(FILTER(EQ(D263,E263),ISNUMBER(D263),ISNUMBER(E263)))"),"#N/A")</f>
        <v>#N/A</v>
      </c>
    </row>
    <row r="264">
      <c r="A264" s="1" t="s">
        <v>2746</v>
      </c>
      <c r="B264" s="7" t="s">
        <v>2747</v>
      </c>
      <c r="C264" s="25" t="s">
        <v>3766</v>
      </c>
      <c r="D264" s="31"/>
      <c r="E264" s="31"/>
      <c r="F264" s="31"/>
      <c r="G264" s="29"/>
      <c r="H264" s="12"/>
      <c r="I264" s="12"/>
      <c r="J264" s="12"/>
      <c r="K264" s="12"/>
      <c r="L264" s="18" t="str">
        <f t="shared" si="1"/>
        <v>#DIV/0!</v>
      </c>
      <c r="M264" s="18" t="str">
        <f t="shared" si="2"/>
        <v>#DIV/0!</v>
      </c>
      <c r="N264" s="18" t="str">
        <f>IFERROR(__xludf.DUMMYFUNCTION("INT(FILTER(GT(E264,0),ISNUMBER(E264)))"),"#N/A")</f>
        <v>#N/A</v>
      </c>
      <c r="O264" s="18" t="str">
        <f t="shared" si="3"/>
        <v>#DIV/0!</v>
      </c>
      <c r="P264" s="18" t="str">
        <f>IFERROR(__xludf.DUMMYFUNCTION("INT(FILTER(EQ(D264,E264),ISNUMBER(D264),ISNUMBER(E264)))"),"#N/A")</f>
        <v>#N/A</v>
      </c>
    </row>
    <row r="265">
      <c r="A265" s="1" t="s">
        <v>2750</v>
      </c>
      <c r="B265" s="7" t="s">
        <v>2751</v>
      </c>
      <c r="C265" s="25" t="s">
        <v>3584</v>
      </c>
      <c r="D265" s="31"/>
      <c r="E265" s="31"/>
      <c r="F265" s="31"/>
      <c r="G265" s="29"/>
      <c r="H265" s="12"/>
      <c r="I265" s="12"/>
      <c r="J265" s="12"/>
      <c r="K265" s="12"/>
      <c r="L265" s="18" t="str">
        <f t="shared" si="1"/>
        <v>#DIV/0!</v>
      </c>
      <c r="M265" s="18" t="str">
        <f t="shared" si="2"/>
        <v>#DIV/0!</v>
      </c>
      <c r="N265" s="18" t="str">
        <f>IFERROR(__xludf.DUMMYFUNCTION("INT(FILTER(GT(E265,0),ISNUMBER(E265)))"),"#N/A")</f>
        <v>#N/A</v>
      </c>
      <c r="O265" s="18" t="str">
        <f t="shared" si="3"/>
        <v>#DIV/0!</v>
      </c>
      <c r="P265" s="18" t="str">
        <f>IFERROR(__xludf.DUMMYFUNCTION("INT(FILTER(EQ(D265,E265),ISNUMBER(D265),ISNUMBER(E265)))"),"#N/A")</f>
        <v>#N/A</v>
      </c>
    </row>
    <row r="266">
      <c r="A266" s="1" t="s">
        <v>2752</v>
      </c>
      <c r="B266" s="7" t="s">
        <v>2753</v>
      </c>
      <c r="C266" s="25" t="s">
        <v>3584</v>
      </c>
      <c r="D266" s="31"/>
      <c r="E266" s="31"/>
      <c r="F266" s="31"/>
      <c r="G266" s="29"/>
      <c r="H266" s="12"/>
      <c r="I266" s="12"/>
      <c r="J266" s="12"/>
      <c r="K266" s="12"/>
      <c r="L266" s="18" t="str">
        <f t="shared" si="1"/>
        <v>#DIV/0!</v>
      </c>
      <c r="M266" s="18" t="str">
        <f t="shared" si="2"/>
        <v>#DIV/0!</v>
      </c>
      <c r="N266" s="18" t="str">
        <f>IFERROR(__xludf.DUMMYFUNCTION("INT(FILTER(GT(E266,0),ISNUMBER(E266)))"),"#N/A")</f>
        <v>#N/A</v>
      </c>
      <c r="O266" s="18" t="str">
        <f t="shared" si="3"/>
        <v>#DIV/0!</v>
      </c>
      <c r="P266" s="18" t="str">
        <f>IFERROR(__xludf.DUMMYFUNCTION("INT(FILTER(EQ(D266,E266),ISNUMBER(D266),ISNUMBER(E266)))"),"#N/A")</f>
        <v>#N/A</v>
      </c>
    </row>
    <row r="267">
      <c r="A267" s="1" t="s">
        <v>2756</v>
      </c>
      <c r="B267" s="7" t="s">
        <v>2757</v>
      </c>
      <c r="C267" s="25" t="s">
        <v>3767</v>
      </c>
      <c r="D267" s="31"/>
      <c r="E267" s="31"/>
      <c r="F267" s="31"/>
      <c r="G267" s="29"/>
      <c r="H267" s="12"/>
      <c r="I267" s="12"/>
      <c r="J267" s="12"/>
      <c r="K267" s="12"/>
      <c r="L267" s="18" t="str">
        <f t="shared" si="1"/>
        <v>#DIV/0!</v>
      </c>
      <c r="M267" s="18" t="str">
        <f t="shared" si="2"/>
        <v>#DIV/0!</v>
      </c>
      <c r="N267" s="18" t="str">
        <f>IFERROR(__xludf.DUMMYFUNCTION("INT(FILTER(GT(E267,0),ISNUMBER(E267)))"),"#N/A")</f>
        <v>#N/A</v>
      </c>
      <c r="O267" s="18" t="str">
        <f t="shared" si="3"/>
        <v>#DIV/0!</v>
      </c>
      <c r="P267" s="18" t="str">
        <f>IFERROR(__xludf.DUMMYFUNCTION("INT(FILTER(EQ(D267,E267),ISNUMBER(D267),ISNUMBER(E267)))"),"#N/A")</f>
        <v>#N/A</v>
      </c>
    </row>
    <row r="268">
      <c r="A268" s="1" t="s">
        <v>2765</v>
      </c>
      <c r="B268" s="7" t="s">
        <v>2766</v>
      </c>
      <c r="C268" s="25" t="s">
        <v>3768</v>
      </c>
      <c r="D268" s="31"/>
      <c r="E268" s="31"/>
      <c r="F268" s="31"/>
      <c r="G268" s="29"/>
      <c r="H268" s="12"/>
      <c r="I268" s="12"/>
      <c r="J268" s="12"/>
      <c r="K268" s="12"/>
      <c r="L268" s="18" t="str">
        <f t="shared" si="1"/>
        <v>#DIV/0!</v>
      </c>
      <c r="M268" s="18" t="str">
        <f t="shared" si="2"/>
        <v>#DIV/0!</v>
      </c>
      <c r="N268" s="18" t="str">
        <f>IFERROR(__xludf.DUMMYFUNCTION("INT(FILTER(GT(E268,0),ISNUMBER(E268)))"),"#N/A")</f>
        <v>#N/A</v>
      </c>
      <c r="O268" s="18" t="str">
        <f t="shared" si="3"/>
        <v>#DIV/0!</v>
      </c>
      <c r="P268" s="18" t="str">
        <f>IFERROR(__xludf.DUMMYFUNCTION("INT(FILTER(EQ(D268,E268),ISNUMBER(D268),ISNUMBER(E268)))"),"#N/A")</f>
        <v>#N/A</v>
      </c>
    </row>
    <row r="269">
      <c r="A269" s="1" t="s">
        <v>2769</v>
      </c>
      <c r="B269" s="7" t="s">
        <v>2770</v>
      </c>
      <c r="C269" s="25" t="s">
        <v>3769</v>
      </c>
      <c r="D269" s="31"/>
      <c r="E269" s="31"/>
      <c r="F269" s="31"/>
      <c r="G269" s="29"/>
      <c r="H269" s="12"/>
      <c r="I269" s="12"/>
      <c r="J269" s="12"/>
      <c r="K269" s="12"/>
      <c r="L269" s="18" t="str">
        <f t="shared" si="1"/>
        <v>#DIV/0!</v>
      </c>
      <c r="M269" s="18" t="str">
        <f t="shared" si="2"/>
        <v>#DIV/0!</v>
      </c>
      <c r="N269" s="18" t="str">
        <f>IFERROR(__xludf.DUMMYFUNCTION("INT(FILTER(GT(E269,0),ISNUMBER(E269)))"),"#N/A")</f>
        <v>#N/A</v>
      </c>
      <c r="O269" s="18" t="str">
        <f t="shared" si="3"/>
        <v>#DIV/0!</v>
      </c>
      <c r="P269" s="18" t="str">
        <f>IFERROR(__xludf.DUMMYFUNCTION("INT(FILTER(EQ(D269,E269),ISNUMBER(D269),ISNUMBER(E269)))"),"#N/A")</f>
        <v>#N/A</v>
      </c>
    </row>
    <row r="270">
      <c r="A270" s="1" t="s">
        <v>2777</v>
      </c>
      <c r="B270" s="7" t="s">
        <v>2778</v>
      </c>
      <c r="C270" s="25" t="s">
        <v>3770</v>
      </c>
      <c r="D270" s="31"/>
      <c r="E270" s="31"/>
      <c r="F270" s="31"/>
      <c r="G270" s="29"/>
      <c r="H270" s="12"/>
      <c r="I270" s="12"/>
      <c r="J270" s="12"/>
      <c r="K270" s="12"/>
      <c r="L270" s="18" t="str">
        <f t="shared" si="1"/>
        <v>#DIV/0!</v>
      </c>
      <c r="M270" s="18" t="str">
        <f t="shared" si="2"/>
        <v>#DIV/0!</v>
      </c>
      <c r="N270" s="18" t="str">
        <f>IFERROR(__xludf.DUMMYFUNCTION("INT(FILTER(GT(E270,0),ISNUMBER(E270)))"),"#N/A")</f>
        <v>#N/A</v>
      </c>
      <c r="O270" s="18" t="str">
        <f t="shared" si="3"/>
        <v>#DIV/0!</v>
      </c>
      <c r="P270" s="18" t="str">
        <f>IFERROR(__xludf.DUMMYFUNCTION("INT(FILTER(EQ(D270,E270),ISNUMBER(D270),ISNUMBER(E270)))"),"#N/A")</f>
        <v>#N/A</v>
      </c>
    </row>
    <row r="271">
      <c r="A271" s="1" t="s">
        <v>2788</v>
      </c>
      <c r="B271" s="7" t="s">
        <v>2789</v>
      </c>
      <c r="C271" s="25" t="s">
        <v>3679</v>
      </c>
      <c r="D271" s="31"/>
      <c r="E271" s="31"/>
      <c r="F271" s="31"/>
      <c r="G271" s="29"/>
      <c r="H271" s="12"/>
      <c r="I271" s="12"/>
      <c r="J271" s="12"/>
      <c r="K271" s="12"/>
      <c r="L271" s="18" t="str">
        <f t="shared" si="1"/>
        <v>#DIV/0!</v>
      </c>
      <c r="M271" s="18" t="str">
        <f t="shared" si="2"/>
        <v>#DIV/0!</v>
      </c>
      <c r="N271" s="18" t="str">
        <f>IFERROR(__xludf.DUMMYFUNCTION("INT(FILTER(GT(E271,0),ISNUMBER(E271)))"),"#N/A")</f>
        <v>#N/A</v>
      </c>
      <c r="O271" s="18" t="str">
        <f t="shared" si="3"/>
        <v>#DIV/0!</v>
      </c>
      <c r="P271" s="18" t="str">
        <f>IFERROR(__xludf.DUMMYFUNCTION("INT(FILTER(EQ(D271,E271),ISNUMBER(D271),ISNUMBER(E271)))"),"#N/A")</f>
        <v>#N/A</v>
      </c>
    </row>
    <row r="272">
      <c r="A272" s="1" t="s">
        <v>2798</v>
      </c>
      <c r="B272" s="7" t="s">
        <v>2799</v>
      </c>
      <c r="C272" s="25" t="s">
        <v>3771</v>
      </c>
      <c r="D272" s="31"/>
      <c r="E272" s="31"/>
      <c r="F272" s="31"/>
      <c r="G272" s="29"/>
      <c r="H272" s="12"/>
      <c r="I272" s="12"/>
      <c r="J272" s="12"/>
      <c r="K272" s="12"/>
      <c r="L272" s="18" t="str">
        <f t="shared" si="1"/>
        <v>#DIV/0!</v>
      </c>
      <c r="M272" s="18" t="str">
        <f t="shared" si="2"/>
        <v>#DIV/0!</v>
      </c>
      <c r="N272" s="18" t="str">
        <f>IFERROR(__xludf.DUMMYFUNCTION("INT(FILTER(GT(E272,0),ISNUMBER(E272)))"),"#N/A")</f>
        <v>#N/A</v>
      </c>
      <c r="O272" s="18" t="str">
        <f t="shared" si="3"/>
        <v>#DIV/0!</v>
      </c>
      <c r="P272" s="18" t="str">
        <f>IFERROR(__xludf.DUMMYFUNCTION("INT(FILTER(EQ(D272,E272),ISNUMBER(D272),ISNUMBER(E272)))"),"#N/A")</f>
        <v>#N/A</v>
      </c>
    </row>
    <row r="273">
      <c r="A273" s="1" t="s">
        <v>2802</v>
      </c>
      <c r="B273" s="7" t="s">
        <v>2803</v>
      </c>
      <c r="C273" s="25" t="s">
        <v>3772</v>
      </c>
      <c r="D273" s="31"/>
      <c r="E273" s="31"/>
      <c r="F273" s="31"/>
      <c r="G273" s="29"/>
      <c r="H273" s="12"/>
      <c r="I273" s="12"/>
      <c r="J273" s="12"/>
      <c r="K273" s="12"/>
      <c r="L273" s="18" t="str">
        <f t="shared" si="1"/>
        <v>#DIV/0!</v>
      </c>
      <c r="M273" s="18" t="str">
        <f t="shared" si="2"/>
        <v>#DIV/0!</v>
      </c>
      <c r="N273" s="18" t="str">
        <f>IFERROR(__xludf.DUMMYFUNCTION("INT(FILTER(GT(E273,0),ISNUMBER(E273)))"),"#N/A")</f>
        <v>#N/A</v>
      </c>
      <c r="O273" s="18" t="str">
        <f t="shared" si="3"/>
        <v>#DIV/0!</v>
      </c>
      <c r="P273" s="18" t="str">
        <f>IFERROR(__xludf.DUMMYFUNCTION("INT(FILTER(EQ(D273,E273),ISNUMBER(D273),ISNUMBER(E273)))"),"#N/A")</f>
        <v>#N/A</v>
      </c>
    </row>
    <row r="274">
      <c r="A274" s="1" t="s">
        <v>2834</v>
      </c>
      <c r="B274" s="7" t="s">
        <v>2835</v>
      </c>
      <c r="C274" s="25" t="s">
        <v>3773</v>
      </c>
      <c r="D274" s="31"/>
      <c r="E274" s="31"/>
      <c r="F274" s="31"/>
      <c r="G274" s="29"/>
      <c r="H274" s="12"/>
      <c r="I274" s="12"/>
      <c r="J274" s="12"/>
      <c r="K274" s="12"/>
      <c r="L274" s="18" t="str">
        <f t="shared" si="1"/>
        <v>#DIV/0!</v>
      </c>
      <c r="M274" s="18" t="str">
        <f t="shared" si="2"/>
        <v>#DIV/0!</v>
      </c>
      <c r="N274" s="18" t="str">
        <f>IFERROR(__xludf.DUMMYFUNCTION("INT(FILTER(GT(E274,0),ISNUMBER(E274)))"),"#N/A")</f>
        <v>#N/A</v>
      </c>
      <c r="O274" s="18" t="str">
        <f t="shared" si="3"/>
        <v>#DIV/0!</v>
      </c>
      <c r="P274" s="18" t="str">
        <f>IFERROR(__xludf.DUMMYFUNCTION("INT(FILTER(EQ(D274,E274),ISNUMBER(D274),ISNUMBER(E274)))"),"#N/A")</f>
        <v>#N/A</v>
      </c>
    </row>
    <row r="275">
      <c r="A275" s="1" t="s">
        <v>2846</v>
      </c>
      <c r="B275" s="7" t="s">
        <v>2847</v>
      </c>
      <c r="C275" s="25" t="s">
        <v>3774</v>
      </c>
      <c r="D275" s="31"/>
      <c r="E275" s="31"/>
      <c r="F275" s="31"/>
      <c r="G275" s="29"/>
      <c r="H275" s="12"/>
      <c r="I275" s="12"/>
      <c r="J275" s="12"/>
      <c r="K275" s="12"/>
      <c r="L275" s="18" t="str">
        <f t="shared" si="1"/>
        <v>#DIV/0!</v>
      </c>
      <c r="M275" s="18" t="str">
        <f t="shared" si="2"/>
        <v>#DIV/0!</v>
      </c>
      <c r="N275" s="18" t="str">
        <f>IFERROR(__xludf.DUMMYFUNCTION("INT(FILTER(GT(E275,0),ISNUMBER(E275)))"),"#N/A")</f>
        <v>#N/A</v>
      </c>
      <c r="O275" s="18" t="str">
        <f t="shared" si="3"/>
        <v>#DIV/0!</v>
      </c>
      <c r="P275" s="18" t="str">
        <f>IFERROR(__xludf.DUMMYFUNCTION("INT(FILTER(EQ(D275,E275),ISNUMBER(D275),ISNUMBER(E275)))"),"#N/A")</f>
        <v>#N/A</v>
      </c>
    </row>
    <row r="276">
      <c r="A276" s="1" t="s">
        <v>2858</v>
      </c>
      <c r="B276" s="7" t="s">
        <v>2859</v>
      </c>
      <c r="C276" s="25" t="s">
        <v>3775</v>
      </c>
      <c r="D276" s="31"/>
      <c r="E276" s="31"/>
      <c r="F276" s="31"/>
      <c r="G276" s="29"/>
      <c r="H276" s="12"/>
      <c r="I276" s="12"/>
      <c r="J276" s="12"/>
      <c r="K276" s="12"/>
      <c r="L276" s="18" t="str">
        <f t="shared" si="1"/>
        <v>#DIV/0!</v>
      </c>
      <c r="M276" s="18" t="str">
        <f t="shared" si="2"/>
        <v>#DIV/0!</v>
      </c>
      <c r="N276" s="18" t="str">
        <f>IFERROR(__xludf.DUMMYFUNCTION("INT(FILTER(GT(E276,0),ISNUMBER(E276)))"),"#N/A")</f>
        <v>#N/A</v>
      </c>
      <c r="O276" s="18" t="str">
        <f t="shared" si="3"/>
        <v>#DIV/0!</v>
      </c>
      <c r="P276" s="18" t="str">
        <f>IFERROR(__xludf.DUMMYFUNCTION("INT(FILTER(EQ(D276,E276),ISNUMBER(D276),ISNUMBER(E276)))"),"#N/A")</f>
        <v>#N/A</v>
      </c>
    </row>
    <row r="277">
      <c r="A277" s="1" t="s">
        <v>2860</v>
      </c>
      <c r="B277" s="7" t="s">
        <v>2861</v>
      </c>
      <c r="C277" s="25" t="s">
        <v>3776</v>
      </c>
      <c r="D277" s="31"/>
      <c r="E277" s="31"/>
      <c r="F277" s="31"/>
      <c r="G277" s="29"/>
      <c r="H277" s="12"/>
      <c r="I277" s="12"/>
      <c r="J277" s="12"/>
      <c r="K277" s="12"/>
      <c r="L277" s="18" t="str">
        <f t="shared" si="1"/>
        <v>#DIV/0!</v>
      </c>
      <c r="M277" s="18" t="str">
        <f t="shared" si="2"/>
        <v>#DIV/0!</v>
      </c>
      <c r="N277" s="18" t="str">
        <f>IFERROR(__xludf.DUMMYFUNCTION("INT(FILTER(GT(E277,0),ISNUMBER(E277)))"),"#N/A")</f>
        <v>#N/A</v>
      </c>
      <c r="O277" s="18" t="str">
        <f t="shared" si="3"/>
        <v>#DIV/0!</v>
      </c>
      <c r="P277" s="18" t="str">
        <f>IFERROR(__xludf.DUMMYFUNCTION("INT(FILTER(EQ(D277,E277),ISNUMBER(D277),ISNUMBER(E277)))"),"#N/A")</f>
        <v>#N/A</v>
      </c>
    </row>
    <row r="278">
      <c r="A278" s="1" t="s">
        <v>2880</v>
      </c>
      <c r="B278" s="7" t="s">
        <v>2881</v>
      </c>
      <c r="C278" s="25" t="s">
        <v>3777</v>
      </c>
      <c r="D278" s="31"/>
      <c r="E278" s="31"/>
      <c r="F278" s="31"/>
      <c r="G278" s="29"/>
      <c r="H278" s="12"/>
      <c r="I278" s="12"/>
      <c r="J278" s="12"/>
      <c r="K278" s="12"/>
      <c r="L278" s="18" t="str">
        <f t="shared" si="1"/>
        <v>#DIV/0!</v>
      </c>
      <c r="M278" s="18" t="str">
        <f t="shared" si="2"/>
        <v>#DIV/0!</v>
      </c>
      <c r="N278" s="18" t="str">
        <f>IFERROR(__xludf.DUMMYFUNCTION("INT(FILTER(GT(E278,0),ISNUMBER(E278)))"),"#N/A")</f>
        <v>#N/A</v>
      </c>
      <c r="O278" s="18" t="str">
        <f t="shared" si="3"/>
        <v>#DIV/0!</v>
      </c>
      <c r="P278" s="18" t="str">
        <f>IFERROR(__xludf.DUMMYFUNCTION("INT(FILTER(EQ(D278,E278),ISNUMBER(D278),ISNUMBER(E278)))"),"#N/A")</f>
        <v>#N/A</v>
      </c>
    </row>
    <row r="279">
      <c r="A279" s="1" t="s">
        <v>2882</v>
      </c>
      <c r="B279" s="7" t="s">
        <v>2883</v>
      </c>
      <c r="C279" s="25" t="s">
        <v>3778</v>
      </c>
      <c r="D279" s="31"/>
      <c r="E279" s="31"/>
      <c r="F279" s="31"/>
      <c r="G279" s="29"/>
      <c r="H279" s="12"/>
      <c r="I279" s="12"/>
      <c r="J279" s="12"/>
      <c r="K279" s="12"/>
      <c r="L279" s="18" t="str">
        <f t="shared" si="1"/>
        <v>#DIV/0!</v>
      </c>
      <c r="M279" s="18" t="str">
        <f t="shared" si="2"/>
        <v>#DIV/0!</v>
      </c>
      <c r="N279" s="18" t="str">
        <f>IFERROR(__xludf.DUMMYFUNCTION("INT(FILTER(GT(E279,0),ISNUMBER(E279)))"),"#N/A")</f>
        <v>#N/A</v>
      </c>
      <c r="O279" s="18" t="str">
        <f t="shared" si="3"/>
        <v>#DIV/0!</v>
      </c>
      <c r="P279" s="18" t="str">
        <f>IFERROR(__xludf.DUMMYFUNCTION("INT(FILTER(EQ(D279,E279),ISNUMBER(D279),ISNUMBER(E279)))"),"#N/A")</f>
        <v>#N/A</v>
      </c>
    </row>
    <row r="280">
      <c r="A280" s="1" t="s">
        <v>2908</v>
      </c>
      <c r="B280" s="7" t="s">
        <v>2909</v>
      </c>
      <c r="C280" s="25" t="s">
        <v>3779</v>
      </c>
      <c r="D280" s="31"/>
      <c r="E280" s="31"/>
      <c r="F280" s="31"/>
      <c r="G280" s="29"/>
      <c r="H280" s="12"/>
      <c r="I280" s="12"/>
      <c r="J280" s="12"/>
      <c r="K280" s="12"/>
      <c r="L280" s="18" t="str">
        <f t="shared" si="1"/>
        <v>#DIV/0!</v>
      </c>
      <c r="M280" s="18" t="str">
        <f t="shared" si="2"/>
        <v>#DIV/0!</v>
      </c>
      <c r="N280" s="18" t="str">
        <f>IFERROR(__xludf.DUMMYFUNCTION("INT(FILTER(GT(E280,0),ISNUMBER(E280)))"),"#N/A")</f>
        <v>#N/A</v>
      </c>
      <c r="O280" s="18" t="str">
        <f t="shared" si="3"/>
        <v>#DIV/0!</v>
      </c>
      <c r="P280" s="18" t="str">
        <f>IFERROR(__xludf.DUMMYFUNCTION("INT(FILTER(EQ(D280,E280),ISNUMBER(D280),ISNUMBER(E280)))"),"#N/A")</f>
        <v>#N/A</v>
      </c>
    </row>
    <row r="281">
      <c r="A281" s="1" t="s">
        <v>2920</v>
      </c>
      <c r="B281" s="7" t="s">
        <v>2921</v>
      </c>
      <c r="C281" s="25" t="s">
        <v>3780</v>
      </c>
      <c r="D281" s="31"/>
      <c r="E281" s="31"/>
      <c r="F281" s="31"/>
      <c r="G281" s="29"/>
      <c r="H281" s="12"/>
      <c r="I281" s="12"/>
      <c r="J281" s="12"/>
      <c r="K281" s="12"/>
      <c r="L281" s="18" t="str">
        <f t="shared" si="1"/>
        <v>#DIV/0!</v>
      </c>
      <c r="M281" s="18" t="str">
        <f t="shared" si="2"/>
        <v>#DIV/0!</v>
      </c>
      <c r="N281" s="18" t="str">
        <f>IFERROR(__xludf.DUMMYFUNCTION("INT(FILTER(GT(E281,0),ISNUMBER(E281)))"),"#N/A")</f>
        <v>#N/A</v>
      </c>
      <c r="O281" s="18" t="str">
        <f t="shared" si="3"/>
        <v>#DIV/0!</v>
      </c>
      <c r="P281" s="18" t="str">
        <f>IFERROR(__xludf.DUMMYFUNCTION("INT(FILTER(EQ(D281,E281),ISNUMBER(D281),ISNUMBER(E281)))"),"#N/A")</f>
        <v>#N/A</v>
      </c>
    </row>
    <row r="282">
      <c r="A282" s="1" t="s">
        <v>2924</v>
      </c>
      <c r="B282" s="7" t="s">
        <v>2925</v>
      </c>
      <c r="C282" s="25" t="s">
        <v>3584</v>
      </c>
      <c r="D282" s="31"/>
      <c r="E282" s="31"/>
      <c r="F282" s="31"/>
      <c r="G282" s="29"/>
      <c r="H282" s="12"/>
      <c r="I282" s="12"/>
      <c r="J282" s="12"/>
      <c r="K282" s="12"/>
      <c r="L282" s="18" t="str">
        <f t="shared" si="1"/>
        <v>#DIV/0!</v>
      </c>
      <c r="M282" s="18" t="str">
        <f t="shared" si="2"/>
        <v>#DIV/0!</v>
      </c>
      <c r="N282" s="18" t="str">
        <f>IFERROR(__xludf.DUMMYFUNCTION("INT(FILTER(GT(E282,0),ISNUMBER(E282)))"),"#N/A")</f>
        <v>#N/A</v>
      </c>
      <c r="O282" s="18" t="str">
        <f t="shared" si="3"/>
        <v>#DIV/0!</v>
      </c>
      <c r="P282" s="18" t="str">
        <f>IFERROR(__xludf.DUMMYFUNCTION("INT(FILTER(EQ(D282,E282),ISNUMBER(D282),ISNUMBER(E282)))"),"#N/A")</f>
        <v>#N/A</v>
      </c>
    </row>
    <row r="283">
      <c r="A283" s="1" t="s">
        <v>2928</v>
      </c>
      <c r="B283" s="7" t="s">
        <v>2929</v>
      </c>
      <c r="C283" s="25" t="s">
        <v>3781</v>
      </c>
      <c r="D283" s="31"/>
      <c r="E283" s="31"/>
      <c r="F283" s="31"/>
      <c r="G283" s="29"/>
      <c r="H283" s="12"/>
      <c r="I283" s="12"/>
      <c r="J283" s="12"/>
      <c r="K283" s="12"/>
      <c r="L283" s="18" t="str">
        <f t="shared" si="1"/>
        <v>#DIV/0!</v>
      </c>
      <c r="M283" s="18" t="str">
        <f t="shared" si="2"/>
        <v>#DIV/0!</v>
      </c>
      <c r="N283" s="18" t="str">
        <f>IFERROR(__xludf.DUMMYFUNCTION("INT(FILTER(GT(E283,0),ISNUMBER(E283)))"),"#N/A")</f>
        <v>#N/A</v>
      </c>
      <c r="O283" s="18" t="str">
        <f t="shared" si="3"/>
        <v>#DIV/0!</v>
      </c>
      <c r="P283" s="18" t="str">
        <f>IFERROR(__xludf.DUMMYFUNCTION("INT(FILTER(EQ(D283,E283),ISNUMBER(D283),ISNUMBER(E283)))"),"#N/A")</f>
        <v>#N/A</v>
      </c>
    </row>
    <row r="284">
      <c r="A284" s="1" t="s">
        <v>2942</v>
      </c>
      <c r="B284" s="7" t="s">
        <v>2943</v>
      </c>
      <c r="C284" s="25" t="s">
        <v>3782</v>
      </c>
      <c r="D284" s="31"/>
      <c r="E284" s="31"/>
      <c r="F284" s="31"/>
      <c r="G284" s="29"/>
      <c r="H284" s="12"/>
      <c r="I284" s="12"/>
      <c r="J284" s="12"/>
      <c r="K284" s="12"/>
      <c r="L284" s="18" t="str">
        <f t="shared" si="1"/>
        <v>#DIV/0!</v>
      </c>
      <c r="M284" s="18" t="str">
        <f t="shared" si="2"/>
        <v>#DIV/0!</v>
      </c>
      <c r="N284" s="18" t="str">
        <f>IFERROR(__xludf.DUMMYFUNCTION("INT(FILTER(GT(E284,0),ISNUMBER(E284)))"),"#N/A")</f>
        <v>#N/A</v>
      </c>
      <c r="O284" s="18" t="str">
        <f t="shared" si="3"/>
        <v>#DIV/0!</v>
      </c>
      <c r="P284" s="18" t="str">
        <f>IFERROR(__xludf.DUMMYFUNCTION("INT(FILTER(EQ(D284,E284),ISNUMBER(D284),ISNUMBER(E284)))"),"#N/A")</f>
        <v>#N/A</v>
      </c>
    </row>
    <row r="285">
      <c r="A285" s="1" t="s">
        <v>2946</v>
      </c>
      <c r="B285" s="7" t="s">
        <v>2947</v>
      </c>
      <c r="C285" s="25" t="s">
        <v>3783</v>
      </c>
      <c r="D285" s="31"/>
      <c r="E285" s="31"/>
      <c r="F285" s="31"/>
      <c r="G285" s="29"/>
      <c r="H285" s="12"/>
      <c r="I285" s="12"/>
      <c r="J285" s="12"/>
      <c r="K285" s="12"/>
      <c r="L285" s="18" t="str">
        <f t="shared" si="1"/>
        <v>#DIV/0!</v>
      </c>
      <c r="M285" s="18" t="str">
        <f t="shared" si="2"/>
        <v>#DIV/0!</v>
      </c>
      <c r="N285" s="18" t="str">
        <f>IFERROR(__xludf.DUMMYFUNCTION("INT(FILTER(GT(E285,0),ISNUMBER(E285)))"),"#N/A")</f>
        <v>#N/A</v>
      </c>
      <c r="O285" s="18" t="str">
        <f t="shared" si="3"/>
        <v>#DIV/0!</v>
      </c>
      <c r="P285" s="18" t="str">
        <f>IFERROR(__xludf.DUMMYFUNCTION("INT(FILTER(EQ(D285,E285),ISNUMBER(D285),ISNUMBER(E285)))"),"#N/A")</f>
        <v>#N/A</v>
      </c>
    </row>
    <row r="286">
      <c r="A286" s="1" t="s">
        <v>2952</v>
      </c>
      <c r="B286" s="7" t="s">
        <v>2953</v>
      </c>
      <c r="C286" s="25" t="s">
        <v>3784</v>
      </c>
      <c r="D286" s="31"/>
      <c r="E286" s="31"/>
      <c r="F286" s="31"/>
      <c r="G286" s="29"/>
      <c r="H286" s="12"/>
      <c r="I286" s="12"/>
      <c r="J286" s="12"/>
      <c r="K286" s="12"/>
      <c r="L286" s="18" t="str">
        <f t="shared" si="1"/>
        <v>#DIV/0!</v>
      </c>
      <c r="M286" s="18" t="str">
        <f t="shared" si="2"/>
        <v>#DIV/0!</v>
      </c>
      <c r="N286" s="18" t="str">
        <f>IFERROR(__xludf.DUMMYFUNCTION("INT(FILTER(GT(E286,0),ISNUMBER(E286)))"),"#N/A")</f>
        <v>#N/A</v>
      </c>
      <c r="O286" s="18" t="str">
        <f t="shared" si="3"/>
        <v>#DIV/0!</v>
      </c>
      <c r="P286" s="18" t="str">
        <f>IFERROR(__xludf.DUMMYFUNCTION("INT(FILTER(EQ(D286,E286),ISNUMBER(D286),ISNUMBER(E286)))"),"#N/A")</f>
        <v>#N/A</v>
      </c>
    </row>
    <row r="287">
      <c r="A287" s="1" t="s">
        <v>2960</v>
      </c>
      <c r="B287" s="7" t="s">
        <v>2961</v>
      </c>
      <c r="C287" s="25" t="s">
        <v>3785</v>
      </c>
      <c r="D287" s="31"/>
      <c r="E287" s="31"/>
      <c r="F287" s="31"/>
      <c r="G287" s="29"/>
      <c r="H287" s="12"/>
      <c r="I287" s="12"/>
      <c r="J287" s="12"/>
      <c r="K287" s="12"/>
      <c r="L287" s="18" t="str">
        <f t="shared" si="1"/>
        <v>#DIV/0!</v>
      </c>
      <c r="M287" s="18" t="str">
        <f t="shared" si="2"/>
        <v>#DIV/0!</v>
      </c>
      <c r="N287" s="18" t="str">
        <f>IFERROR(__xludf.DUMMYFUNCTION("INT(FILTER(GT(E287,0),ISNUMBER(E287)))"),"#N/A")</f>
        <v>#N/A</v>
      </c>
      <c r="O287" s="18" t="str">
        <f t="shared" si="3"/>
        <v>#DIV/0!</v>
      </c>
      <c r="P287" s="18" t="str">
        <f>IFERROR(__xludf.DUMMYFUNCTION("INT(FILTER(EQ(D287,E287),ISNUMBER(D287),ISNUMBER(E287)))"),"#N/A")</f>
        <v>#N/A</v>
      </c>
    </row>
    <row r="288">
      <c r="A288" s="1" t="s">
        <v>2983</v>
      </c>
      <c r="B288" s="7" t="s">
        <v>2984</v>
      </c>
      <c r="C288" s="25" t="s">
        <v>3584</v>
      </c>
      <c r="D288" s="31"/>
      <c r="E288" s="31"/>
      <c r="F288" s="31"/>
      <c r="G288" s="29"/>
      <c r="H288" s="12"/>
      <c r="I288" s="12"/>
      <c r="J288" s="12"/>
      <c r="K288" s="12"/>
      <c r="L288" s="18" t="str">
        <f t="shared" si="1"/>
        <v>#DIV/0!</v>
      </c>
      <c r="M288" s="18" t="str">
        <f t="shared" si="2"/>
        <v>#DIV/0!</v>
      </c>
      <c r="N288" s="18" t="str">
        <f>IFERROR(__xludf.DUMMYFUNCTION("INT(FILTER(GT(E288,0),ISNUMBER(E288)))"),"#N/A")</f>
        <v>#N/A</v>
      </c>
      <c r="O288" s="18" t="str">
        <f t="shared" si="3"/>
        <v>#DIV/0!</v>
      </c>
      <c r="P288" s="18" t="str">
        <f>IFERROR(__xludf.DUMMYFUNCTION("INT(FILTER(EQ(D288,E288),ISNUMBER(D288),ISNUMBER(E288)))"),"#N/A")</f>
        <v>#N/A</v>
      </c>
    </row>
    <row r="289">
      <c r="A289" s="1" t="s">
        <v>3002</v>
      </c>
      <c r="B289" s="7" t="s">
        <v>3003</v>
      </c>
      <c r="C289" s="25" t="s">
        <v>3786</v>
      </c>
      <c r="D289" s="31"/>
      <c r="E289" s="31"/>
      <c r="F289" s="31"/>
      <c r="G289" s="29"/>
      <c r="H289" s="12"/>
      <c r="I289" s="12"/>
      <c r="J289" s="12"/>
      <c r="K289" s="12"/>
      <c r="L289" s="18" t="str">
        <f t="shared" si="1"/>
        <v>#DIV/0!</v>
      </c>
      <c r="M289" s="18" t="str">
        <f t="shared" si="2"/>
        <v>#DIV/0!</v>
      </c>
      <c r="N289" s="18" t="str">
        <f>IFERROR(__xludf.DUMMYFUNCTION("INT(FILTER(GT(E289,0),ISNUMBER(E289)))"),"#N/A")</f>
        <v>#N/A</v>
      </c>
      <c r="O289" s="18" t="str">
        <f t="shared" si="3"/>
        <v>#DIV/0!</v>
      </c>
      <c r="P289" s="18" t="str">
        <f>IFERROR(__xludf.DUMMYFUNCTION("INT(FILTER(EQ(D289,E289),ISNUMBER(D289),ISNUMBER(E289)))"),"#N/A")</f>
        <v>#N/A</v>
      </c>
    </row>
    <row r="290">
      <c r="A290" s="1" t="s">
        <v>3014</v>
      </c>
      <c r="B290" s="7" t="s">
        <v>3015</v>
      </c>
      <c r="C290" s="25" t="s">
        <v>3584</v>
      </c>
      <c r="D290" s="31"/>
      <c r="E290" s="31"/>
      <c r="F290" s="31"/>
      <c r="G290" s="29"/>
      <c r="H290" s="12"/>
      <c r="I290" s="12"/>
      <c r="J290" s="12"/>
      <c r="K290" s="12"/>
      <c r="L290" s="18" t="str">
        <f t="shared" si="1"/>
        <v>#DIV/0!</v>
      </c>
      <c r="M290" s="18" t="str">
        <f t="shared" si="2"/>
        <v>#DIV/0!</v>
      </c>
      <c r="N290" s="18" t="str">
        <f>IFERROR(__xludf.DUMMYFUNCTION("INT(FILTER(GT(E290,0),ISNUMBER(E290)))"),"#N/A")</f>
        <v>#N/A</v>
      </c>
      <c r="O290" s="18" t="str">
        <f t="shared" si="3"/>
        <v>#DIV/0!</v>
      </c>
      <c r="P290" s="18" t="str">
        <f>IFERROR(__xludf.DUMMYFUNCTION("INT(FILTER(EQ(D290,E290),ISNUMBER(D290),ISNUMBER(E290)))"),"#N/A")</f>
        <v>#N/A</v>
      </c>
    </row>
    <row r="291">
      <c r="A291" s="1" t="s">
        <v>3019</v>
      </c>
      <c r="B291" s="7" t="s">
        <v>3020</v>
      </c>
      <c r="C291" s="25" t="s">
        <v>3787</v>
      </c>
      <c r="D291" s="31"/>
      <c r="E291" s="31"/>
      <c r="F291" s="31"/>
      <c r="G291" s="29"/>
      <c r="H291" s="12"/>
      <c r="I291" s="12"/>
      <c r="J291" s="12"/>
      <c r="K291" s="12"/>
      <c r="L291" s="18" t="str">
        <f t="shared" si="1"/>
        <v>#DIV/0!</v>
      </c>
      <c r="M291" s="18" t="str">
        <f t="shared" si="2"/>
        <v>#DIV/0!</v>
      </c>
      <c r="N291" s="18" t="str">
        <f>IFERROR(__xludf.DUMMYFUNCTION("INT(FILTER(GT(E291,0),ISNUMBER(E291)))"),"#N/A")</f>
        <v>#N/A</v>
      </c>
      <c r="O291" s="18" t="str">
        <f t="shared" si="3"/>
        <v>#DIV/0!</v>
      </c>
      <c r="P291" s="18" t="str">
        <f>IFERROR(__xludf.DUMMYFUNCTION("INT(FILTER(EQ(D291,E291),ISNUMBER(D291),ISNUMBER(E291)))"),"#N/A")</f>
        <v>#N/A</v>
      </c>
    </row>
    <row r="292">
      <c r="A292" s="1" t="s">
        <v>3038</v>
      </c>
      <c r="B292" s="7" t="s">
        <v>3039</v>
      </c>
      <c r="C292" s="25" t="s">
        <v>3608</v>
      </c>
      <c r="D292" s="31"/>
      <c r="E292" s="31"/>
      <c r="F292" s="31"/>
      <c r="G292" s="29"/>
      <c r="H292" s="12"/>
      <c r="I292" s="12"/>
      <c r="J292" s="12"/>
      <c r="K292" s="12"/>
      <c r="L292" s="18" t="str">
        <f t="shared" si="1"/>
        <v>#DIV/0!</v>
      </c>
      <c r="M292" s="18" t="str">
        <f t="shared" si="2"/>
        <v>#DIV/0!</v>
      </c>
      <c r="N292" s="18" t="str">
        <f>IFERROR(__xludf.DUMMYFUNCTION("INT(FILTER(GT(E292,0),ISNUMBER(E292)))"),"#N/A")</f>
        <v>#N/A</v>
      </c>
      <c r="O292" s="18" t="str">
        <f t="shared" si="3"/>
        <v>#DIV/0!</v>
      </c>
      <c r="P292" s="18" t="str">
        <f>IFERROR(__xludf.DUMMYFUNCTION("INT(FILTER(EQ(D292,E292),ISNUMBER(D292),ISNUMBER(E292)))"),"#N/A")</f>
        <v>#N/A</v>
      </c>
    </row>
    <row r="293">
      <c r="A293" s="1" t="s">
        <v>3052</v>
      </c>
      <c r="B293" s="7" t="s">
        <v>3053</v>
      </c>
      <c r="C293" s="25" t="s">
        <v>3580</v>
      </c>
      <c r="D293" s="31"/>
      <c r="E293" s="31"/>
      <c r="F293" s="31"/>
      <c r="G293" s="29"/>
      <c r="H293" s="12"/>
      <c r="I293" s="12"/>
      <c r="J293" s="12"/>
      <c r="K293" s="12"/>
      <c r="L293" s="18" t="str">
        <f t="shared" si="1"/>
        <v>#DIV/0!</v>
      </c>
      <c r="M293" s="18" t="str">
        <f t="shared" si="2"/>
        <v>#DIV/0!</v>
      </c>
      <c r="N293" s="18" t="str">
        <f>IFERROR(__xludf.DUMMYFUNCTION("INT(FILTER(GT(E293,0),ISNUMBER(E293)))"),"#N/A")</f>
        <v>#N/A</v>
      </c>
      <c r="O293" s="18" t="str">
        <f t="shared" si="3"/>
        <v>#DIV/0!</v>
      </c>
      <c r="P293" s="18" t="str">
        <f>IFERROR(__xludf.DUMMYFUNCTION("INT(FILTER(EQ(D293,E293),ISNUMBER(D293),ISNUMBER(E293)))"),"#N/A")</f>
        <v>#N/A</v>
      </c>
    </row>
    <row r="294">
      <c r="A294" s="1" t="s">
        <v>3058</v>
      </c>
      <c r="B294" s="7" t="s">
        <v>3059</v>
      </c>
      <c r="C294" s="25" t="s">
        <v>3599</v>
      </c>
      <c r="D294" s="31"/>
      <c r="E294" s="31"/>
      <c r="F294" s="31"/>
      <c r="G294" s="29"/>
      <c r="H294" s="12"/>
      <c r="I294" s="12"/>
      <c r="J294" s="12"/>
      <c r="K294" s="12"/>
      <c r="L294" s="18" t="str">
        <f t="shared" si="1"/>
        <v>#DIV/0!</v>
      </c>
      <c r="M294" s="18" t="str">
        <f t="shared" si="2"/>
        <v>#DIV/0!</v>
      </c>
      <c r="N294" s="18" t="str">
        <f>IFERROR(__xludf.DUMMYFUNCTION("INT(FILTER(GT(E294,0),ISNUMBER(E294)))"),"#N/A")</f>
        <v>#N/A</v>
      </c>
      <c r="O294" s="18" t="str">
        <f t="shared" si="3"/>
        <v>#DIV/0!</v>
      </c>
      <c r="P294" s="18" t="str">
        <f>IFERROR(__xludf.DUMMYFUNCTION("INT(FILTER(EQ(D294,E294),ISNUMBER(D294),ISNUMBER(E294)))"),"#N/A")</f>
        <v>#N/A</v>
      </c>
    </row>
    <row r="295">
      <c r="A295" s="1" t="s">
        <v>3060</v>
      </c>
      <c r="B295" s="7" t="s">
        <v>3061</v>
      </c>
      <c r="C295" s="25" t="s">
        <v>3788</v>
      </c>
      <c r="D295" s="31"/>
      <c r="E295" s="31"/>
      <c r="F295" s="31"/>
      <c r="G295" s="29"/>
      <c r="H295" s="12"/>
      <c r="I295" s="12"/>
      <c r="J295" s="12"/>
      <c r="K295" s="12"/>
      <c r="L295" s="18" t="str">
        <f t="shared" si="1"/>
        <v>#DIV/0!</v>
      </c>
      <c r="M295" s="18" t="str">
        <f t="shared" si="2"/>
        <v>#DIV/0!</v>
      </c>
      <c r="N295" s="18" t="str">
        <f>IFERROR(__xludf.DUMMYFUNCTION("INT(FILTER(GT(E295,0),ISNUMBER(E295)))"),"#N/A")</f>
        <v>#N/A</v>
      </c>
      <c r="O295" s="18" t="str">
        <f t="shared" si="3"/>
        <v>#DIV/0!</v>
      </c>
      <c r="P295" s="18" t="str">
        <f>IFERROR(__xludf.DUMMYFUNCTION("INT(FILTER(EQ(D295,E295),ISNUMBER(D295),ISNUMBER(E295)))"),"#N/A")</f>
        <v>#N/A</v>
      </c>
    </row>
    <row r="296">
      <c r="A296" s="1" t="s">
        <v>3068</v>
      </c>
      <c r="B296" s="7" t="s">
        <v>3069</v>
      </c>
      <c r="C296" s="25" t="s">
        <v>3789</v>
      </c>
      <c r="D296" s="31"/>
      <c r="E296" s="31"/>
      <c r="F296" s="31"/>
      <c r="G296" s="29"/>
      <c r="H296" s="12"/>
      <c r="I296" s="12"/>
      <c r="J296" s="12"/>
      <c r="K296" s="12"/>
      <c r="L296" s="18" t="str">
        <f t="shared" si="1"/>
        <v>#DIV/0!</v>
      </c>
      <c r="M296" s="18" t="str">
        <f t="shared" si="2"/>
        <v>#DIV/0!</v>
      </c>
      <c r="N296" s="18" t="str">
        <f>IFERROR(__xludf.DUMMYFUNCTION("INT(FILTER(GT(E296,0),ISNUMBER(E296)))"),"#N/A")</f>
        <v>#N/A</v>
      </c>
      <c r="O296" s="18" t="str">
        <f t="shared" si="3"/>
        <v>#DIV/0!</v>
      </c>
      <c r="P296" s="18" t="str">
        <f>IFERROR(__xludf.DUMMYFUNCTION("INT(FILTER(EQ(D296,E296),ISNUMBER(D296),ISNUMBER(E296)))"),"#N/A")</f>
        <v>#N/A</v>
      </c>
    </row>
    <row r="297">
      <c r="A297" s="1" t="s">
        <v>3075</v>
      </c>
      <c r="B297" s="7" t="s">
        <v>3076</v>
      </c>
      <c r="C297" s="25" t="s">
        <v>3584</v>
      </c>
      <c r="D297" s="31"/>
      <c r="E297" s="31"/>
      <c r="F297" s="31"/>
      <c r="G297" s="29"/>
      <c r="H297" s="12"/>
      <c r="I297" s="12"/>
      <c r="J297" s="12"/>
      <c r="K297" s="12"/>
      <c r="L297" s="18" t="str">
        <f t="shared" si="1"/>
        <v>#DIV/0!</v>
      </c>
      <c r="M297" s="18" t="str">
        <f t="shared" si="2"/>
        <v>#DIV/0!</v>
      </c>
      <c r="N297" s="18" t="str">
        <f>IFERROR(__xludf.DUMMYFUNCTION("INT(FILTER(GT(E297,0),ISNUMBER(E297)))"),"#N/A")</f>
        <v>#N/A</v>
      </c>
      <c r="O297" s="18" t="str">
        <f t="shared" si="3"/>
        <v>#DIV/0!</v>
      </c>
      <c r="P297" s="18" t="str">
        <f>IFERROR(__xludf.DUMMYFUNCTION("INT(FILTER(EQ(D297,E297),ISNUMBER(D297),ISNUMBER(E297)))"),"#N/A")</f>
        <v>#N/A</v>
      </c>
    </row>
    <row r="298">
      <c r="A298" s="1" t="s">
        <v>3087</v>
      </c>
      <c r="B298" s="7" t="s">
        <v>3088</v>
      </c>
      <c r="C298" s="25" t="s">
        <v>3790</v>
      </c>
      <c r="D298" s="31"/>
      <c r="E298" s="31"/>
      <c r="F298" s="31"/>
      <c r="G298" s="29"/>
      <c r="H298" s="12"/>
      <c r="I298" s="12"/>
      <c r="J298" s="12"/>
      <c r="K298" s="12"/>
      <c r="L298" s="18" t="str">
        <f t="shared" si="1"/>
        <v>#DIV/0!</v>
      </c>
      <c r="M298" s="18" t="str">
        <f t="shared" si="2"/>
        <v>#DIV/0!</v>
      </c>
      <c r="N298" s="18" t="str">
        <f>IFERROR(__xludf.DUMMYFUNCTION("INT(FILTER(GT(E298,0),ISNUMBER(E298)))"),"#N/A")</f>
        <v>#N/A</v>
      </c>
      <c r="O298" s="18" t="str">
        <f t="shared" si="3"/>
        <v>#DIV/0!</v>
      </c>
      <c r="P298" s="18" t="str">
        <f>IFERROR(__xludf.DUMMYFUNCTION("INT(FILTER(EQ(D298,E298),ISNUMBER(D298),ISNUMBER(E298)))"),"#N/A")</f>
        <v>#N/A</v>
      </c>
    </row>
    <row r="299">
      <c r="A299" s="1" t="s">
        <v>3095</v>
      </c>
      <c r="B299" s="7" t="s">
        <v>3096</v>
      </c>
      <c r="C299" s="25" t="s">
        <v>3791</v>
      </c>
      <c r="D299" s="31"/>
      <c r="E299" s="31"/>
      <c r="F299" s="31"/>
      <c r="G299" s="29"/>
      <c r="H299" s="12"/>
      <c r="I299" s="12"/>
      <c r="J299" s="12"/>
      <c r="K299" s="12"/>
      <c r="L299" s="18" t="str">
        <f t="shared" si="1"/>
        <v>#DIV/0!</v>
      </c>
      <c r="M299" s="18" t="str">
        <f t="shared" si="2"/>
        <v>#DIV/0!</v>
      </c>
      <c r="N299" s="18" t="str">
        <f>IFERROR(__xludf.DUMMYFUNCTION("INT(FILTER(GT(E299,0),ISNUMBER(E299)))"),"#N/A")</f>
        <v>#N/A</v>
      </c>
      <c r="O299" s="18" t="str">
        <f t="shared" si="3"/>
        <v>#DIV/0!</v>
      </c>
      <c r="P299" s="18" t="str">
        <f>IFERROR(__xludf.DUMMYFUNCTION("INT(FILTER(EQ(D299,E299),ISNUMBER(D299),ISNUMBER(E299)))"),"#N/A")</f>
        <v>#N/A</v>
      </c>
    </row>
    <row r="300">
      <c r="A300" s="1" t="s">
        <v>3113</v>
      </c>
      <c r="B300" s="7" t="s">
        <v>3114</v>
      </c>
      <c r="C300" s="25" t="s">
        <v>3792</v>
      </c>
      <c r="D300" s="31"/>
      <c r="E300" s="31"/>
      <c r="F300" s="31"/>
      <c r="G300" s="29"/>
      <c r="H300" s="12"/>
      <c r="I300" s="12"/>
      <c r="J300" s="12"/>
      <c r="K300" s="12"/>
      <c r="L300" s="18" t="str">
        <f t="shared" si="1"/>
        <v>#DIV/0!</v>
      </c>
      <c r="M300" s="18" t="str">
        <f t="shared" si="2"/>
        <v>#DIV/0!</v>
      </c>
      <c r="N300" s="18" t="str">
        <f>IFERROR(__xludf.DUMMYFUNCTION("INT(FILTER(GT(E300,0),ISNUMBER(E300)))"),"#N/A")</f>
        <v>#N/A</v>
      </c>
      <c r="O300" s="18" t="str">
        <f t="shared" si="3"/>
        <v>#DIV/0!</v>
      </c>
      <c r="P300" s="18" t="str">
        <f>IFERROR(__xludf.DUMMYFUNCTION("INT(FILTER(EQ(D300,E300),ISNUMBER(D300),ISNUMBER(E300)))"),"#N/A")</f>
        <v>#N/A</v>
      </c>
    </row>
    <row r="301">
      <c r="A301" s="1" t="s">
        <v>3117</v>
      </c>
      <c r="B301" s="7" t="s">
        <v>3118</v>
      </c>
      <c r="C301" s="25" t="s">
        <v>3793</v>
      </c>
      <c r="D301" s="31"/>
      <c r="E301" s="31"/>
      <c r="F301" s="31"/>
      <c r="G301" s="29"/>
      <c r="H301" s="12"/>
      <c r="I301" s="12"/>
      <c r="J301" s="12"/>
      <c r="K301" s="12"/>
      <c r="L301" s="18" t="str">
        <f t="shared" si="1"/>
        <v>#DIV/0!</v>
      </c>
      <c r="M301" s="18" t="str">
        <f t="shared" si="2"/>
        <v>#DIV/0!</v>
      </c>
      <c r="N301" s="12" t="str">
        <f t="shared" ref="N301:N1003" si="4">IF(ISNUMBER(E301), INT(E301&gt;0), "")</f>
        <v/>
      </c>
      <c r="O301" s="18" t="str">
        <f t="shared" si="3"/>
        <v>#DIV/0!</v>
      </c>
      <c r="P301" s="12"/>
    </row>
    <row r="302">
      <c r="A302" s="1" t="s">
        <v>3149</v>
      </c>
      <c r="B302" s="7" t="s">
        <v>3150</v>
      </c>
      <c r="C302" s="25" t="s">
        <v>3794</v>
      </c>
      <c r="D302" s="31"/>
      <c r="E302" s="31"/>
      <c r="F302" s="31"/>
      <c r="G302" s="29"/>
      <c r="H302" s="12"/>
      <c r="I302" s="12"/>
      <c r="J302" s="12"/>
      <c r="K302" s="12"/>
      <c r="L302" s="18" t="str">
        <f t="shared" si="1"/>
        <v>#DIV/0!</v>
      </c>
      <c r="M302" s="18" t="str">
        <f t="shared" si="2"/>
        <v>#DIV/0!</v>
      </c>
      <c r="N302" s="12" t="str">
        <f t="shared" si="4"/>
        <v/>
      </c>
      <c r="O302" s="18" t="str">
        <f t="shared" si="3"/>
        <v>#DIV/0!</v>
      </c>
      <c r="P302" s="12"/>
    </row>
    <row r="303">
      <c r="A303" s="1" t="s">
        <v>3153</v>
      </c>
      <c r="B303" s="7" t="s">
        <v>3154</v>
      </c>
      <c r="C303" s="25" t="s">
        <v>3795</v>
      </c>
      <c r="D303" s="31"/>
      <c r="E303" s="31"/>
      <c r="F303" s="31"/>
      <c r="G303" s="29"/>
      <c r="H303" s="12"/>
      <c r="I303" s="12"/>
      <c r="J303" s="12"/>
      <c r="K303" s="12"/>
      <c r="L303" s="18" t="str">
        <f t="shared" si="1"/>
        <v>#DIV/0!</v>
      </c>
      <c r="M303" s="18" t="str">
        <f t="shared" si="2"/>
        <v>#DIV/0!</v>
      </c>
      <c r="N303" s="12" t="str">
        <f t="shared" si="4"/>
        <v/>
      </c>
      <c r="O303" s="18" t="str">
        <f t="shared" si="3"/>
        <v>#DIV/0!</v>
      </c>
      <c r="P303" s="12"/>
    </row>
    <row r="304">
      <c r="A304" s="1" t="s">
        <v>3164</v>
      </c>
      <c r="B304" s="7" t="s">
        <v>3165</v>
      </c>
      <c r="C304" s="25" t="s">
        <v>3796</v>
      </c>
      <c r="D304" s="31"/>
      <c r="E304" s="31"/>
      <c r="F304" s="31"/>
      <c r="G304" s="29"/>
      <c r="H304" s="12"/>
      <c r="I304" s="12"/>
      <c r="J304" s="12"/>
      <c r="K304" s="12"/>
      <c r="L304" s="18" t="str">
        <f t="shared" si="1"/>
        <v>#DIV/0!</v>
      </c>
      <c r="M304" s="18" t="str">
        <f t="shared" si="2"/>
        <v>#DIV/0!</v>
      </c>
      <c r="N304" s="12" t="str">
        <f t="shared" si="4"/>
        <v/>
      </c>
      <c r="O304" s="18" t="str">
        <f t="shared" si="3"/>
        <v>#DIV/0!</v>
      </c>
      <c r="P304" s="12"/>
    </row>
    <row r="305">
      <c r="A305" s="1" t="s">
        <v>3166</v>
      </c>
      <c r="B305" s="7" t="s">
        <v>3167</v>
      </c>
      <c r="C305" s="25" t="s">
        <v>3647</v>
      </c>
      <c r="D305" s="31"/>
      <c r="E305" s="31"/>
      <c r="F305" s="31"/>
      <c r="G305" s="29"/>
      <c r="H305" s="12"/>
      <c r="I305" s="12"/>
      <c r="J305" s="12"/>
      <c r="K305" s="12"/>
      <c r="L305" s="18" t="str">
        <f t="shared" si="1"/>
        <v>#DIV/0!</v>
      </c>
      <c r="M305" s="18" t="str">
        <f t="shared" si="2"/>
        <v>#DIV/0!</v>
      </c>
      <c r="N305" s="12" t="str">
        <f t="shared" si="4"/>
        <v/>
      </c>
      <c r="O305" s="18" t="str">
        <f t="shared" si="3"/>
        <v>#DIV/0!</v>
      </c>
      <c r="P305" s="12"/>
    </row>
    <row r="306">
      <c r="A306" s="1" t="s">
        <v>3168</v>
      </c>
      <c r="B306" s="7" t="s">
        <v>3169</v>
      </c>
      <c r="C306" s="25" t="s">
        <v>3797</v>
      </c>
      <c r="D306" s="31"/>
      <c r="E306" s="31"/>
      <c r="F306" s="31"/>
      <c r="G306" s="29"/>
      <c r="H306" s="12"/>
      <c r="I306" s="12"/>
      <c r="J306" s="12"/>
      <c r="K306" s="12"/>
      <c r="L306" s="18" t="str">
        <f t="shared" si="1"/>
        <v>#DIV/0!</v>
      </c>
      <c r="M306" s="18" t="str">
        <f t="shared" si="2"/>
        <v>#DIV/0!</v>
      </c>
      <c r="N306" s="12" t="str">
        <f t="shared" si="4"/>
        <v/>
      </c>
      <c r="O306" s="18" t="str">
        <f t="shared" si="3"/>
        <v>#DIV/0!</v>
      </c>
      <c r="P306" s="12"/>
    </row>
    <row r="307">
      <c r="A307" s="1" t="s">
        <v>3172</v>
      </c>
      <c r="B307" s="7" t="s">
        <v>3173</v>
      </c>
      <c r="C307" s="25" t="s">
        <v>3798</v>
      </c>
      <c r="D307" s="31"/>
      <c r="E307" s="31"/>
      <c r="F307" s="31"/>
      <c r="G307" s="29"/>
      <c r="H307" s="12"/>
      <c r="I307" s="12"/>
      <c r="J307" s="12"/>
      <c r="K307" s="12"/>
      <c r="L307" s="18" t="str">
        <f t="shared" si="1"/>
        <v>#DIV/0!</v>
      </c>
      <c r="M307" s="18" t="str">
        <f t="shared" si="2"/>
        <v>#DIV/0!</v>
      </c>
      <c r="N307" s="12" t="str">
        <f t="shared" si="4"/>
        <v/>
      </c>
      <c r="O307" s="18" t="str">
        <f t="shared" si="3"/>
        <v>#DIV/0!</v>
      </c>
      <c r="P307" s="12"/>
    </row>
    <row r="308">
      <c r="A308" s="1" t="s">
        <v>3186</v>
      </c>
      <c r="B308" s="7" t="s">
        <v>3187</v>
      </c>
      <c r="C308" s="25" t="s">
        <v>3799</v>
      </c>
      <c r="D308" s="31"/>
      <c r="E308" s="31"/>
      <c r="F308" s="31"/>
      <c r="G308" s="29"/>
      <c r="H308" s="12"/>
      <c r="I308" s="12"/>
      <c r="J308" s="12"/>
      <c r="K308" s="12"/>
      <c r="L308" s="18" t="str">
        <f t="shared" si="1"/>
        <v>#DIV/0!</v>
      </c>
      <c r="M308" s="18" t="str">
        <f t="shared" si="2"/>
        <v>#DIV/0!</v>
      </c>
      <c r="N308" s="12" t="str">
        <f t="shared" si="4"/>
        <v/>
      </c>
      <c r="O308" s="18" t="str">
        <f t="shared" si="3"/>
        <v>#DIV/0!</v>
      </c>
      <c r="P308" s="12"/>
    </row>
    <row r="309">
      <c r="A309" s="1" t="s">
        <v>3189</v>
      </c>
      <c r="B309" s="7" t="s">
        <v>3190</v>
      </c>
      <c r="C309" s="25" t="s">
        <v>3800</v>
      </c>
      <c r="D309" s="31"/>
      <c r="E309" s="31"/>
      <c r="F309" s="31"/>
      <c r="G309" s="29"/>
      <c r="H309" s="12"/>
      <c r="I309" s="12"/>
      <c r="J309" s="12"/>
      <c r="K309" s="12"/>
      <c r="L309" s="18" t="str">
        <f t="shared" si="1"/>
        <v>#DIV/0!</v>
      </c>
      <c r="M309" s="18" t="str">
        <f t="shared" si="2"/>
        <v>#DIV/0!</v>
      </c>
      <c r="N309" s="12" t="str">
        <f t="shared" si="4"/>
        <v/>
      </c>
      <c r="O309" s="18" t="str">
        <f t="shared" si="3"/>
        <v>#DIV/0!</v>
      </c>
      <c r="P309" s="12"/>
    </row>
    <row r="310">
      <c r="A310" s="1" t="s">
        <v>3197</v>
      </c>
      <c r="B310" s="7" t="s">
        <v>3198</v>
      </c>
      <c r="C310" s="25" t="s">
        <v>3801</v>
      </c>
      <c r="D310" s="31"/>
      <c r="E310" s="31"/>
      <c r="F310" s="31"/>
      <c r="G310" s="29"/>
      <c r="H310" s="12"/>
      <c r="I310" s="12"/>
      <c r="J310" s="12"/>
      <c r="K310" s="12"/>
      <c r="L310" s="18" t="str">
        <f t="shared" si="1"/>
        <v>#DIV/0!</v>
      </c>
      <c r="M310" s="18" t="str">
        <f t="shared" si="2"/>
        <v>#DIV/0!</v>
      </c>
      <c r="N310" s="12" t="str">
        <f t="shared" si="4"/>
        <v/>
      </c>
      <c r="O310" s="18" t="str">
        <f t="shared" si="3"/>
        <v>#DIV/0!</v>
      </c>
      <c r="P310" s="12"/>
    </row>
    <row r="311">
      <c r="A311" s="1" t="s">
        <v>3221</v>
      </c>
      <c r="B311" s="7" t="s">
        <v>3222</v>
      </c>
      <c r="C311" s="25" t="s">
        <v>3802</v>
      </c>
      <c r="D311" s="31"/>
      <c r="E311" s="31"/>
      <c r="F311" s="31"/>
      <c r="G311" s="29"/>
      <c r="H311" s="12"/>
      <c r="I311" s="12"/>
      <c r="J311" s="12"/>
      <c r="K311" s="12"/>
      <c r="L311" s="18" t="str">
        <f t="shared" si="1"/>
        <v>#DIV/0!</v>
      </c>
      <c r="M311" s="18" t="str">
        <f t="shared" si="2"/>
        <v>#DIV/0!</v>
      </c>
      <c r="N311" s="12" t="str">
        <f t="shared" si="4"/>
        <v/>
      </c>
      <c r="O311" s="18" t="str">
        <f t="shared" si="3"/>
        <v>#DIV/0!</v>
      </c>
      <c r="P311" s="12"/>
    </row>
    <row r="312">
      <c r="A312" s="1" t="s">
        <v>3232</v>
      </c>
      <c r="B312" s="7" t="s">
        <v>3233</v>
      </c>
      <c r="C312" s="25" t="s">
        <v>3803</v>
      </c>
      <c r="D312" s="31"/>
      <c r="E312" s="31"/>
      <c r="F312" s="31"/>
      <c r="G312" s="29"/>
      <c r="H312" s="12"/>
      <c r="I312" s="12"/>
      <c r="J312" s="12"/>
      <c r="K312" s="12"/>
      <c r="L312" s="18" t="str">
        <f t="shared" si="1"/>
        <v>#DIV/0!</v>
      </c>
      <c r="M312" s="18" t="str">
        <f t="shared" si="2"/>
        <v>#DIV/0!</v>
      </c>
      <c r="N312" s="12" t="str">
        <f t="shared" si="4"/>
        <v/>
      </c>
      <c r="O312" s="18" t="str">
        <f t="shared" si="3"/>
        <v>#DIV/0!</v>
      </c>
      <c r="P312" s="12"/>
    </row>
    <row r="313">
      <c r="A313" s="1" t="s">
        <v>3249</v>
      </c>
      <c r="B313" s="7" t="s">
        <v>3250</v>
      </c>
      <c r="C313" s="25" t="s">
        <v>3804</v>
      </c>
      <c r="D313" s="31"/>
      <c r="E313" s="31"/>
      <c r="F313" s="31"/>
      <c r="G313" s="29"/>
      <c r="H313" s="12"/>
      <c r="I313" s="12"/>
      <c r="J313" s="12"/>
      <c r="K313" s="12"/>
      <c r="L313" s="18" t="str">
        <f t="shared" si="1"/>
        <v>#DIV/0!</v>
      </c>
      <c r="M313" s="18" t="str">
        <f t="shared" si="2"/>
        <v>#DIV/0!</v>
      </c>
      <c r="N313" s="12" t="str">
        <f t="shared" si="4"/>
        <v/>
      </c>
      <c r="O313" s="18" t="str">
        <f t="shared" si="3"/>
        <v>#DIV/0!</v>
      </c>
      <c r="P313" s="12"/>
    </row>
    <row r="314">
      <c r="A314" s="1" t="s">
        <v>3257</v>
      </c>
      <c r="B314" s="7" t="s">
        <v>3258</v>
      </c>
      <c r="C314" s="25" t="s">
        <v>3588</v>
      </c>
      <c r="D314" s="31"/>
      <c r="E314" s="31"/>
      <c r="F314" s="31"/>
      <c r="G314" s="29"/>
      <c r="H314" s="12"/>
      <c r="I314" s="12"/>
      <c r="J314" s="12"/>
      <c r="K314" s="12"/>
      <c r="L314" s="18" t="str">
        <f t="shared" si="1"/>
        <v>#DIV/0!</v>
      </c>
      <c r="M314" s="18" t="str">
        <f t="shared" si="2"/>
        <v>#DIV/0!</v>
      </c>
      <c r="N314" s="12" t="str">
        <f t="shared" si="4"/>
        <v/>
      </c>
      <c r="O314" s="18" t="str">
        <f t="shared" si="3"/>
        <v>#DIV/0!</v>
      </c>
      <c r="P314" s="12"/>
    </row>
    <row r="315">
      <c r="A315" s="1" t="s">
        <v>3259</v>
      </c>
      <c r="B315" s="7" t="s">
        <v>3260</v>
      </c>
      <c r="C315" s="25" t="s">
        <v>3805</v>
      </c>
      <c r="D315" s="31"/>
      <c r="E315" s="31"/>
      <c r="F315" s="31"/>
      <c r="G315" s="29"/>
      <c r="H315" s="12"/>
      <c r="I315" s="12"/>
      <c r="J315" s="12"/>
      <c r="K315" s="12"/>
      <c r="L315" s="18" t="str">
        <f t="shared" si="1"/>
        <v>#DIV/0!</v>
      </c>
      <c r="M315" s="18" t="str">
        <f t="shared" si="2"/>
        <v>#DIV/0!</v>
      </c>
      <c r="N315" s="12" t="str">
        <f t="shared" si="4"/>
        <v/>
      </c>
      <c r="O315" s="18" t="str">
        <f t="shared" si="3"/>
        <v>#DIV/0!</v>
      </c>
      <c r="P315" s="12"/>
    </row>
    <row r="316">
      <c r="A316" s="1" t="s">
        <v>3278</v>
      </c>
      <c r="B316" s="7" t="s">
        <v>3279</v>
      </c>
      <c r="C316" s="25" t="s">
        <v>3806</v>
      </c>
      <c r="D316" s="31"/>
      <c r="E316" s="31"/>
      <c r="F316" s="31"/>
      <c r="G316" s="29"/>
      <c r="H316" s="12"/>
      <c r="I316" s="12"/>
      <c r="J316" s="12"/>
      <c r="K316" s="12"/>
      <c r="L316" s="18" t="str">
        <f t="shared" si="1"/>
        <v>#DIV/0!</v>
      </c>
      <c r="M316" s="18" t="str">
        <f t="shared" si="2"/>
        <v>#DIV/0!</v>
      </c>
      <c r="N316" s="12" t="str">
        <f t="shared" si="4"/>
        <v/>
      </c>
      <c r="O316" s="18" t="str">
        <f t="shared" si="3"/>
        <v>#DIV/0!</v>
      </c>
      <c r="P316" s="12"/>
    </row>
    <row r="317">
      <c r="A317" s="1" t="s">
        <v>3286</v>
      </c>
      <c r="B317" s="7" t="s">
        <v>3287</v>
      </c>
      <c r="C317" s="25" t="s">
        <v>3748</v>
      </c>
      <c r="D317" s="31"/>
      <c r="E317" s="31"/>
      <c r="F317" s="31"/>
      <c r="G317" s="29"/>
      <c r="H317" s="12"/>
      <c r="I317" s="12"/>
      <c r="J317" s="12"/>
      <c r="K317" s="12"/>
      <c r="L317" s="18" t="str">
        <f t="shared" si="1"/>
        <v>#DIV/0!</v>
      </c>
      <c r="M317" s="18" t="str">
        <f t="shared" si="2"/>
        <v>#DIV/0!</v>
      </c>
      <c r="N317" s="12" t="str">
        <f t="shared" si="4"/>
        <v/>
      </c>
      <c r="O317" s="18" t="str">
        <f t="shared" si="3"/>
        <v>#DIV/0!</v>
      </c>
      <c r="P317" s="12"/>
    </row>
    <row r="318">
      <c r="A318" s="1" t="s">
        <v>3302</v>
      </c>
      <c r="B318" s="7" t="s">
        <v>3303</v>
      </c>
      <c r="C318" s="25" t="s">
        <v>3807</v>
      </c>
      <c r="D318" s="31"/>
      <c r="E318" s="31"/>
      <c r="F318" s="31"/>
      <c r="G318" s="29"/>
      <c r="H318" s="12"/>
      <c r="I318" s="12"/>
      <c r="J318" s="12"/>
      <c r="K318" s="12"/>
      <c r="L318" s="18" t="str">
        <f t="shared" si="1"/>
        <v>#DIV/0!</v>
      </c>
      <c r="M318" s="18" t="str">
        <f t="shared" si="2"/>
        <v>#DIV/0!</v>
      </c>
      <c r="N318" s="12" t="str">
        <f t="shared" si="4"/>
        <v/>
      </c>
      <c r="O318" s="18" t="str">
        <f t="shared" si="3"/>
        <v>#DIV/0!</v>
      </c>
      <c r="P318" s="12"/>
    </row>
    <row r="319">
      <c r="A319" s="1" t="s">
        <v>3315</v>
      </c>
      <c r="B319" s="7" t="s">
        <v>3316</v>
      </c>
      <c r="C319" s="25" t="s">
        <v>3647</v>
      </c>
      <c r="D319" s="31"/>
      <c r="E319" s="31"/>
      <c r="F319" s="31"/>
      <c r="G319" s="29"/>
      <c r="H319" s="12"/>
      <c r="I319" s="12"/>
      <c r="J319" s="12"/>
      <c r="K319" s="12"/>
      <c r="L319" s="18" t="str">
        <f t="shared" si="1"/>
        <v>#DIV/0!</v>
      </c>
      <c r="M319" s="18" t="str">
        <f t="shared" si="2"/>
        <v>#DIV/0!</v>
      </c>
      <c r="N319" s="12" t="str">
        <f t="shared" si="4"/>
        <v/>
      </c>
      <c r="O319" s="18" t="str">
        <f t="shared" si="3"/>
        <v>#DIV/0!</v>
      </c>
      <c r="P319" s="12"/>
    </row>
    <row r="320">
      <c r="A320" s="1" t="s">
        <v>3319</v>
      </c>
      <c r="B320" s="7" t="s">
        <v>3320</v>
      </c>
      <c r="C320" s="25" t="s">
        <v>3808</v>
      </c>
      <c r="D320" s="31"/>
      <c r="E320" s="31"/>
      <c r="F320" s="31"/>
      <c r="G320" s="29"/>
      <c r="H320" s="12"/>
      <c r="I320" s="12"/>
      <c r="J320" s="12"/>
      <c r="K320" s="12"/>
      <c r="L320" s="18" t="str">
        <f t="shared" si="1"/>
        <v>#DIV/0!</v>
      </c>
      <c r="M320" s="18" t="str">
        <f t="shared" si="2"/>
        <v>#DIV/0!</v>
      </c>
      <c r="N320" s="12" t="str">
        <f t="shared" si="4"/>
        <v/>
      </c>
      <c r="O320" s="18" t="str">
        <f t="shared" si="3"/>
        <v>#DIV/0!</v>
      </c>
      <c r="P320" s="12"/>
    </row>
    <row r="321">
      <c r="A321" s="1" t="s">
        <v>3337</v>
      </c>
      <c r="B321" s="7" t="s">
        <v>3338</v>
      </c>
      <c r="C321" s="25" t="s">
        <v>3636</v>
      </c>
      <c r="D321" s="31"/>
      <c r="E321" s="31"/>
      <c r="F321" s="31"/>
      <c r="G321" s="29"/>
      <c r="H321" s="12"/>
      <c r="I321" s="12"/>
      <c r="J321" s="12"/>
      <c r="K321" s="12"/>
      <c r="L321" s="18" t="str">
        <f t="shared" si="1"/>
        <v>#DIV/0!</v>
      </c>
      <c r="M321" s="18" t="str">
        <f t="shared" si="2"/>
        <v>#DIV/0!</v>
      </c>
      <c r="N321" s="12" t="str">
        <f t="shared" si="4"/>
        <v/>
      </c>
      <c r="O321" s="18" t="str">
        <f t="shared" si="3"/>
        <v>#DIV/0!</v>
      </c>
      <c r="P321" s="12"/>
    </row>
    <row r="322">
      <c r="A322" s="1" t="s">
        <v>3339</v>
      </c>
      <c r="B322" s="7" t="s">
        <v>3340</v>
      </c>
      <c r="C322" s="25" t="s">
        <v>3678</v>
      </c>
      <c r="D322" s="31"/>
      <c r="E322" s="31"/>
      <c r="F322" s="31"/>
      <c r="G322" s="29"/>
      <c r="H322" s="12"/>
      <c r="I322" s="12"/>
      <c r="J322" s="12"/>
      <c r="K322" s="12"/>
      <c r="L322" s="18" t="str">
        <f t="shared" si="1"/>
        <v>#DIV/0!</v>
      </c>
      <c r="M322" s="18" t="str">
        <f t="shared" si="2"/>
        <v>#DIV/0!</v>
      </c>
      <c r="N322" s="12" t="str">
        <f t="shared" si="4"/>
        <v/>
      </c>
      <c r="O322" s="18" t="str">
        <f t="shared" si="3"/>
        <v>#DIV/0!</v>
      </c>
      <c r="P322" s="12"/>
    </row>
    <row r="323">
      <c r="A323" s="1" t="s">
        <v>3341</v>
      </c>
      <c r="B323" s="7" t="s">
        <v>3342</v>
      </c>
      <c r="C323" s="25" t="s">
        <v>3584</v>
      </c>
      <c r="D323" s="31"/>
      <c r="E323" s="31"/>
      <c r="F323" s="31"/>
      <c r="G323" s="29"/>
      <c r="H323" s="12"/>
      <c r="I323" s="12"/>
      <c r="J323" s="12"/>
      <c r="K323" s="12"/>
      <c r="L323" s="18" t="str">
        <f t="shared" si="1"/>
        <v>#DIV/0!</v>
      </c>
      <c r="M323" s="18" t="str">
        <f t="shared" si="2"/>
        <v>#DIV/0!</v>
      </c>
      <c r="N323" s="12" t="str">
        <f t="shared" si="4"/>
        <v/>
      </c>
      <c r="O323" s="18" t="str">
        <f t="shared" si="3"/>
        <v>#DIV/0!</v>
      </c>
      <c r="P323" s="12"/>
    </row>
    <row r="324">
      <c r="A324" s="1" t="s">
        <v>3347</v>
      </c>
      <c r="B324" s="7" t="s">
        <v>3348</v>
      </c>
      <c r="C324" s="25" t="s">
        <v>3809</v>
      </c>
      <c r="D324" s="31"/>
      <c r="E324" s="31"/>
      <c r="F324" s="31"/>
      <c r="G324" s="29"/>
      <c r="H324" s="12"/>
      <c r="I324" s="12"/>
      <c r="J324" s="12"/>
      <c r="K324" s="12"/>
      <c r="L324" s="18" t="str">
        <f t="shared" si="1"/>
        <v>#DIV/0!</v>
      </c>
      <c r="M324" s="18" t="str">
        <f t="shared" si="2"/>
        <v>#DIV/0!</v>
      </c>
      <c r="N324" s="12" t="str">
        <f t="shared" si="4"/>
        <v/>
      </c>
      <c r="O324" s="18" t="str">
        <f t="shared" si="3"/>
        <v>#DIV/0!</v>
      </c>
      <c r="P324" s="12"/>
    </row>
    <row r="325">
      <c r="A325" s="1" t="s">
        <v>3357</v>
      </c>
      <c r="B325" s="7" t="s">
        <v>3358</v>
      </c>
      <c r="C325" s="25" t="s">
        <v>3588</v>
      </c>
      <c r="D325" s="31"/>
      <c r="E325" s="31"/>
      <c r="F325" s="31"/>
      <c r="G325" s="29"/>
      <c r="H325" s="12"/>
      <c r="I325" s="12"/>
      <c r="J325" s="12"/>
      <c r="K325" s="12"/>
      <c r="L325" s="18" t="str">
        <f t="shared" si="1"/>
        <v>#DIV/0!</v>
      </c>
      <c r="M325" s="18" t="str">
        <f t="shared" si="2"/>
        <v>#DIV/0!</v>
      </c>
      <c r="N325" s="12" t="str">
        <f t="shared" si="4"/>
        <v/>
      </c>
      <c r="O325" s="18" t="str">
        <f t="shared" si="3"/>
        <v>#DIV/0!</v>
      </c>
      <c r="P325" s="12"/>
    </row>
    <row r="326">
      <c r="A326" s="1" t="s">
        <v>3360</v>
      </c>
      <c r="B326" s="7" t="s">
        <v>3361</v>
      </c>
      <c r="C326" s="25" t="s">
        <v>3810</v>
      </c>
      <c r="D326" s="31"/>
      <c r="E326" s="31"/>
      <c r="F326" s="31"/>
      <c r="G326" s="29"/>
      <c r="H326" s="12"/>
      <c r="I326" s="12"/>
      <c r="J326" s="12"/>
      <c r="K326" s="12"/>
      <c r="L326" s="18" t="str">
        <f t="shared" si="1"/>
        <v>#DIV/0!</v>
      </c>
      <c r="M326" s="18" t="str">
        <f t="shared" si="2"/>
        <v>#DIV/0!</v>
      </c>
      <c r="N326" s="12" t="str">
        <f t="shared" si="4"/>
        <v/>
      </c>
      <c r="O326" s="18" t="str">
        <f t="shared" si="3"/>
        <v>#DIV/0!</v>
      </c>
      <c r="P326" s="12"/>
    </row>
    <row r="327">
      <c r="A327" s="1" t="s">
        <v>3368</v>
      </c>
      <c r="B327" s="7" t="s">
        <v>3369</v>
      </c>
      <c r="C327" s="25" t="s">
        <v>3811</v>
      </c>
      <c r="D327" s="31"/>
      <c r="E327" s="31"/>
      <c r="F327" s="31"/>
      <c r="G327" s="29"/>
      <c r="H327" s="12"/>
      <c r="I327" s="12"/>
      <c r="J327" s="12"/>
      <c r="K327" s="12"/>
      <c r="L327" s="18" t="str">
        <f t="shared" si="1"/>
        <v>#DIV/0!</v>
      </c>
      <c r="M327" s="18" t="str">
        <f t="shared" si="2"/>
        <v>#DIV/0!</v>
      </c>
      <c r="N327" s="12" t="str">
        <f t="shared" si="4"/>
        <v/>
      </c>
      <c r="O327" s="18" t="str">
        <f t="shared" si="3"/>
        <v>#DIV/0!</v>
      </c>
      <c r="P327" s="12"/>
    </row>
    <row r="328">
      <c r="A328" s="1" t="s">
        <v>3412</v>
      </c>
      <c r="B328" s="7" t="s">
        <v>3413</v>
      </c>
      <c r="C328" s="25" t="s">
        <v>3812</v>
      </c>
      <c r="D328" s="31"/>
      <c r="E328" s="31"/>
      <c r="F328" s="31"/>
      <c r="G328" s="29"/>
      <c r="H328" s="12"/>
      <c r="I328" s="12"/>
      <c r="J328" s="12"/>
      <c r="K328" s="12"/>
      <c r="L328" s="18" t="str">
        <f t="shared" si="1"/>
        <v>#DIV/0!</v>
      </c>
      <c r="M328" s="18" t="str">
        <f t="shared" si="2"/>
        <v>#DIV/0!</v>
      </c>
      <c r="N328" s="12" t="str">
        <f t="shared" si="4"/>
        <v/>
      </c>
      <c r="O328" s="18" t="str">
        <f t="shared" si="3"/>
        <v>#DIV/0!</v>
      </c>
      <c r="P328" s="12"/>
    </row>
    <row r="329">
      <c r="A329" s="1" t="s">
        <v>3430</v>
      </c>
      <c r="B329" s="7" t="s">
        <v>3431</v>
      </c>
      <c r="C329" s="25" t="s">
        <v>3813</v>
      </c>
      <c r="D329" s="31"/>
      <c r="E329" s="31"/>
      <c r="F329" s="31"/>
      <c r="G329" s="29"/>
      <c r="H329" s="12"/>
      <c r="I329" s="12"/>
      <c r="J329" s="12"/>
      <c r="K329" s="12"/>
      <c r="L329" s="18" t="str">
        <f t="shared" si="1"/>
        <v>#DIV/0!</v>
      </c>
      <c r="M329" s="18" t="str">
        <f t="shared" si="2"/>
        <v>#DIV/0!</v>
      </c>
      <c r="N329" s="12" t="str">
        <f t="shared" si="4"/>
        <v/>
      </c>
      <c r="O329" s="18" t="str">
        <f t="shared" si="3"/>
        <v>#DIV/0!</v>
      </c>
      <c r="P329" s="12"/>
    </row>
    <row r="330">
      <c r="A330" s="1" t="s">
        <v>3432</v>
      </c>
      <c r="B330" s="7" t="s">
        <v>3433</v>
      </c>
      <c r="C330" s="25" t="s">
        <v>3679</v>
      </c>
      <c r="D330" s="31"/>
      <c r="E330" s="31"/>
      <c r="F330" s="31"/>
      <c r="G330" s="29"/>
      <c r="H330" s="12"/>
      <c r="I330" s="12"/>
      <c r="J330" s="12"/>
      <c r="K330" s="12"/>
      <c r="L330" s="18" t="str">
        <f t="shared" si="1"/>
        <v>#DIV/0!</v>
      </c>
      <c r="M330" s="18" t="str">
        <f t="shared" si="2"/>
        <v>#DIV/0!</v>
      </c>
      <c r="N330" s="12" t="str">
        <f t="shared" si="4"/>
        <v/>
      </c>
      <c r="O330" s="18" t="str">
        <f t="shared" si="3"/>
        <v>#DIV/0!</v>
      </c>
      <c r="P330" s="12"/>
    </row>
    <row r="331">
      <c r="A331" s="1" t="s">
        <v>3434</v>
      </c>
      <c r="B331" s="7" t="s">
        <v>3435</v>
      </c>
      <c r="C331" s="25" t="s">
        <v>3814</v>
      </c>
      <c r="D331" s="31"/>
      <c r="E331" s="31"/>
      <c r="F331" s="31"/>
      <c r="G331" s="29"/>
      <c r="H331" s="12"/>
      <c r="I331" s="12"/>
      <c r="J331" s="12"/>
      <c r="K331" s="12"/>
      <c r="L331" s="18" t="str">
        <f t="shared" si="1"/>
        <v>#DIV/0!</v>
      </c>
      <c r="M331" s="18" t="str">
        <f t="shared" si="2"/>
        <v>#DIV/0!</v>
      </c>
      <c r="N331" s="12" t="str">
        <f t="shared" si="4"/>
        <v/>
      </c>
      <c r="O331" s="18" t="str">
        <f t="shared" si="3"/>
        <v>#DIV/0!</v>
      </c>
      <c r="P331" s="12"/>
    </row>
    <row r="332">
      <c r="A332" s="1" t="s">
        <v>3436</v>
      </c>
      <c r="B332" s="7" t="s">
        <v>3437</v>
      </c>
      <c r="C332" s="25" t="s">
        <v>3815</v>
      </c>
      <c r="D332" s="31"/>
      <c r="E332" s="31"/>
      <c r="F332" s="31"/>
      <c r="G332" s="29"/>
      <c r="H332" s="12"/>
      <c r="I332" s="12"/>
      <c r="J332" s="12"/>
      <c r="K332" s="12"/>
      <c r="L332" s="18" t="str">
        <f t="shared" si="1"/>
        <v>#DIV/0!</v>
      </c>
      <c r="M332" s="18" t="str">
        <f t="shared" si="2"/>
        <v>#DIV/0!</v>
      </c>
      <c r="N332" s="12" t="str">
        <f t="shared" si="4"/>
        <v/>
      </c>
      <c r="O332" s="18" t="str">
        <f t="shared" si="3"/>
        <v>#DIV/0!</v>
      </c>
      <c r="P332" s="12"/>
    </row>
    <row r="333">
      <c r="A333" s="1" t="s">
        <v>3440</v>
      </c>
      <c r="B333" s="7" t="s">
        <v>3441</v>
      </c>
      <c r="C333" s="25" t="s">
        <v>3816</v>
      </c>
      <c r="D333" s="31"/>
      <c r="E333" s="31"/>
      <c r="F333" s="31"/>
      <c r="G333" s="29"/>
      <c r="H333" s="12"/>
      <c r="I333" s="12"/>
      <c r="J333" s="12"/>
      <c r="K333" s="12"/>
      <c r="L333" s="18" t="str">
        <f t="shared" si="1"/>
        <v>#DIV/0!</v>
      </c>
      <c r="M333" s="18" t="str">
        <f t="shared" si="2"/>
        <v>#DIV/0!</v>
      </c>
      <c r="N333" s="12" t="str">
        <f t="shared" si="4"/>
        <v/>
      </c>
      <c r="O333" s="18" t="str">
        <f t="shared" si="3"/>
        <v>#DIV/0!</v>
      </c>
      <c r="P333" s="12"/>
    </row>
    <row r="334">
      <c r="A334" s="1" t="s">
        <v>3444</v>
      </c>
      <c r="B334" s="7" t="s">
        <v>3445</v>
      </c>
      <c r="C334" s="25" t="s">
        <v>3817</v>
      </c>
      <c r="D334" s="31"/>
      <c r="E334" s="31"/>
      <c r="F334" s="31"/>
      <c r="G334" s="29"/>
      <c r="H334" s="12"/>
      <c r="I334" s="12"/>
      <c r="J334" s="12"/>
      <c r="K334" s="12"/>
      <c r="L334" s="18" t="str">
        <f t="shared" si="1"/>
        <v>#DIV/0!</v>
      </c>
      <c r="M334" s="18" t="str">
        <f t="shared" si="2"/>
        <v>#DIV/0!</v>
      </c>
      <c r="N334" s="12" t="str">
        <f t="shared" si="4"/>
        <v/>
      </c>
      <c r="O334" s="18" t="str">
        <f t="shared" si="3"/>
        <v>#DIV/0!</v>
      </c>
      <c r="P334" s="12"/>
    </row>
    <row r="335">
      <c r="A335" s="1" t="s">
        <v>3450</v>
      </c>
      <c r="B335" s="7" t="s">
        <v>3451</v>
      </c>
      <c r="C335" s="25" t="s">
        <v>3584</v>
      </c>
      <c r="D335" s="31"/>
      <c r="E335" s="31"/>
      <c r="F335" s="31"/>
      <c r="G335" s="29"/>
      <c r="H335" s="12"/>
      <c r="I335" s="12"/>
      <c r="J335" s="12"/>
      <c r="K335" s="12"/>
      <c r="L335" s="18" t="str">
        <f t="shared" si="1"/>
        <v>#DIV/0!</v>
      </c>
      <c r="M335" s="18" t="str">
        <f t="shared" si="2"/>
        <v>#DIV/0!</v>
      </c>
      <c r="N335" s="12" t="str">
        <f t="shared" si="4"/>
        <v/>
      </c>
      <c r="O335" s="18" t="str">
        <f t="shared" si="3"/>
        <v>#DIV/0!</v>
      </c>
      <c r="P335" s="12"/>
    </row>
    <row r="336">
      <c r="A336" s="1" t="s">
        <v>3462</v>
      </c>
      <c r="B336" s="7" t="s">
        <v>3463</v>
      </c>
      <c r="C336" s="25" t="s">
        <v>3580</v>
      </c>
      <c r="D336" s="31"/>
      <c r="E336" s="31"/>
      <c r="F336" s="31"/>
      <c r="G336" s="29"/>
      <c r="H336" s="12"/>
      <c r="I336" s="12"/>
      <c r="J336" s="12"/>
      <c r="K336" s="12"/>
      <c r="L336" s="18" t="str">
        <f t="shared" si="1"/>
        <v>#DIV/0!</v>
      </c>
      <c r="M336" s="18" t="str">
        <f t="shared" si="2"/>
        <v>#DIV/0!</v>
      </c>
      <c r="N336" s="12" t="str">
        <f t="shared" si="4"/>
        <v/>
      </c>
      <c r="O336" s="18" t="str">
        <f t="shared" si="3"/>
        <v>#DIV/0!</v>
      </c>
      <c r="P336" s="12"/>
    </row>
    <row r="337">
      <c r="A337" s="1" t="s">
        <v>3466</v>
      </c>
      <c r="B337" s="7" t="s">
        <v>3467</v>
      </c>
      <c r="C337" s="25" t="s">
        <v>3703</v>
      </c>
      <c r="D337" s="31"/>
      <c r="E337" s="31"/>
      <c r="F337" s="31"/>
      <c r="G337" s="29"/>
      <c r="H337" s="12"/>
      <c r="I337" s="12"/>
      <c r="J337" s="12"/>
      <c r="K337" s="12"/>
      <c r="L337" s="18" t="str">
        <f t="shared" si="1"/>
        <v>#DIV/0!</v>
      </c>
      <c r="M337" s="18" t="str">
        <f t="shared" si="2"/>
        <v>#DIV/0!</v>
      </c>
      <c r="N337" s="12" t="str">
        <f t="shared" si="4"/>
        <v/>
      </c>
      <c r="O337" s="18" t="str">
        <f t="shared" si="3"/>
        <v>#DIV/0!</v>
      </c>
      <c r="P337" s="12"/>
    </row>
    <row r="338">
      <c r="A338" s="1" t="s">
        <v>3471</v>
      </c>
      <c r="B338" s="7" t="s">
        <v>3472</v>
      </c>
      <c r="C338" s="25" t="s">
        <v>3818</v>
      </c>
      <c r="D338" s="31"/>
      <c r="E338" s="31"/>
      <c r="F338" s="31"/>
      <c r="G338" s="29"/>
      <c r="H338" s="12"/>
      <c r="I338" s="12"/>
      <c r="J338" s="12"/>
      <c r="K338" s="12"/>
      <c r="L338" s="18" t="str">
        <f t="shared" si="1"/>
        <v>#DIV/0!</v>
      </c>
      <c r="M338" s="18" t="str">
        <f t="shared" si="2"/>
        <v>#DIV/0!</v>
      </c>
      <c r="N338" s="12" t="str">
        <f t="shared" si="4"/>
        <v/>
      </c>
      <c r="O338" s="18" t="str">
        <f t="shared" si="3"/>
        <v>#DIV/0!</v>
      </c>
      <c r="P338" s="12"/>
    </row>
    <row r="339">
      <c r="A339" s="1" t="s">
        <v>3475</v>
      </c>
      <c r="B339" s="7" t="s">
        <v>3476</v>
      </c>
      <c r="C339" s="25" t="s">
        <v>3819</v>
      </c>
      <c r="D339" s="31"/>
      <c r="E339" s="31"/>
      <c r="F339" s="31"/>
      <c r="G339" s="29"/>
      <c r="H339" s="12"/>
      <c r="I339" s="12"/>
      <c r="J339" s="12"/>
      <c r="K339" s="12"/>
      <c r="L339" s="18" t="str">
        <f t="shared" si="1"/>
        <v>#DIV/0!</v>
      </c>
      <c r="M339" s="18" t="str">
        <f t="shared" si="2"/>
        <v>#DIV/0!</v>
      </c>
      <c r="N339" s="12" t="str">
        <f t="shared" si="4"/>
        <v/>
      </c>
      <c r="O339" s="18" t="str">
        <f t="shared" si="3"/>
        <v>#DIV/0!</v>
      </c>
      <c r="P339" s="12"/>
    </row>
    <row r="340">
      <c r="A340" s="1" t="s">
        <v>3477</v>
      </c>
      <c r="B340" s="7" t="s">
        <v>3478</v>
      </c>
      <c r="C340" s="25" t="s">
        <v>3820</v>
      </c>
      <c r="D340" s="31"/>
      <c r="E340" s="31"/>
      <c r="F340" s="31"/>
      <c r="G340" s="29"/>
      <c r="H340" s="12"/>
      <c r="I340" s="12"/>
      <c r="J340" s="12"/>
      <c r="K340" s="12"/>
      <c r="L340" s="18" t="str">
        <f t="shared" si="1"/>
        <v>#DIV/0!</v>
      </c>
      <c r="M340" s="18" t="str">
        <f t="shared" si="2"/>
        <v>#DIV/0!</v>
      </c>
      <c r="N340" s="12" t="str">
        <f t="shared" si="4"/>
        <v/>
      </c>
      <c r="O340" s="18" t="str">
        <f t="shared" si="3"/>
        <v>#DIV/0!</v>
      </c>
      <c r="P340" s="12"/>
    </row>
    <row r="341">
      <c r="A341" s="1" t="s">
        <v>3502</v>
      </c>
      <c r="B341" s="7" t="s">
        <v>3503</v>
      </c>
      <c r="C341" s="25" t="s">
        <v>3584</v>
      </c>
      <c r="D341" s="31"/>
      <c r="E341" s="31"/>
      <c r="F341" s="31"/>
      <c r="G341" s="29"/>
      <c r="H341" s="12"/>
      <c r="I341" s="12"/>
      <c r="J341" s="12"/>
      <c r="K341" s="12"/>
      <c r="L341" s="18" t="str">
        <f t="shared" si="1"/>
        <v>#DIV/0!</v>
      </c>
      <c r="M341" s="18" t="str">
        <f t="shared" si="2"/>
        <v>#DIV/0!</v>
      </c>
      <c r="N341" s="12" t="str">
        <f t="shared" si="4"/>
        <v/>
      </c>
      <c r="O341" s="18" t="str">
        <f t="shared" si="3"/>
        <v>#DIV/0!</v>
      </c>
      <c r="P341" s="12"/>
    </row>
    <row r="342">
      <c r="A342" s="1" t="s">
        <v>3508</v>
      </c>
      <c r="B342" s="7" t="s">
        <v>3509</v>
      </c>
      <c r="C342" s="25" t="s">
        <v>3821</v>
      </c>
      <c r="D342" s="31"/>
      <c r="E342" s="31"/>
      <c r="F342" s="31"/>
      <c r="G342" s="29"/>
      <c r="H342" s="12"/>
      <c r="I342" s="12"/>
      <c r="J342" s="12"/>
      <c r="K342" s="12"/>
      <c r="L342" s="18" t="str">
        <f t="shared" si="1"/>
        <v>#DIV/0!</v>
      </c>
      <c r="M342" s="18" t="str">
        <f t="shared" si="2"/>
        <v>#DIV/0!</v>
      </c>
      <c r="N342" s="12" t="str">
        <f t="shared" si="4"/>
        <v/>
      </c>
      <c r="O342" s="18" t="str">
        <f t="shared" si="3"/>
        <v>#DIV/0!</v>
      </c>
      <c r="P342" s="12"/>
    </row>
    <row r="343">
      <c r="A343" s="1" t="s">
        <v>3511</v>
      </c>
      <c r="B343" s="7" t="s">
        <v>3512</v>
      </c>
      <c r="C343" s="25" t="s">
        <v>3822</v>
      </c>
      <c r="D343" s="31"/>
      <c r="E343" s="31"/>
      <c r="F343" s="31"/>
      <c r="G343" s="29"/>
      <c r="H343" s="12"/>
      <c r="I343" s="12"/>
      <c r="J343" s="12"/>
      <c r="K343" s="12"/>
      <c r="L343" s="18" t="str">
        <f t="shared" si="1"/>
        <v>#DIV/0!</v>
      </c>
      <c r="M343" s="18" t="str">
        <f t="shared" si="2"/>
        <v>#DIV/0!</v>
      </c>
      <c r="N343" s="12" t="str">
        <f t="shared" si="4"/>
        <v/>
      </c>
      <c r="O343" s="18" t="str">
        <f t="shared" si="3"/>
        <v>#DIV/0!</v>
      </c>
      <c r="P343" s="12"/>
    </row>
    <row r="344">
      <c r="A344" s="1" t="s">
        <v>3522</v>
      </c>
      <c r="B344" s="7" t="s">
        <v>3523</v>
      </c>
      <c r="C344" s="25" t="s">
        <v>3661</v>
      </c>
      <c r="D344" s="31"/>
      <c r="E344" s="31"/>
      <c r="F344" s="31"/>
      <c r="G344" s="29"/>
      <c r="H344" s="12"/>
      <c r="I344" s="12"/>
      <c r="J344" s="12"/>
      <c r="K344" s="12"/>
      <c r="L344" s="18" t="str">
        <f t="shared" si="1"/>
        <v>#DIV/0!</v>
      </c>
      <c r="M344" s="18" t="str">
        <f t="shared" si="2"/>
        <v>#DIV/0!</v>
      </c>
      <c r="N344" s="12" t="str">
        <f t="shared" si="4"/>
        <v/>
      </c>
      <c r="O344" s="18" t="str">
        <f t="shared" si="3"/>
        <v>#DIV/0!</v>
      </c>
      <c r="P344" s="12"/>
    </row>
    <row r="345">
      <c r="A345" s="1" t="s">
        <v>3532</v>
      </c>
      <c r="B345" s="7" t="s">
        <v>3533</v>
      </c>
      <c r="C345" s="25" t="s">
        <v>3588</v>
      </c>
      <c r="D345" s="31"/>
      <c r="E345" s="31"/>
      <c r="F345" s="31"/>
      <c r="G345" s="29"/>
      <c r="H345" s="12"/>
      <c r="I345" s="12"/>
      <c r="J345" s="12"/>
      <c r="K345" s="12"/>
      <c r="L345" s="18" t="str">
        <f t="shared" si="1"/>
        <v>#DIV/0!</v>
      </c>
      <c r="M345" s="18" t="str">
        <f t="shared" si="2"/>
        <v>#DIV/0!</v>
      </c>
      <c r="N345" s="12" t="str">
        <f t="shared" si="4"/>
        <v/>
      </c>
      <c r="O345" s="18" t="str">
        <f t="shared" si="3"/>
        <v>#DIV/0!</v>
      </c>
      <c r="P345" s="12"/>
    </row>
    <row r="346">
      <c r="A346" s="1" t="s">
        <v>3564</v>
      </c>
      <c r="B346" s="7" t="s">
        <v>3565</v>
      </c>
      <c r="C346" s="25" t="s">
        <v>3823</v>
      </c>
      <c r="D346" s="31"/>
      <c r="E346" s="31"/>
      <c r="F346" s="31"/>
      <c r="G346" s="29"/>
      <c r="H346" s="12"/>
      <c r="I346" s="12"/>
      <c r="J346" s="12"/>
      <c r="K346" s="12"/>
      <c r="L346" s="18" t="str">
        <f t="shared" si="1"/>
        <v>#DIV/0!</v>
      </c>
      <c r="M346" s="18" t="str">
        <f t="shared" si="2"/>
        <v>#DIV/0!</v>
      </c>
      <c r="N346" s="12" t="str">
        <f t="shared" si="4"/>
        <v/>
      </c>
      <c r="O346" s="18" t="str">
        <f t="shared" si="3"/>
        <v>#DIV/0!</v>
      </c>
      <c r="P346" s="12"/>
    </row>
    <row r="347">
      <c r="A347" s="1" t="s">
        <v>3572</v>
      </c>
      <c r="B347" s="7" t="s">
        <v>3573</v>
      </c>
      <c r="C347" s="25" t="s">
        <v>3824</v>
      </c>
      <c r="D347" s="31"/>
      <c r="E347" s="31"/>
      <c r="F347" s="31"/>
      <c r="G347" s="29"/>
      <c r="H347" s="12"/>
      <c r="I347" s="12"/>
      <c r="J347" s="12"/>
      <c r="K347" s="12"/>
      <c r="L347" s="18" t="str">
        <f t="shared" si="1"/>
        <v>#DIV/0!</v>
      </c>
      <c r="M347" s="18" t="str">
        <f t="shared" si="2"/>
        <v>#DIV/0!</v>
      </c>
      <c r="N347" s="12" t="str">
        <f t="shared" si="4"/>
        <v/>
      </c>
      <c r="O347" s="18" t="str">
        <f t="shared" si="3"/>
        <v>#DIV/0!</v>
      </c>
      <c r="P347" s="12"/>
    </row>
    <row r="348">
      <c r="C348" s="25"/>
      <c r="D348" s="31"/>
      <c r="E348" s="31"/>
      <c r="F348" s="31"/>
      <c r="G348" s="29"/>
      <c r="H348" s="12"/>
      <c r="I348" s="12"/>
      <c r="J348" s="12"/>
      <c r="K348" s="12"/>
      <c r="L348" s="18" t="str">
        <f t="shared" si="1"/>
        <v>#DIV/0!</v>
      </c>
      <c r="M348" s="18" t="str">
        <f t="shared" si="2"/>
        <v>#DIV/0!</v>
      </c>
      <c r="N348" s="12" t="str">
        <f t="shared" si="4"/>
        <v/>
      </c>
      <c r="O348" s="18" t="str">
        <f t="shared" si="3"/>
        <v>#DIV/0!</v>
      </c>
      <c r="P348" s="12"/>
    </row>
    <row r="349">
      <c r="C349" s="25"/>
      <c r="D349" s="31"/>
      <c r="E349" s="31"/>
      <c r="F349" s="31"/>
      <c r="G349" s="29"/>
      <c r="H349" s="12"/>
      <c r="I349" s="12"/>
      <c r="J349" s="12"/>
      <c r="K349" s="12"/>
      <c r="L349" s="18" t="str">
        <f t="shared" si="1"/>
        <v>#DIV/0!</v>
      </c>
      <c r="M349" s="18" t="str">
        <f t="shared" si="2"/>
        <v>#DIV/0!</v>
      </c>
      <c r="N349" s="12" t="str">
        <f t="shared" si="4"/>
        <v/>
      </c>
      <c r="O349" s="18" t="str">
        <f t="shared" si="3"/>
        <v>#DIV/0!</v>
      </c>
      <c r="P349" s="12"/>
    </row>
    <row r="350">
      <c r="C350" s="25"/>
      <c r="D350" s="31"/>
      <c r="E350" s="31"/>
      <c r="F350" s="31"/>
      <c r="G350" s="29"/>
      <c r="H350" s="12"/>
      <c r="I350" s="12"/>
      <c r="J350" s="12"/>
      <c r="K350" s="12"/>
      <c r="L350" s="18" t="str">
        <f t="shared" si="1"/>
        <v>#DIV/0!</v>
      </c>
      <c r="M350" s="18" t="str">
        <f t="shared" si="2"/>
        <v>#DIV/0!</v>
      </c>
      <c r="N350" s="12" t="str">
        <f t="shared" si="4"/>
        <v/>
      </c>
      <c r="O350" s="18" t="str">
        <f t="shared" si="3"/>
        <v>#DIV/0!</v>
      </c>
      <c r="P350" s="12"/>
    </row>
    <row r="351">
      <c r="C351" s="25"/>
      <c r="D351" s="31"/>
      <c r="E351" s="31"/>
      <c r="F351" s="31"/>
      <c r="G351" s="29"/>
      <c r="H351" s="12"/>
      <c r="I351" s="12"/>
      <c r="J351" s="12"/>
      <c r="K351" s="12"/>
      <c r="L351" s="18" t="str">
        <f t="shared" si="1"/>
        <v>#DIV/0!</v>
      </c>
      <c r="M351" s="18" t="str">
        <f t="shared" si="2"/>
        <v>#DIV/0!</v>
      </c>
      <c r="N351" s="12" t="str">
        <f t="shared" si="4"/>
        <v/>
      </c>
      <c r="O351" s="18" t="str">
        <f t="shared" si="3"/>
        <v>#DIV/0!</v>
      </c>
      <c r="P351" s="12"/>
    </row>
    <row r="352">
      <c r="C352" s="25"/>
      <c r="D352" s="31"/>
      <c r="E352" s="31"/>
      <c r="F352" s="31"/>
      <c r="G352" s="29"/>
      <c r="H352" s="12"/>
      <c r="I352" s="12"/>
      <c r="J352" s="12"/>
      <c r="K352" s="12"/>
      <c r="L352" s="18" t="str">
        <f t="shared" si="1"/>
        <v>#DIV/0!</v>
      </c>
      <c r="M352" s="18" t="str">
        <f t="shared" si="2"/>
        <v>#DIV/0!</v>
      </c>
      <c r="N352" s="12" t="str">
        <f t="shared" si="4"/>
        <v/>
      </c>
      <c r="O352" s="18" t="str">
        <f t="shared" si="3"/>
        <v>#DIV/0!</v>
      </c>
      <c r="P352" s="12"/>
    </row>
    <row r="353">
      <c r="C353" s="25"/>
      <c r="D353" s="31"/>
      <c r="E353" s="31"/>
      <c r="F353" s="31"/>
      <c r="G353" s="29"/>
      <c r="H353" s="12"/>
      <c r="I353" s="12"/>
      <c r="J353" s="12"/>
      <c r="K353" s="12"/>
      <c r="L353" s="18" t="str">
        <f t="shared" si="1"/>
        <v>#DIV/0!</v>
      </c>
      <c r="M353" s="18" t="str">
        <f t="shared" si="2"/>
        <v>#DIV/0!</v>
      </c>
      <c r="N353" s="12" t="str">
        <f t="shared" si="4"/>
        <v/>
      </c>
      <c r="O353" s="18" t="str">
        <f t="shared" si="3"/>
        <v>#DIV/0!</v>
      </c>
      <c r="P353" s="12"/>
    </row>
    <row r="354">
      <c r="C354" s="25"/>
      <c r="D354" s="31"/>
      <c r="E354" s="31"/>
      <c r="F354" s="31"/>
      <c r="G354" s="29"/>
      <c r="H354" s="12"/>
      <c r="I354" s="12"/>
      <c r="J354" s="12"/>
      <c r="K354" s="12"/>
      <c r="L354" s="18" t="str">
        <f t="shared" si="1"/>
        <v>#DIV/0!</v>
      </c>
      <c r="M354" s="18" t="str">
        <f t="shared" si="2"/>
        <v>#DIV/0!</v>
      </c>
      <c r="N354" s="12" t="str">
        <f t="shared" si="4"/>
        <v/>
      </c>
      <c r="O354" s="18" t="str">
        <f t="shared" si="3"/>
        <v>#DIV/0!</v>
      </c>
      <c r="P354" s="12"/>
    </row>
    <row r="355">
      <c r="C355" s="25"/>
      <c r="D355" s="31"/>
      <c r="E355" s="31"/>
      <c r="F355" s="31"/>
      <c r="G355" s="29"/>
      <c r="H355" s="12"/>
      <c r="I355" s="12"/>
      <c r="J355" s="12"/>
      <c r="K355" s="12"/>
      <c r="L355" s="18" t="str">
        <f t="shared" si="1"/>
        <v>#DIV/0!</v>
      </c>
      <c r="M355" s="18" t="str">
        <f t="shared" si="2"/>
        <v>#DIV/0!</v>
      </c>
      <c r="N355" s="12" t="str">
        <f t="shared" si="4"/>
        <v/>
      </c>
      <c r="O355" s="18" t="str">
        <f t="shared" si="3"/>
        <v>#DIV/0!</v>
      </c>
      <c r="P355" s="12"/>
    </row>
    <row r="356">
      <c r="C356" s="25"/>
      <c r="D356" s="31"/>
      <c r="E356" s="31"/>
      <c r="F356" s="31"/>
      <c r="G356" s="29"/>
      <c r="H356" s="12"/>
      <c r="I356" s="12"/>
      <c r="J356" s="12"/>
      <c r="K356" s="12"/>
      <c r="L356" s="18" t="str">
        <f t="shared" si="1"/>
        <v>#DIV/0!</v>
      </c>
      <c r="M356" s="18" t="str">
        <f t="shared" si="2"/>
        <v>#DIV/0!</v>
      </c>
      <c r="N356" s="12" t="str">
        <f t="shared" si="4"/>
        <v/>
      </c>
      <c r="O356" s="18" t="str">
        <f t="shared" si="3"/>
        <v>#DIV/0!</v>
      </c>
      <c r="P356" s="12"/>
    </row>
    <row r="357">
      <c r="C357" s="25"/>
      <c r="D357" s="31"/>
      <c r="E357" s="31"/>
      <c r="F357" s="31"/>
      <c r="G357" s="29"/>
      <c r="H357" s="12"/>
      <c r="I357" s="12"/>
      <c r="J357" s="12"/>
      <c r="K357" s="12"/>
      <c r="L357" s="18" t="str">
        <f t="shared" si="1"/>
        <v>#DIV/0!</v>
      </c>
      <c r="M357" s="18" t="str">
        <f t="shared" si="2"/>
        <v>#DIV/0!</v>
      </c>
      <c r="N357" s="12" t="str">
        <f t="shared" si="4"/>
        <v/>
      </c>
      <c r="O357" s="18" t="str">
        <f t="shared" si="3"/>
        <v>#DIV/0!</v>
      </c>
      <c r="P357" s="12"/>
    </row>
    <row r="358">
      <c r="C358" s="25"/>
      <c r="D358" s="31"/>
      <c r="E358" s="31"/>
      <c r="F358" s="31"/>
      <c r="G358" s="29"/>
      <c r="H358" s="12"/>
      <c r="I358" s="12"/>
      <c r="J358" s="12"/>
      <c r="K358" s="12"/>
      <c r="L358" s="18" t="str">
        <f t="shared" si="1"/>
        <v>#DIV/0!</v>
      </c>
      <c r="M358" s="18" t="str">
        <f t="shared" si="2"/>
        <v>#DIV/0!</v>
      </c>
      <c r="N358" s="12" t="str">
        <f t="shared" si="4"/>
        <v/>
      </c>
      <c r="O358" s="18" t="str">
        <f t="shared" si="3"/>
        <v>#DIV/0!</v>
      </c>
      <c r="P358" s="12"/>
    </row>
    <row r="359">
      <c r="C359" s="25"/>
      <c r="D359" s="31"/>
      <c r="E359" s="31"/>
      <c r="F359" s="31"/>
      <c r="G359" s="29"/>
      <c r="H359" s="12"/>
      <c r="I359" s="12"/>
      <c r="J359" s="12"/>
      <c r="K359" s="12"/>
      <c r="L359" s="18" t="str">
        <f t="shared" si="1"/>
        <v>#DIV/0!</v>
      </c>
      <c r="M359" s="18" t="str">
        <f t="shared" si="2"/>
        <v>#DIV/0!</v>
      </c>
      <c r="N359" s="12" t="str">
        <f t="shared" si="4"/>
        <v/>
      </c>
      <c r="O359" s="18" t="str">
        <f t="shared" si="3"/>
        <v>#DIV/0!</v>
      </c>
      <c r="P359" s="12"/>
    </row>
    <row r="360">
      <c r="C360" s="25"/>
      <c r="D360" s="31"/>
      <c r="E360" s="31"/>
      <c r="F360" s="31"/>
      <c r="G360" s="29"/>
      <c r="H360" s="12"/>
      <c r="I360" s="12"/>
      <c r="J360" s="12"/>
      <c r="K360" s="12"/>
      <c r="L360" s="18" t="str">
        <f t="shared" si="1"/>
        <v>#DIV/0!</v>
      </c>
      <c r="M360" s="18" t="str">
        <f t="shared" si="2"/>
        <v>#DIV/0!</v>
      </c>
      <c r="N360" s="12" t="str">
        <f t="shared" si="4"/>
        <v/>
      </c>
      <c r="O360" s="18" t="str">
        <f t="shared" si="3"/>
        <v>#DIV/0!</v>
      </c>
      <c r="P360" s="12"/>
    </row>
    <row r="361">
      <c r="C361" s="25"/>
      <c r="D361" s="31"/>
      <c r="E361" s="31"/>
      <c r="F361" s="31"/>
      <c r="G361" s="29"/>
      <c r="H361" s="12"/>
      <c r="I361" s="12"/>
      <c r="J361" s="12"/>
      <c r="K361" s="12"/>
      <c r="L361" s="18" t="str">
        <f t="shared" si="1"/>
        <v>#DIV/0!</v>
      </c>
      <c r="M361" s="18" t="str">
        <f t="shared" si="2"/>
        <v>#DIV/0!</v>
      </c>
      <c r="N361" s="12" t="str">
        <f t="shared" si="4"/>
        <v/>
      </c>
      <c r="O361" s="18" t="str">
        <f t="shared" si="3"/>
        <v>#DIV/0!</v>
      </c>
      <c r="P361" s="12"/>
    </row>
    <row r="362">
      <c r="C362" s="25"/>
      <c r="D362" s="31"/>
      <c r="E362" s="31"/>
      <c r="F362" s="31"/>
      <c r="G362" s="29"/>
      <c r="H362" s="12"/>
      <c r="I362" s="12"/>
      <c r="J362" s="12"/>
      <c r="K362" s="12"/>
      <c r="L362" s="18" t="str">
        <f t="shared" si="1"/>
        <v>#DIV/0!</v>
      </c>
      <c r="M362" s="18" t="str">
        <f t="shared" si="2"/>
        <v>#DIV/0!</v>
      </c>
      <c r="N362" s="12" t="str">
        <f t="shared" si="4"/>
        <v/>
      </c>
      <c r="O362" s="18" t="str">
        <f t="shared" si="3"/>
        <v>#DIV/0!</v>
      </c>
      <c r="P362" s="12"/>
    </row>
    <row r="363">
      <c r="C363" s="25"/>
      <c r="D363" s="31"/>
      <c r="E363" s="31"/>
      <c r="F363" s="31"/>
      <c r="G363" s="29"/>
      <c r="H363" s="12"/>
      <c r="I363" s="12"/>
      <c r="J363" s="12"/>
      <c r="K363" s="12"/>
      <c r="L363" s="18" t="str">
        <f t="shared" si="1"/>
        <v>#DIV/0!</v>
      </c>
      <c r="M363" s="18" t="str">
        <f t="shared" si="2"/>
        <v>#DIV/0!</v>
      </c>
      <c r="N363" s="12" t="str">
        <f t="shared" si="4"/>
        <v/>
      </c>
      <c r="O363" s="18" t="str">
        <f t="shared" si="3"/>
        <v>#DIV/0!</v>
      </c>
      <c r="P363" s="12"/>
    </row>
    <row r="364">
      <c r="C364" s="25"/>
      <c r="D364" s="31"/>
      <c r="E364" s="31"/>
      <c r="F364" s="31"/>
      <c r="G364" s="29"/>
      <c r="H364" s="12"/>
      <c r="I364" s="12"/>
      <c r="J364" s="12"/>
      <c r="K364" s="12"/>
      <c r="L364" s="18" t="str">
        <f t="shared" si="1"/>
        <v>#DIV/0!</v>
      </c>
      <c r="M364" s="18" t="str">
        <f t="shared" si="2"/>
        <v>#DIV/0!</v>
      </c>
      <c r="N364" s="12" t="str">
        <f t="shared" si="4"/>
        <v/>
      </c>
      <c r="O364" s="18" t="str">
        <f t="shared" si="3"/>
        <v>#DIV/0!</v>
      </c>
      <c r="P364" s="12"/>
    </row>
    <row r="365">
      <c r="C365" s="25"/>
      <c r="D365" s="31"/>
      <c r="E365" s="31"/>
      <c r="F365" s="31"/>
      <c r="G365" s="29"/>
      <c r="H365" s="12"/>
      <c r="I365" s="12"/>
      <c r="J365" s="12"/>
      <c r="K365" s="12"/>
      <c r="L365" s="18" t="str">
        <f t="shared" si="1"/>
        <v>#DIV/0!</v>
      </c>
      <c r="M365" s="18" t="str">
        <f t="shared" si="2"/>
        <v>#DIV/0!</v>
      </c>
      <c r="N365" s="12" t="str">
        <f t="shared" si="4"/>
        <v/>
      </c>
      <c r="O365" s="18" t="str">
        <f t="shared" si="3"/>
        <v>#DIV/0!</v>
      </c>
      <c r="P365" s="12"/>
    </row>
    <row r="366">
      <c r="C366" s="25"/>
      <c r="D366" s="31"/>
      <c r="E366" s="31"/>
      <c r="F366" s="31"/>
      <c r="G366" s="29"/>
      <c r="H366" s="12"/>
      <c r="I366" s="12"/>
      <c r="J366" s="12"/>
      <c r="K366" s="12"/>
      <c r="L366" s="18" t="str">
        <f t="shared" si="1"/>
        <v>#DIV/0!</v>
      </c>
      <c r="M366" s="18" t="str">
        <f t="shared" si="2"/>
        <v>#DIV/0!</v>
      </c>
      <c r="N366" s="12" t="str">
        <f t="shared" si="4"/>
        <v/>
      </c>
      <c r="O366" s="18" t="str">
        <f t="shared" si="3"/>
        <v>#DIV/0!</v>
      </c>
      <c r="P366" s="12"/>
    </row>
    <row r="367">
      <c r="C367" s="25"/>
      <c r="D367" s="31"/>
      <c r="E367" s="31"/>
      <c r="F367" s="31"/>
      <c r="G367" s="29"/>
      <c r="H367" s="12"/>
      <c r="I367" s="12"/>
      <c r="J367" s="12"/>
      <c r="K367" s="12"/>
      <c r="L367" s="18" t="str">
        <f t="shared" si="1"/>
        <v>#DIV/0!</v>
      </c>
      <c r="M367" s="18" t="str">
        <f t="shared" si="2"/>
        <v>#DIV/0!</v>
      </c>
      <c r="N367" s="12" t="str">
        <f t="shared" si="4"/>
        <v/>
      </c>
      <c r="O367" s="18" t="str">
        <f t="shared" si="3"/>
        <v>#DIV/0!</v>
      </c>
      <c r="P367" s="12"/>
    </row>
    <row r="368">
      <c r="C368" s="25"/>
      <c r="D368" s="31"/>
      <c r="E368" s="31"/>
      <c r="F368" s="31"/>
      <c r="G368" s="29"/>
      <c r="H368" s="12"/>
      <c r="I368" s="12"/>
      <c r="J368" s="12"/>
      <c r="K368" s="12"/>
      <c r="L368" s="18" t="str">
        <f t="shared" si="1"/>
        <v>#DIV/0!</v>
      </c>
      <c r="M368" s="18" t="str">
        <f t="shared" si="2"/>
        <v>#DIV/0!</v>
      </c>
      <c r="N368" s="12" t="str">
        <f t="shared" si="4"/>
        <v/>
      </c>
      <c r="O368" s="18" t="str">
        <f t="shared" si="3"/>
        <v>#DIV/0!</v>
      </c>
      <c r="P368" s="12"/>
    </row>
    <row r="369">
      <c r="C369" s="25"/>
      <c r="D369" s="31"/>
      <c r="E369" s="31"/>
      <c r="F369" s="31"/>
      <c r="G369" s="29"/>
      <c r="H369" s="12"/>
      <c r="I369" s="12"/>
      <c r="J369" s="12"/>
      <c r="K369" s="12"/>
      <c r="L369" s="18" t="str">
        <f t="shared" si="1"/>
        <v>#DIV/0!</v>
      </c>
      <c r="M369" s="18" t="str">
        <f t="shared" si="2"/>
        <v>#DIV/0!</v>
      </c>
      <c r="N369" s="12" t="str">
        <f t="shared" si="4"/>
        <v/>
      </c>
      <c r="O369" s="18" t="str">
        <f t="shared" si="3"/>
        <v>#DIV/0!</v>
      </c>
      <c r="P369" s="12"/>
    </row>
    <row r="370">
      <c r="C370" s="25"/>
      <c r="D370" s="31"/>
      <c r="E370" s="31"/>
      <c r="F370" s="31"/>
      <c r="G370" s="29"/>
      <c r="H370" s="12"/>
      <c r="I370" s="12"/>
      <c r="J370" s="12"/>
      <c r="K370" s="12"/>
      <c r="L370" s="18" t="str">
        <f t="shared" si="1"/>
        <v>#DIV/0!</v>
      </c>
      <c r="M370" s="18" t="str">
        <f t="shared" si="2"/>
        <v>#DIV/0!</v>
      </c>
      <c r="N370" s="12" t="str">
        <f t="shared" si="4"/>
        <v/>
      </c>
      <c r="O370" s="18" t="str">
        <f t="shared" si="3"/>
        <v>#DIV/0!</v>
      </c>
      <c r="P370" s="12"/>
    </row>
    <row r="371">
      <c r="C371" s="25"/>
      <c r="D371" s="31"/>
      <c r="E371" s="31"/>
      <c r="F371" s="31"/>
      <c r="G371" s="29"/>
      <c r="H371" s="12"/>
      <c r="I371" s="12"/>
      <c r="J371" s="12"/>
      <c r="K371" s="12"/>
      <c r="L371" s="18" t="str">
        <f t="shared" si="1"/>
        <v>#DIV/0!</v>
      </c>
      <c r="M371" s="18" t="str">
        <f t="shared" si="2"/>
        <v>#DIV/0!</v>
      </c>
      <c r="N371" s="12" t="str">
        <f t="shared" si="4"/>
        <v/>
      </c>
      <c r="O371" s="18" t="str">
        <f t="shared" si="3"/>
        <v>#DIV/0!</v>
      </c>
      <c r="P371" s="12"/>
    </row>
    <row r="372">
      <c r="C372" s="25"/>
      <c r="D372" s="31"/>
      <c r="E372" s="31"/>
      <c r="F372" s="31"/>
      <c r="G372" s="29"/>
      <c r="H372" s="12"/>
      <c r="I372" s="12"/>
      <c r="J372" s="12"/>
      <c r="K372" s="12"/>
      <c r="L372" s="18" t="str">
        <f t="shared" si="1"/>
        <v>#DIV/0!</v>
      </c>
      <c r="M372" s="18" t="str">
        <f t="shared" si="2"/>
        <v>#DIV/0!</v>
      </c>
      <c r="N372" s="12" t="str">
        <f t="shared" si="4"/>
        <v/>
      </c>
      <c r="O372" s="18" t="str">
        <f t="shared" si="3"/>
        <v>#DIV/0!</v>
      </c>
      <c r="P372" s="12"/>
    </row>
    <row r="373">
      <c r="C373" s="25"/>
      <c r="D373" s="31"/>
      <c r="E373" s="31"/>
      <c r="F373" s="31"/>
      <c r="G373" s="29"/>
      <c r="H373" s="12"/>
      <c r="I373" s="12"/>
      <c r="J373" s="12"/>
      <c r="K373" s="12"/>
      <c r="L373" s="18" t="str">
        <f t="shared" si="1"/>
        <v>#DIV/0!</v>
      </c>
      <c r="M373" s="18" t="str">
        <f t="shared" si="2"/>
        <v>#DIV/0!</v>
      </c>
      <c r="N373" s="12" t="str">
        <f t="shared" si="4"/>
        <v/>
      </c>
      <c r="O373" s="18" t="str">
        <f t="shared" si="3"/>
        <v>#DIV/0!</v>
      </c>
      <c r="P373" s="12"/>
    </row>
    <row r="374">
      <c r="C374" s="25"/>
      <c r="D374" s="31"/>
      <c r="E374" s="31"/>
      <c r="F374" s="31"/>
      <c r="G374" s="29"/>
      <c r="H374" s="12"/>
      <c r="I374" s="12"/>
      <c r="J374" s="12"/>
      <c r="K374" s="12"/>
      <c r="L374" s="18" t="str">
        <f t="shared" si="1"/>
        <v>#DIV/0!</v>
      </c>
      <c r="M374" s="18" t="str">
        <f t="shared" si="2"/>
        <v>#DIV/0!</v>
      </c>
      <c r="N374" s="12" t="str">
        <f t="shared" si="4"/>
        <v/>
      </c>
      <c r="O374" s="18" t="str">
        <f t="shared" si="3"/>
        <v>#DIV/0!</v>
      </c>
      <c r="P374" s="12"/>
    </row>
    <row r="375">
      <c r="C375" s="25"/>
      <c r="D375" s="31"/>
      <c r="E375" s="31"/>
      <c r="F375" s="31"/>
      <c r="G375" s="29"/>
      <c r="H375" s="12"/>
      <c r="I375" s="12"/>
      <c r="J375" s="12"/>
      <c r="K375" s="12"/>
      <c r="L375" s="18" t="str">
        <f t="shared" si="1"/>
        <v>#DIV/0!</v>
      </c>
      <c r="M375" s="18" t="str">
        <f t="shared" si="2"/>
        <v>#DIV/0!</v>
      </c>
      <c r="N375" s="12" t="str">
        <f t="shared" si="4"/>
        <v/>
      </c>
      <c r="O375" s="18" t="str">
        <f t="shared" si="3"/>
        <v>#DIV/0!</v>
      </c>
      <c r="P375" s="12"/>
    </row>
    <row r="376">
      <c r="C376" s="25"/>
      <c r="D376" s="31"/>
      <c r="E376" s="31"/>
      <c r="F376" s="31"/>
      <c r="G376" s="29"/>
      <c r="H376" s="12"/>
      <c r="I376" s="12"/>
      <c r="J376" s="12"/>
      <c r="K376" s="12"/>
      <c r="L376" s="18" t="str">
        <f t="shared" si="1"/>
        <v>#DIV/0!</v>
      </c>
      <c r="M376" s="18" t="str">
        <f t="shared" si="2"/>
        <v>#DIV/0!</v>
      </c>
      <c r="N376" s="12" t="str">
        <f t="shared" si="4"/>
        <v/>
      </c>
      <c r="O376" s="18" t="str">
        <f t="shared" si="3"/>
        <v>#DIV/0!</v>
      </c>
      <c r="P376" s="12"/>
    </row>
    <row r="377">
      <c r="C377" s="25"/>
      <c r="D377" s="31"/>
      <c r="E377" s="31"/>
      <c r="F377" s="31"/>
      <c r="G377" s="29"/>
      <c r="H377" s="12"/>
      <c r="I377" s="12"/>
      <c r="J377" s="12"/>
      <c r="K377" s="12"/>
      <c r="L377" s="18" t="str">
        <f t="shared" si="1"/>
        <v>#DIV/0!</v>
      </c>
      <c r="M377" s="18" t="str">
        <f t="shared" si="2"/>
        <v>#DIV/0!</v>
      </c>
      <c r="N377" s="12" t="str">
        <f t="shared" si="4"/>
        <v/>
      </c>
      <c r="O377" s="18" t="str">
        <f t="shared" si="3"/>
        <v>#DIV/0!</v>
      </c>
      <c r="P377" s="12"/>
    </row>
    <row r="378">
      <c r="C378" s="25"/>
      <c r="D378" s="31"/>
      <c r="E378" s="31"/>
      <c r="F378" s="31"/>
      <c r="G378" s="29"/>
      <c r="H378" s="12"/>
      <c r="I378" s="12"/>
      <c r="J378" s="12"/>
      <c r="K378" s="12"/>
      <c r="L378" s="18" t="str">
        <f t="shared" si="1"/>
        <v>#DIV/0!</v>
      </c>
      <c r="M378" s="18" t="str">
        <f t="shared" si="2"/>
        <v>#DIV/0!</v>
      </c>
      <c r="N378" s="12" t="str">
        <f t="shared" si="4"/>
        <v/>
      </c>
      <c r="O378" s="18" t="str">
        <f t="shared" si="3"/>
        <v>#DIV/0!</v>
      </c>
      <c r="P378" s="12"/>
    </row>
    <row r="379">
      <c r="C379" s="25"/>
      <c r="D379" s="31"/>
      <c r="E379" s="31"/>
      <c r="F379" s="31"/>
      <c r="G379" s="29"/>
      <c r="H379" s="12"/>
      <c r="I379" s="12"/>
      <c r="J379" s="12"/>
      <c r="K379" s="12"/>
      <c r="L379" s="18" t="str">
        <f t="shared" si="1"/>
        <v>#DIV/0!</v>
      </c>
      <c r="M379" s="18" t="str">
        <f t="shared" si="2"/>
        <v>#DIV/0!</v>
      </c>
      <c r="N379" s="12" t="str">
        <f t="shared" si="4"/>
        <v/>
      </c>
      <c r="O379" s="18" t="str">
        <f t="shared" si="3"/>
        <v>#DIV/0!</v>
      </c>
      <c r="P379" s="12"/>
    </row>
    <row r="380">
      <c r="C380" s="25"/>
      <c r="D380" s="31"/>
      <c r="E380" s="31"/>
      <c r="F380" s="31"/>
      <c r="G380" s="29"/>
      <c r="H380" s="12"/>
      <c r="I380" s="12"/>
      <c r="J380" s="12"/>
      <c r="K380" s="12"/>
      <c r="L380" s="18" t="str">
        <f t="shared" si="1"/>
        <v>#DIV/0!</v>
      </c>
      <c r="M380" s="18" t="str">
        <f t="shared" si="2"/>
        <v>#DIV/0!</v>
      </c>
      <c r="N380" s="12" t="str">
        <f t="shared" si="4"/>
        <v/>
      </c>
      <c r="O380" s="18" t="str">
        <f t="shared" si="3"/>
        <v>#DIV/0!</v>
      </c>
      <c r="P380" s="12"/>
    </row>
    <row r="381">
      <c r="C381" s="25"/>
      <c r="D381" s="31"/>
      <c r="E381" s="31"/>
      <c r="F381" s="31"/>
      <c r="G381" s="29"/>
      <c r="H381" s="12"/>
      <c r="I381" s="12"/>
      <c r="J381" s="12"/>
      <c r="K381" s="12"/>
      <c r="L381" s="18" t="str">
        <f t="shared" si="1"/>
        <v>#DIV/0!</v>
      </c>
      <c r="M381" s="18" t="str">
        <f t="shared" si="2"/>
        <v>#DIV/0!</v>
      </c>
      <c r="N381" s="12" t="str">
        <f t="shared" si="4"/>
        <v/>
      </c>
      <c r="O381" s="18" t="str">
        <f t="shared" si="3"/>
        <v>#DIV/0!</v>
      </c>
      <c r="P381" s="12"/>
    </row>
    <row r="382">
      <c r="C382" s="25"/>
      <c r="D382" s="31"/>
      <c r="E382" s="31"/>
      <c r="F382" s="31"/>
      <c r="G382" s="29"/>
      <c r="H382" s="12"/>
      <c r="I382" s="12"/>
      <c r="J382" s="12"/>
      <c r="K382" s="12"/>
      <c r="L382" s="18" t="str">
        <f t="shared" si="1"/>
        <v>#DIV/0!</v>
      </c>
      <c r="M382" s="18" t="str">
        <f t="shared" si="2"/>
        <v>#DIV/0!</v>
      </c>
      <c r="N382" s="12" t="str">
        <f t="shared" si="4"/>
        <v/>
      </c>
      <c r="O382" s="18" t="str">
        <f t="shared" si="3"/>
        <v>#DIV/0!</v>
      </c>
      <c r="P382" s="12"/>
    </row>
    <row r="383">
      <c r="C383" s="25"/>
      <c r="D383" s="31"/>
      <c r="E383" s="31"/>
      <c r="F383" s="31"/>
      <c r="G383" s="29"/>
      <c r="H383" s="12"/>
      <c r="I383" s="12"/>
      <c r="J383" s="12"/>
      <c r="K383" s="12"/>
      <c r="L383" s="18" t="str">
        <f t="shared" si="1"/>
        <v>#DIV/0!</v>
      </c>
      <c r="M383" s="18" t="str">
        <f t="shared" si="2"/>
        <v>#DIV/0!</v>
      </c>
      <c r="N383" s="12" t="str">
        <f t="shared" si="4"/>
        <v/>
      </c>
      <c r="O383" s="18" t="str">
        <f t="shared" si="3"/>
        <v>#DIV/0!</v>
      </c>
      <c r="P383" s="12"/>
    </row>
    <row r="384">
      <c r="C384" s="25"/>
      <c r="D384" s="31"/>
      <c r="E384" s="31"/>
      <c r="F384" s="31"/>
      <c r="G384" s="29"/>
      <c r="H384" s="12"/>
      <c r="I384" s="12"/>
      <c r="J384" s="12"/>
      <c r="K384" s="12"/>
      <c r="L384" s="18" t="str">
        <f t="shared" si="1"/>
        <v>#DIV/0!</v>
      </c>
      <c r="M384" s="18" t="str">
        <f t="shared" si="2"/>
        <v>#DIV/0!</v>
      </c>
      <c r="N384" s="12" t="str">
        <f t="shared" si="4"/>
        <v/>
      </c>
      <c r="O384" s="18" t="str">
        <f t="shared" si="3"/>
        <v>#DIV/0!</v>
      </c>
      <c r="P384" s="12"/>
    </row>
    <row r="385">
      <c r="C385" s="25"/>
      <c r="D385" s="31"/>
      <c r="E385" s="31"/>
      <c r="F385" s="31"/>
      <c r="G385" s="29"/>
      <c r="H385" s="12"/>
      <c r="I385" s="12"/>
      <c r="J385" s="12"/>
      <c r="K385" s="12"/>
      <c r="L385" s="18" t="str">
        <f t="shared" si="1"/>
        <v>#DIV/0!</v>
      </c>
      <c r="M385" s="18" t="str">
        <f t="shared" si="2"/>
        <v>#DIV/0!</v>
      </c>
      <c r="N385" s="12" t="str">
        <f t="shared" si="4"/>
        <v/>
      </c>
      <c r="O385" s="18" t="str">
        <f t="shared" si="3"/>
        <v>#DIV/0!</v>
      </c>
      <c r="P385" s="12"/>
    </row>
    <row r="386">
      <c r="C386" s="25"/>
      <c r="D386" s="31"/>
      <c r="E386" s="31"/>
      <c r="F386" s="31"/>
      <c r="G386" s="29"/>
      <c r="H386" s="12"/>
      <c r="I386" s="12"/>
      <c r="J386" s="12"/>
      <c r="K386" s="12"/>
      <c r="L386" s="18" t="str">
        <f t="shared" si="1"/>
        <v>#DIV/0!</v>
      </c>
      <c r="M386" s="18" t="str">
        <f t="shared" si="2"/>
        <v>#DIV/0!</v>
      </c>
      <c r="N386" s="12" t="str">
        <f t="shared" si="4"/>
        <v/>
      </c>
      <c r="O386" s="18" t="str">
        <f t="shared" si="3"/>
        <v>#DIV/0!</v>
      </c>
      <c r="P386" s="12"/>
    </row>
    <row r="387">
      <c r="C387" s="25"/>
      <c r="D387" s="31"/>
      <c r="E387" s="31"/>
      <c r="F387" s="31"/>
      <c r="G387" s="29"/>
      <c r="H387" s="12"/>
      <c r="I387" s="12"/>
      <c r="J387" s="12"/>
      <c r="K387" s="12"/>
      <c r="L387" s="18" t="str">
        <f t="shared" si="1"/>
        <v>#DIV/0!</v>
      </c>
      <c r="M387" s="18" t="str">
        <f t="shared" si="2"/>
        <v>#DIV/0!</v>
      </c>
      <c r="N387" s="12" t="str">
        <f t="shared" si="4"/>
        <v/>
      </c>
      <c r="O387" s="18" t="str">
        <f t="shared" si="3"/>
        <v>#DIV/0!</v>
      </c>
      <c r="P387" s="12"/>
    </row>
    <row r="388">
      <c r="C388" s="25"/>
      <c r="D388" s="31"/>
      <c r="E388" s="31"/>
      <c r="F388" s="31"/>
      <c r="G388" s="29"/>
      <c r="H388" s="12"/>
      <c r="I388" s="12"/>
      <c r="J388" s="12"/>
      <c r="K388" s="12"/>
      <c r="L388" s="18" t="str">
        <f t="shared" si="1"/>
        <v>#DIV/0!</v>
      </c>
      <c r="M388" s="18" t="str">
        <f t="shared" si="2"/>
        <v>#DIV/0!</v>
      </c>
      <c r="N388" s="12" t="str">
        <f t="shared" si="4"/>
        <v/>
      </c>
      <c r="O388" s="18" t="str">
        <f t="shared" si="3"/>
        <v>#DIV/0!</v>
      </c>
      <c r="P388" s="12"/>
    </row>
    <row r="389">
      <c r="C389" s="25"/>
      <c r="D389" s="31"/>
      <c r="E389" s="31"/>
      <c r="F389" s="31"/>
      <c r="G389" s="29"/>
      <c r="H389" s="12"/>
      <c r="I389" s="12"/>
      <c r="J389" s="12"/>
      <c r="K389" s="12"/>
      <c r="L389" s="18" t="str">
        <f t="shared" si="1"/>
        <v>#DIV/0!</v>
      </c>
      <c r="M389" s="18" t="str">
        <f t="shared" si="2"/>
        <v>#DIV/0!</v>
      </c>
      <c r="N389" s="12" t="str">
        <f t="shared" si="4"/>
        <v/>
      </c>
      <c r="O389" s="18" t="str">
        <f t="shared" si="3"/>
        <v>#DIV/0!</v>
      </c>
      <c r="P389" s="12"/>
    </row>
    <row r="390">
      <c r="C390" s="25"/>
      <c r="D390" s="31"/>
      <c r="E390" s="31"/>
      <c r="F390" s="31"/>
      <c r="G390" s="29"/>
      <c r="H390" s="12"/>
      <c r="I390" s="12"/>
      <c r="J390" s="12"/>
      <c r="K390" s="12"/>
      <c r="L390" s="18" t="str">
        <f t="shared" si="1"/>
        <v>#DIV/0!</v>
      </c>
      <c r="M390" s="18" t="str">
        <f t="shared" si="2"/>
        <v>#DIV/0!</v>
      </c>
      <c r="N390" s="12" t="str">
        <f t="shared" si="4"/>
        <v/>
      </c>
      <c r="O390" s="18" t="str">
        <f t="shared" si="3"/>
        <v>#DIV/0!</v>
      </c>
      <c r="P390" s="12"/>
    </row>
    <row r="391">
      <c r="C391" s="25"/>
      <c r="D391" s="31"/>
      <c r="E391" s="31"/>
      <c r="F391" s="31"/>
      <c r="G391" s="29"/>
      <c r="H391" s="12"/>
      <c r="I391" s="12"/>
      <c r="J391" s="12"/>
      <c r="K391" s="12"/>
      <c r="L391" s="18" t="str">
        <f t="shared" si="1"/>
        <v>#DIV/0!</v>
      </c>
      <c r="M391" s="18" t="str">
        <f t="shared" si="2"/>
        <v>#DIV/0!</v>
      </c>
      <c r="N391" s="12" t="str">
        <f t="shared" si="4"/>
        <v/>
      </c>
      <c r="O391" s="18" t="str">
        <f t="shared" si="3"/>
        <v>#DIV/0!</v>
      </c>
      <c r="P391" s="12"/>
    </row>
    <row r="392">
      <c r="C392" s="25"/>
      <c r="D392" s="31"/>
      <c r="E392" s="31"/>
      <c r="F392" s="31"/>
      <c r="G392" s="29"/>
      <c r="H392" s="12"/>
      <c r="I392" s="12"/>
      <c r="J392" s="12"/>
      <c r="K392" s="12"/>
      <c r="L392" s="18" t="str">
        <f t="shared" si="1"/>
        <v>#DIV/0!</v>
      </c>
      <c r="M392" s="18" t="str">
        <f t="shared" si="2"/>
        <v>#DIV/0!</v>
      </c>
      <c r="N392" s="12" t="str">
        <f t="shared" si="4"/>
        <v/>
      </c>
      <c r="O392" s="18" t="str">
        <f t="shared" si="3"/>
        <v>#DIV/0!</v>
      </c>
      <c r="P392" s="12"/>
    </row>
    <row r="393">
      <c r="C393" s="25"/>
      <c r="D393" s="31"/>
      <c r="E393" s="31"/>
      <c r="F393" s="31"/>
      <c r="G393" s="29"/>
      <c r="H393" s="12"/>
      <c r="I393" s="12"/>
      <c r="J393" s="12"/>
      <c r="K393" s="12"/>
      <c r="L393" s="18" t="str">
        <f t="shared" si="1"/>
        <v>#DIV/0!</v>
      </c>
      <c r="M393" s="18" t="str">
        <f t="shared" si="2"/>
        <v>#DIV/0!</v>
      </c>
      <c r="N393" s="12" t="str">
        <f t="shared" si="4"/>
        <v/>
      </c>
      <c r="O393" s="18" t="str">
        <f t="shared" si="3"/>
        <v>#DIV/0!</v>
      </c>
      <c r="P393" s="12"/>
    </row>
    <row r="394">
      <c r="C394" s="25"/>
      <c r="D394" s="31"/>
      <c r="E394" s="31"/>
      <c r="F394" s="31"/>
      <c r="G394" s="29"/>
      <c r="H394" s="12"/>
      <c r="I394" s="12"/>
      <c r="J394" s="12"/>
      <c r="K394" s="12"/>
      <c r="L394" s="18" t="str">
        <f t="shared" si="1"/>
        <v>#DIV/0!</v>
      </c>
      <c r="M394" s="18" t="str">
        <f t="shared" si="2"/>
        <v>#DIV/0!</v>
      </c>
      <c r="N394" s="12" t="str">
        <f t="shared" si="4"/>
        <v/>
      </c>
      <c r="O394" s="18" t="str">
        <f t="shared" si="3"/>
        <v>#DIV/0!</v>
      </c>
      <c r="P394" s="12"/>
    </row>
    <row r="395">
      <c r="C395" s="25"/>
      <c r="D395" s="31"/>
      <c r="E395" s="31"/>
      <c r="F395" s="31"/>
      <c r="G395" s="29"/>
      <c r="H395" s="12"/>
      <c r="I395" s="12"/>
      <c r="J395" s="12"/>
      <c r="K395" s="12"/>
      <c r="L395" s="18" t="str">
        <f t="shared" si="1"/>
        <v>#DIV/0!</v>
      </c>
      <c r="M395" s="18" t="str">
        <f t="shared" si="2"/>
        <v>#DIV/0!</v>
      </c>
      <c r="N395" s="12" t="str">
        <f t="shared" si="4"/>
        <v/>
      </c>
      <c r="O395" s="18" t="str">
        <f t="shared" si="3"/>
        <v>#DIV/0!</v>
      </c>
      <c r="P395" s="12"/>
    </row>
    <row r="396">
      <c r="C396" s="25"/>
      <c r="D396" s="31"/>
      <c r="E396" s="31"/>
      <c r="F396" s="31"/>
      <c r="G396" s="29"/>
      <c r="H396" s="12"/>
      <c r="I396" s="12"/>
      <c r="J396" s="12"/>
      <c r="K396" s="12"/>
      <c r="L396" s="18" t="str">
        <f t="shared" si="1"/>
        <v>#DIV/0!</v>
      </c>
      <c r="M396" s="18" t="str">
        <f t="shared" si="2"/>
        <v>#DIV/0!</v>
      </c>
      <c r="N396" s="12" t="str">
        <f t="shared" si="4"/>
        <v/>
      </c>
      <c r="O396" s="18" t="str">
        <f t="shared" si="3"/>
        <v>#DIV/0!</v>
      </c>
      <c r="P396" s="12"/>
    </row>
    <row r="397">
      <c r="C397" s="25"/>
      <c r="D397" s="31"/>
      <c r="E397" s="31"/>
      <c r="F397" s="31"/>
      <c r="G397" s="29"/>
      <c r="H397" s="12"/>
      <c r="I397" s="12"/>
      <c r="J397" s="12"/>
      <c r="K397" s="12"/>
      <c r="L397" s="18" t="str">
        <f t="shared" si="1"/>
        <v>#DIV/0!</v>
      </c>
      <c r="M397" s="18" t="str">
        <f t="shared" si="2"/>
        <v>#DIV/0!</v>
      </c>
      <c r="N397" s="12" t="str">
        <f t="shared" si="4"/>
        <v/>
      </c>
      <c r="O397" s="18" t="str">
        <f t="shared" si="3"/>
        <v>#DIV/0!</v>
      </c>
      <c r="P397" s="12"/>
    </row>
    <row r="398">
      <c r="C398" s="25"/>
      <c r="D398" s="31"/>
      <c r="E398" s="31"/>
      <c r="F398" s="31"/>
      <c r="G398" s="29"/>
      <c r="H398" s="12"/>
      <c r="I398" s="12"/>
      <c r="J398" s="12"/>
      <c r="K398" s="12"/>
      <c r="L398" s="18" t="str">
        <f t="shared" si="1"/>
        <v>#DIV/0!</v>
      </c>
      <c r="M398" s="18" t="str">
        <f t="shared" si="2"/>
        <v>#DIV/0!</v>
      </c>
      <c r="N398" s="12" t="str">
        <f t="shared" si="4"/>
        <v/>
      </c>
      <c r="O398" s="18" t="str">
        <f t="shared" si="3"/>
        <v>#DIV/0!</v>
      </c>
      <c r="P398" s="12"/>
    </row>
    <row r="399">
      <c r="C399" s="25"/>
      <c r="D399" s="31"/>
      <c r="E399" s="31"/>
      <c r="F399" s="31"/>
      <c r="G399" s="29"/>
      <c r="H399" s="12"/>
      <c r="I399" s="12"/>
      <c r="J399" s="12"/>
      <c r="K399" s="12"/>
      <c r="L399" s="18" t="str">
        <f t="shared" si="1"/>
        <v>#DIV/0!</v>
      </c>
      <c r="M399" s="18" t="str">
        <f t="shared" si="2"/>
        <v>#DIV/0!</v>
      </c>
      <c r="N399" s="12" t="str">
        <f t="shared" si="4"/>
        <v/>
      </c>
      <c r="O399" s="18" t="str">
        <f t="shared" si="3"/>
        <v>#DIV/0!</v>
      </c>
      <c r="P399" s="12"/>
    </row>
    <row r="400">
      <c r="C400" s="25"/>
      <c r="D400" s="31"/>
      <c r="E400" s="31"/>
      <c r="F400" s="31"/>
      <c r="G400" s="29"/>
      <c r="H400" s="12"/>
      <c r="I400" s="12"/>
      <c r="J400" s="12"/>
      <c r="K400" s="12"/>
      <c r="L400" s="18" t="str">
        <f t="shared" si="1"/>
        <v>#DIV/0!</v>
      </c>
      <c r="M400" s="18" t="str">
        <f t="shared" si="2"/>
        <v>#DIV/0!</v>
      </c>
      <c r="N400" s="12" t="str">
        <f t="shared" si="4"/>
        <v/>
      </c>
      <c r="O400" s="18" t="str">
        <f t="shared" si="3"/>
        <v>#DIV/0!</v>
      </c>
      <c r="P400" s="12"/>
    </row>
    <row r="401">
      <c r="C401" s="25"/>
      <c r="D401" s="31"/>
      <c r="E401" s="31"/>
      <c r="F401" s="31"/>
      <c r="G401" s="29"/>
      <c r="H401" s="12"/>
      <c r="I401" s="12"/>
      <c r="J401" s="12"/>
      <c r="K401" s="12"/>
      <c r="L401" s="18" t="str">
        <f t="shared" si="1"/>
        <v>#DIV/0!</v>
      </c>
      <c r="M401" s="18" t="str">
        <f t="shared" si="2"/>
        <v>#DIV/0!</v>
      </c>
      <c r="N401" s="12" t="str">
        <f t="shared" si="4"/>
        <v/>
      </c>
      <c r="O401" s="18" t="str">
        <f t="shared" si="3"/>
        <v>#DIV/0!</v>
      </c>
      <c r="P401" s="12"/>
    </row>
    <row r="402">
      <c r="C402" s="25"/>
      <c r="D402" s="31"/>
      <c r="E402" s="31"/>
      <c r="F402" s="31"/>
      <c r="G402" s="29"/>
      <c r="H402" s="12"/>
      <c r="I402" s="12"/>
      <c r="J402" s="12"/>
      <c r="K402" s="12"/>
      <c r="L402" s="18" t="str">
        <f t="shared" si="1"/>
        <v>#DIV/0!</v>
      </c>
      <c r="M402" s="18" t="str">
        <f t="shared" si="2"/>
        <v>#DIV/0!</v>
      </c>
      <c r="N402" s="12" t="str">
        <f t="shared" si="4"/>
        <v/>
      </c>
      <c r="O402" s="18" t="str">
        <f t="shared" si="3"/>
        <v>#DIV/0!</v>
      </c>
      <c r="P402" s="12"/>
    </row>
    <row r="403">
      <c r="C403" s="25"/>
      <c r="D403" s="31"/>
      <c r="E403" s="31"/>
      <c r="F403" s="31"/>
      <c r="G403" s="29"/>
      <c r="H403" s="12"/>
      <c r="I403" s="12"/>
      <c r="J403" s="12"/>
      <c r="K403" s="12"/>
      <c r="L403" s="18" t="str">
        <f t="shared" si="1"/>
        <v>#DIV/0!</v>
      </c>
      <c r="M403" s="18" t="str">
        <f t="shared" si="2"/>
        <v>#DIV/0!</v>
      </c>
      <c r="N403" s="12" t="str">
        <f t="shared" si="4"/>
        <v/>
      </c>
      <c r="O403" s="18" t="str">
        <f t="shared" si="3"/>
        <v>#DIV/0!</v>
      </c>
      <c r="P403" s="12"/>
    </row>
    <row r="404">
      <c r="C404" s="25"/>
      <c r="D404" s="31"/>
      <c r="E404" s="31"/>
      <c r="F404" s="31"/>
      <c r="G404" s="29"/>
      <c r="H404" s="12"/>
      <c r="I404" s="12"/>
      <c r="J404" s="12"/>
      <c r="K404" s="12"/>
      <c r="L404" s="18" t="str">
        <f t="shared" si="1"/>
        <v>#DIV/0!</v>
      </c>
      <c r="M404" s="18" t="str">
        <f t="shared" si="2"/>
        <v>#DIV/0!</v>
      </c>
      <c r="N404" s="12" t="str">
        <f t="shared" si="4"/>
        <v/>
      </c>
      <c r="O404" s="18" t="str">
        <f t="shared" si="3"/>
        <v>#DIV/0!</v>
      </c>
      <c r="P404" s="12"/>
    </row>
    <row r="405">
      <c r="C405" s="25"/>
      <c r="D405" s="31"/>
      <c r="E405" s="31"/>
      <c r="F405" s="31"/>
      <c r="G405" s="29"/>
      <c r="H405" s="12"/>
      <c r="I405" s="12"/>
      <c r="J405" s="12"/>
      <c r="K405" s="12"/>
      <c r="L405" s="18" t="str">
        <f t="shared" si="1"/>
        <v>#DIV/0!</v>
      </c>
      <c r="M405" s="18" t="str">
        <f t="shared" si="2"/>
        <v>#DIV/0!</v>
      </c>
      <c r="N405" s="12" t="str">
        <f t="shared" si="4"/>
        <v/>
      </c>
      <c r="O405" s="18" t="str">
        <f t="shared" si="3"/>
        <v>#DIV/0!</v>
      </c>
      <c r="P405" s="12"/>
    </row>
    <row r="406">
      <c r="C406" s="25"/>
      <c r="D406" s="31"/>
      <c r="E406" s="31"/>
      <c r="F406" s="31"/>
      <c r="G406" s="29"/>
      <c r="H406" s="12"/>
      <c r="I406" s="12"/>
      <c r="J406" s="12"/>
      <c r="K406" s="12"/>
      <c r="L406" s="18" t="str">
        <f t="shared" si="1"/>
        <v>#DIV/0!</v>
      </c>
      <c r="M406" s="18" t="str">
        <f t="shared" si="2"/>
        <v>#DIV/0!</v>
      </c>
      <c r="N406" s="12" t="str">
        <f t="shared" si="4"/>
        <v/>
      </c>
      <c r="O406" s="18" t="str">
        <f t="shared" si="3"/>
        <v>#DIV/0!</v>
      </c>
      <c r="P406" s="12"/>
    </row>
    <row r="407">
      <c r="C407" s="25"/>
      <c r="D407" s="31"/>
      <c r="E407" s="31"/>
      <c r="F407" s="31"/>
      <c r="G407" s="29"/>
      <c r="H407" s="12"/>
      <c r="I407" s="12"/>
      <c r="J407" s="12"/>
      <c r="K407" s="12"/>
      <c r="L407" s="18" t="str">
        <f t="shared" si="1"/>
        <v>#DIV/0!</v>
      </c>
      <c r="M407" s="18" t="str">
        <f t="shared" si="2"/>
        <v>#DIV/0!</v>
      </c>
      <c r="N407" s="12" t="str">
        <f t="shared" si="4"/>
        <v/>
      </c>
      <c r="O407" s="18" t="str">
        <f t="shared" si="3"/>
        <v>#DIV/0!</v>
      </c>
      <c r="P407" s="12"/>
    </row>
    <row r="408">
      <c r="C408" s="25"/>
      <c r="D408" s="31"/>
      <c r="E408" s="31"/>
      <c r="F408" s="31"/>
      <c r="G408" s="29"/>
      <c r="H408" s="12"/>
      <c r="I408" s="12"/>
      <c r="J408" s="12"/>
      <c r="K408" s="12"/>
      <c r="L408" s="18" t="str">
        <f t="shared" si="1"/>
        <v>#DIV/0!</v>
      </c>
      <c r="M408" s="18" t="str">
        <f t="shared" si="2"/>
        <v>#DIV/0!</v>
      </c>
      <c r="N408" s="12" t="str">
        <f t="shared" si="4"/>
        <v/>
      </c>
      <c r="O408" s="18" t="str">
        <f t="shared" si="3"/>
        <v>#DIV/0!</v>
      </c>
      <c r="P408" s="12"/>
    </row>
    <row r="409">
      <c r="C409" s="25"/>
      <c r="D409" s="31"/>
      <c r="E409" s="31"/>
      <c r="F409" s="31"/>
      <c r="G409" s="29"/>
      <c r="H409" s="12"/>
      <c r="I409" s="12"/>
      <c r="J409" s="12"/>
      <c r="K409" s="12"/>
      <c r="L409" s="18" t="str">
        <f t="shared" si="1"/>
        <v>#DIV/0!</v>
      </c>
      <c r="M409" s="18" t="str">
        <f t="shared" si="2"/>
        <v>#DIV/0!</v>
      </c>
      <c r="N409" s="12" t="str">
        <f t="shared" si="4"/>
        <v/>
      </c>
      <c r="O409" s="18" t="str">
        <f t="shared" si="3"/>
        <v>#DIV/0!</v>
      </c>
      <c r="P409" s="12"/>
    </row>
    <row r="410">
      <c r="C410" s="25"/>
      <c r="D410" s="31"/>
      <c r="E410" s="31"/>
      <c r="F410" s="31"/>
      <c r="G410" s="29"/>
      <c r="H410" s="12"/>
      <c r="I410" s="12"/>
      <c r="J410" s="12"/>
      <c r="K410" s="12"/>
      <c r="L410" s="18" t="str">
        <f t="shared" si="1"/>
        <v>#DIV/0!</v>
      </c>
      <c r="M410" s="18" t="str">
        <f t="shared" si="2"/>
        <v>#DIV/0!</v>
      </c>
      <c r="N410" s="12" t="str">
        <f t="shared" si="4"/>
        <v/>
      </c>
      <c r="O410" s="18" t="str">
        <f t="shared" si="3"/>
        <v>#DIV/0!</v>
      </c>
      <c r="P410" s="12"/>
    </row>
    <row r="411">
      <c r="C411" s="25"/>
      <c r="D411" s="31"/>
      <c r="E411" s="31"/>
      <c r="F411" s="31"/>
      <c r="G411" s="29"/>
      <c r="H411" s="12"/>
      <c r="I411" s="12"/>
      <c r="J411" s="12"/>
      <c r="K411" s="12"/>
      <c r="L411" s="18" t="str">
        <f t="shared" si="1"/>
        <v>#DIV/0!</v>
      </c>
      <c r="M411" s="18" t="str">
        <f t="shared" si="2"/>
        <v>#DIV/0!</v>
      </c>
      <c r="N411" s="12" t="str">
        <f t="shared" si="4"/>
        <v/>
      </c>
      <c r="O411" s="18" t="str">
        <f t="shared" si="3"/>
        <v>#DIV/0!</v>
      </c>
      <c r="P411" s="12"/>
    </row>
    <row r="412">
      <c r="C412" s="25"/>
      <c r="D412" s="31"/>
      <c r="E412" s="31"/>
      <c r="F412" s="31"/>
      <c r="G412" s="29"/>
      <c r="H412" s="12"/>
      <c r="I412" s="12"/>
      <c r="J412" s="12"/>
      <c r="K412" s="12"/>
      <c r="L412" s="18" t="str">
        <f t="shared" si="1"/>
        <v>#DIV/0!</v>
      </c>
      <c r="M412" s="18" t="str">
        <f t="shared" si="2"/>
        <v>#DIV/0!</v>
      </c>
      <c r="N412" s="12" t="str">
        <f t="shared" si="4"/>
        <v/>
      </c>
      <c r="O412" s="18" t="str">
        <f t="shared" si="3"/>
        <v>#DIV/0!</v>
      </c>
      <c r="P412" s="12"/>
    </row>
    <row r="413">
      <c r="C413" s="25"/>
      <c r="D413" s="31"/>
      <c r="E413" s="31"/>
      <c r="F413" s="31"/>
      <c r="G413" s="29"/>
      <c r="H413" s="12"/>
      <c r="I413" s="12"/>
      <c r="J413" s="12"/>
      <c r="K413" s="12"/>
      <c r="L413" s="18" t="str">
        <f t="shared" si="1"/>
        <v>#DIV/0!</v>
      </c>
      <c r="M413" s="18" t="str">
        <f t="shared" si="2"/>
        <v>#DIV/0!</v>
      </c>
      <c r="N413" s="12" t="str">
        <f t="shared" si="4"/>
        <v/>
      </c>
      <c r="O413" s="18" t="str">
        <f t="shared" si="3"/>
        <v>#DIV/0!</v>
      </c>
      <c r="P413" s="12"/>
    </row>
    <row r="414">
      <c r="C414" s="25"/>
      <c r="D414" s="31"/>
      <c r="E414" s="31"/>
      <c r="F414" s="31"/>
      <c r="G414" s="29"/>
      <c r="H414" s="12"/>
      <c r="I414" s="12"/>
      <c r="J414" s="12"/>
      <c r="K414" s="12"/>
      <c r="L414" s="18" t="str">
        <f t="shared" si="1"/>
        <v>#DIV/0!</v>
      </c>
      <c r="M414" s="18" t="str">
        <f t="shared" si="2"/>
        <v>#DIV/0!</v>
      </c>
      <c r="N414" s="12" t="str">
        <f t="shared" si="4"/>
        <v/>
      </c>
      <c r="O414" s="18" t="str">
        <f t="shared" si="3"/>
        <v>#DIV/0!</v>
      </c>
      <c r="P414" s="12"/>
    </row>
    <row r="415">
      <c r="C415" s="25"/>
      <c r="D415" s="31"/>
      <c r="E415" s="31"/>
      <c r="F415" s="31"/>
      <c r="G415" s="29"/>
      <c r="H415" s="12"/>
      <c r="I415" s="12"/>
      <c r="J415" s="12"/>
      <c r="K415" s="12"/>
      <c r="L415" s="18" t="str">
        <f t="shared" si="1"/>
        <v>#DIV/0!</v>
      </c>
      <c r="M415" s="18" t="str">
        <f t="shared" si="2"/>
        <v>#DIV/0!</v>
      </c>
      <c r="N415" s="12" t="str">
        <f t="shared" si="4"/>
        <v/>
      </c>
      <c r="O415" s="18" t="str">
        <f t="shared" si="3"/>
        <v>#DIV/0!</v>
      </c>
      <c r="P415" s="12"/>
    </row>
    <row r="416">
      <c r="C416" s="25"/>
      <c r="D416" s="31"/>
      <c r="E416" s="31"/>
      <c r="F416" s="31"/>
      <c r="G416" s="29"/>
      <c r="H416" s="12"/>
      <c r="I416" s="12"/>
      <c r="J416" s="12"/>
      <c r="K416" s="12"/>
      <c r="L416" s="18" t="str">
        <f t="shared" si="1"/>
        <v>#DIV/0!</v>
      </c>
      <c r="M416" s="18" t="str">
        <f t="shared" si="2"/>
        <v>#DIV/0!</v>
      </c>
      <c r="N416" s="12" t="str">
        <f t="shared" si="4"/>
        <v/>
      </c>
      <c r="O416" s="18" t="str">
        <f t="shared" si="3"/>
        <v>#DIV/0!</v>
      </c>
      <c r="P416" s="12"/>
    </row>
    <row r="417">
      <c r="C417" s="25"/>
      <c r="D417" s="31"/>
      <c r="E417" s="31"/>
      <c r="F417" s="31"/>
      <c r="G417" s="29"/>
      <c r="H417" s="12"/>
      <c r="I417" s="12"/>
      <c r="J417" s="12"/>
      <c r="K417" s="12"/>
      <c r="L417" s="18" t="str">
        <f t="shared" si="1"/>
        <v>#DIV/0!</v>
      </c>
      <c r="M417" s="18" t="str">
        <f t="shared" si="2"/>
        <v>#DIV/0!</v>
      </c>
      <c r="N417" s="12" t="str">
        <f t="shared" si="4"/>
        <v/>
      </c>
      <c r="O417" s="18" t="str">
        <f t="shared" si="3"/>
        <v>#DIV/0!</v>
      </c>
      <c r="P417" s="12"/>
    </row>
    <row r="418">
      <c r="C418" s="25"/>
      <c r="D418" s="31"/>
      <c r="E418" s="31"/>
      <c r="F418" s="31"/>
      <c r="G418" s="29"/>
      <c r="H418" s="12"/>
      <c r="I418" s="12"/>
      <c r="J418" s="12"/>
      <c r="K418" s="12"/>
      <c r="L418" s="18" t="str">
        <f t="shared" si="1"/>
        <v>#DIV/0!</v>
      </c>
      <c r="M418" s="18" t="str">
        <f t="shared" si="2"/>
        <v>#DIV/0!</v>
      </c>
      <c r="N418" s="12" t="str">
        <f t="shared" si="4"/>
        <v/>
      </c>
      <c r="O418" s="18" t="str">
        <f t="shared" si="3"/>
        <v>#DIV/0!</v>
      </c>
      <c r="P418" s="12"/>
    </row>
    <row r="419">
      <c r="C419" s="25"/>
      <c r="D419" s="31"/>
      <c r="E419" s="31"/>
      <c r="F419" s="31"/>
      <c r="G419" s="29"/>
      <c r="H419" s="12"/>
      <c r="I419" s="12"/>
      <c r="J419" s="12"/>
      <c r="K419" s="12"/>
      <c r="L419" s="18" t="str">
        <f t="shared" si="1"/>
        <v>#DIV/0!</v>
      </c>
      <c r="M419" s="18" t="str">
        <f t="shared" si="2"/>
        <v>#DIV/0!</v>
      </c>
      <c r="N419" s="12" t="str">
        <f t="shared" si="4"/>
        <v/>
      </c>
      <c r="O419" s="18" t="str">
        <f t="shared" si="3"/>
        <v>#DIV/0!</v>
      </c>
      <c r="P419" s="12"/>
    </row>
    <row r="420">
      <c r="C420" s="25"/>
      <c r="D420" s="31"/>
      <c r="E420" s="31"/>
      <c r="F420" s="31"/>
      <c r="G420" s="29"/>
      <c r="H420" s="12"/>
      <c r="I420" s="12"/>
      <c r="J420" s="12"/>
      <c r="K420" s="12"/>
      <c r="L420" s="18" t="str">
        <f t="shared" si="1"/>
        <v>#DIV/0!</v>
      </c>
      <c r="M420" s="18" t="str">
        <f t="shared" si="2"/>
        <v>#DIV/0!</v>
      </c>
      <c r="N420" s="12" t="str">
        <f t="shared" si="4"/>
        <v/>
      </c>
      <c r="O420" s="18" t="str">
        <f t="shared" si="3"/>
        <v>#DIV/0!</v>
      </c>
      <c r="P420" s="12"/>
    </row>
    <row r="421">
      <c r="C421" s="25"/>
      <c r="D421" s="31"/>
      <c r="E421" s="31"/>
      <c r="F421" s="31"/>
      <c r="G421" s="29"/>
      <c r="H421" s="12"/>
      <c r="I421" s="12"/>
      <c r="J421" s="12"/>
      <c r="K421" s="12"/>
      <c r="L421" s="18" t="str">
        <f t="shared" si="1"/>
        <v>#DIV/0!</v>
      </c>
      <c r="M421" s="18" t="str">
        <f t="shared" si="2"/>
        <v>#DIV/0!</v>
      </c>
      <c r="N421" s="12" t="str">
        <f t="shared" si="4"/>
        <v/>
      </c>
      <c r="O421" s="18" t="str">
        <f t="shared" si="3"/>
        <v>#DIV/0!</v>
      </c>
      <c r="P421" s="12"/>
    </row>
    <row r="422">
      <c r="C422" s="25"/>
      <c r="D422" s="31"/>
      <c r="E422" s="31"/>
      <c r="F422" s="31"/>
      <c r="G422" s="29"/>
      <c r="H422" s="12"/>
      <c r="I422" s="12"/>
      <c r="J422" s="12"/>
      <c r="K422" s="12"/>
      <c r="L422" s="18" t="str">
        <f t="shared" si="1"/>
        <v>#DIV/0!</v>
      </c>
      <c r="M422" s="18" t="str">
        <f t="shared" si="2"/>
        <v>#DIV/0!</v>
      </c>
      <c r="N422" s="12" t="str">
        <f t="shared" si="4"/>
        <v/>
      </c>
      <c r="O422" s="18" t="str">
        <f t="shared" si="3"/>
        <v>#DIV/0!</v>
      </c>
      <c r="P422" s="12"/>
    </row>
    <row r="423">
      <c r="C423" s="25"/>
      <c r="D423" s="31"/>
      <c r="E423" s="31"/>
      <c r="F423" s="31"/>
      <c r="G423" s="29"/>
      <c r="H423" s="12"/>
      <c r="I423" s="12"/>
      <c r="J423" s="12"/>
      <c r="K423" s="12"/>
      <c r="L423" s="18" t="str">
        <f t="shared" si="1"/>
        <v>#DIV/0!</v>
      </c>
      <c r="M423" s="18" t="str">
        <f t="shared" si="2"/>
        <v>#DIV/0!</v>
      </c>
      <c r="N423" s="12" t="str">
        <f t="shared" si="4"/>
        <v/>
      </c>
      <c r="O423" s="18" t="str">
        <f t="shared" si="3"/>
        <v>#DIV/0!</v>
      </c>
      <c r="P423" s="12"/>
    </row>
    <row r="424">
      <c r="C424" s="25"/>
      <c r="D424" s="31"/>
      <c r="E424" s="31"/>
      <c r="F424" s="31"/>
      <c r="G424" s="29"/>
      <c r="H424" s="12"/>
      <c r="I424" s="12"/>
      <c r="J424" s="12"/>
      <c r="K424" s="12"/>
      <c r="L424" s="18" t="str">
        <f t="shared" si="1"/>
        <v>#DIV/0!</v>
      </c>
      <c r="M424" s="18" t="str">
        <f t="shared" si="2"/>
        <v>#DIV/0!</v>
      </c>
      <c r="N424" s="12" t="str">
        <f t="shared" si="4"/>
        <v/>
      </c>
      <c r="O424" s="18" t="str">
        <f t="shared" si="3"/>
        <v>#DIV/0!</v>
      </c>
      <c r="P424" s="12"/>
    </row>
    <row r="425">
      <c r="C425" s="25"/>
      <c r="D425" s="31"/>
      <c r="E425" s="31"/>
      <c r="F425" s="31"/>
      <c r="G425" s="29"/>
      <c r="H425" s="12"/>
      <c r="I425" s="12"/>
      <c r="J425" s="12"/>
      <c r="K425" s="12"/>
      <c r="L425" s="18" t="str">
        <f t="shared" si="1"/>
        <v>#DIV/0!</v>
      </c>
      <c r="M425" s="18" t="str">
        <f t="shared" si="2"/>
        <v>#DIV/0!</v>
      </c>
      <c r="N425" s="12" t="str">
        <f t="shared" si="4"/>
        <v/>
      </c>
      <c r="O425" s="18" t="str">
        <f t="shared" si="3"/>
        <v>#DIV/0!</v>
      </c>
      <c r="P425" s="12"/>
    </row>
    <row r="426">
      <c r="C426" s="25"/>
      <c r="D426" s="31"/>
      <c r="E426" s="31"/>
      <c r="F426" s="31"/>
      <c r="G426" s="29"/>
      <c r="H426" s="12"/>
      <c r="I426" s="12"/>
      <c r="J426" s="12"/>
      <c r="K426" s="12"/>
      <c r="L426" s="18" t="str">
        <f t="shared" si="1"/>
        <v>#DIV/0!</v>
      </c>
      <c r="M426" s="18" t="str">
        <f t="shared" si="2"/>
        <v>#DIV/0!</v>
      </c>
      <c r="N426" s="12" t="str">
        <f t="shared" si="4"/>
        <v/>
      </c>
      <c r="O426" s="18" t="str">
        <f t="shared" si="3"/>
        <v>#DIV/0!</v>
      </c>
      <c r="P426" s="12"/>
    </row>
    <row r="427">
      <c r="C427" s="25"/>
      <c r="D427" s="31"/>
      <c r="E427" s="31"/>
      <c r="F427" s="31"/>
      <c r="G427" s="29"/>
      <c r="H427" s="12"/>
      <c r="I427" s="12"/>
      <c r="J427" s="12"/>
      <c r="K427" s="12"/>
      <c r="L427" s="18" t="str">
        <f t="shared" si="1"/>
        <v>#DIV/0!</v>
      </c>
      <c r="M427" s="18" t="str">
        <f t="shared" si="2"/>
        <v>#DIV/0!</v>
      </c>
      <c r="N427" s="12" t="str">
        <f t="shared" si="4"/>
        <v/>
      </c>
      <c r="O427" s="18" t="str">
        <f t="shared" si="3"/>
        <v>#DIV/0!</v>
      </c>
      <c r="P427" s="12"/>
    </row>
    <row r="428">
      <c r="C428" s="25"/>
      <c r="D428" s="31"/>
      <c r="E428" s="31"/>
      <c r="F428" s="31"/>
      <c r="G428" s="29"/>
      <c r="H428" s="12"/>
      <c r="I428" s="12"/>
      <c r="J428" s="12"/>
      <c r="K428" s="12"/>
      <c r="L428" s="18" t="str">
        <f t="shared" si="1"/>
        <v>#DIV/0!</v>
      </c>
      <c r="M428" s="18" t="str">
        <f t="shared" si="2"/>
        <v>#DIV/0!</v>
      </c>
      <c r="N428" s="12" t="str">
        <f t="shared" si="4"/>
        <v/>
      </c>
      <c r="O428" s="18" t="str">
        <f t="shared" si="3"/>
        <v>#DIV/0!</v>
      </c>
      <c r="P428" s="12"/>
    </row>
    <row r="429">
      <c r="C429" s="25"/>
      <c r="D429" s="31"/>
      <c r="E429" s="31"/>
      <c r="F429" s="31"/>
      <c r="G429" s="29"/>
      <c r="H429" s="12"/>
      <c r="I429" s="12"/>
      <c r="J429" s="12"/>
      <c r="K429" s="12"/>
      <c r="L429" s="18" t="str">
        <f t="shared" si="1"/>
        <v>#DIV/0!</v>
      </c>
      <c r="M429" s="18" t="str">
        <f t="shared" si="2"/>
        <v>#DIV/0!</v>
      </c>
      <c r="N429" s="12" t="str">
        <f t="shared" si="4"/>
        <v/>
      </c>
      <c r="O429" s="18" t="str">
        <f t="shared" si="3"/>
        <v>#DIV/0!</v>
      </c>
      <c r="P429" s="12"/>
    </row>
    <row r="430">
      <c r="C430" s="25"/>
      <c r="D430" s="31"/>
      <c r="E430" s="31"/>
      <c r="F430" s="31"/>
      <c r="G430" s="29"/>
      <c r="H430" s="12"/>
      <c r="I430" s="12"/>
      <c r="J430" s="12"/>
      <c r="K430" s="12"/>
      <c r="L430" s="18" t="str">
        <f t="shared" si="1"/>
        <v>#DIV/0!</v>
      </c>
      <c r="M430" s="18" t="str">
        <f t="shared" si="2"/>
        <v>#DIV/0!</v>
      </c>
      <c r="N430" s="12" t="str">
        <f t="shared" si="4"/>
        <v/>
      </c>
      <c r="O430" s="18" t="str">
        <f t="shared" si="3"/>
        <v>#DIV/0!</v>
      </c>
      <c r="P430" s="12"/>
    </row>
    <row r="431">
      <c r="C431" s="25"/>
      <c r="D431" s="31"/>
      <c r="E431" s="31"/>
      <c r="F431" s="31"/>
      <c r="G431" s="29"/>
      <c r="H431" s="12"/>
      <c r="I431" s="12"/>
      <c r="J431" s="12"/>
      <c r="K431" s="12"/>
      <c r="L431" s="18" t="str">
        <f t="shared" si="1"/>
        <v>#DIV/0!</v>
      </c>
      <c r="M431" s="18" t="str">
        <f t="shared" si="2"/>
        <v>#DIV/0!</v>
      </c>
      <c r="N431" s="12" t="str">
        <f t="shared" si="4"/>
        <v/>
      </c>
      <c r="O431" s="18" t="str">
        <f t="shared" si="3"/>
        <v>#DIV/0!</v>
      </c>
      <c r="P431" s="12"/>
    </row>
    <row r="432">
      <c r="C432" s="25"/>
      <c r="D432" s="31"/>
      <c r="E432" s="31"/>
      <c r="F432" s="31"/>
      <c r="G432" s="29"/>
      <c r="H432" s="12"/>
      <c r="I432" s="12"/>
      <c r="J432" s="12"/>
      <c r="K432" s="12"/>
      <c r="L432" s="18" t="str">
        <f t="shared" si="1"/>
        <v>#DIV/0!</v>
      </c>
      <c r="M432" s="18" t="str">
        <f t="shared" si="2"/>
        <v>#DIV/0!</v>
      </c>
      <c r="N432" s="12" t="str">
        <f t="shared" si="4"/>
        <v/>
      </c>
      <c r="O432" s="18" t="str">
        <f t="shared" si="3"/>
        <v>#DIV/0!</v>
      </c>
      <c r="P432" s="12"/>
    </row>
    <row r="433">
      <c r="C433" s="25"/>
      <c r="D433" s="31"/>
      <c r="E433" s="31"/>
      <c r="F433" s="31"/>
      <c r="G433" s="29"/>
      <c r="H433" s="12"/>
      <c r="I433" s="12"/>
      <c r="J433" s="12"/>
      <c r="K433" s="12"/>
      <c r="L433" s="18" t="str">
        <f t="shared" si="1"/>
        <v>#DIV/0!</v>
      </c>
      <c r="M433" s="18" t="str">
        <f t="shared" si="2"/>
        <v>#DIV/0!</v>
      </c>
      <c r="N433" s="12" t="str">
        <f t="shared" si="4"/>
        <v/>
      </c>
      <c r="O433" s="18" t="str">
        <f t="shared" si="3"/>
        <v>#DIV/0!</v>
      </c>
      <c r="P433" s="12"/>
    </row>
    <row r="434">
      <c r="C434" s="25"/>
      <c r="D434" s="31"/>
      <c r="E434" s="31"/>
      <c r="F434" s="31"/>
      <c r="G434" s="29"/>
      <c r="H434" s="12"/>
      <c r="I434" s="12"/>
      <c r="J434" s="12"/>
      <c r="K434" s="12"/>
      <c r="L434" s="18" t="str">
        <f t="shared" si="1"/>
        <v>#DIV/0!</v>
      </c>
      <c r="M434" s="18" t="str">
        <f t="shared" si="2"/>
        <v>#DIV/0!</v>
      </c>
      <c r="N434" s="12" t="str">
        <f t="shared" si="4"/>
        <v/>
      </c>
      <c r="O434" s="18" t="str">
        <f t="shared" si="3"/>
        <v>#DIV/0!</v>
      </c>
      <c r="P434" s="12"/>
    </row>
    <row r="435">
      <c r="C435" s="25"/>
      <c r="D435" s="31"/>
      <c r="E435" s="31"/>
      <c r="F435" s="31"/>
      <c r="G435" s="29"/>
      <c r="H435" s="12"/>
      <c r="I435" s="12"/>
      <c r="J435" s="12"/>
      <c r="K435" s="12"/>
      <c r="L435" s="18" t="str">
        <f t="shared" si="1"/>
        <v>#DIV/0!</v>
      </c>
      <c r="M435" s="18" t="str">
        <f t="shared" si="2"/>
        <v>#DIV/0!</v>
      </c>
      <c r="N435" s="12" t="str">
        <f t="shared" si="4"/>
        <v/>
      </c>
      <c r="O435" s="18" t="str">
        <f t="shared" si="3"/>
        <v>#DIV/0!</v>
      </c>
      <c r="P435" s="12"/>
    </row>
    <row r="436">
      <c r="C436" s="25"/>
      <c r="D436" s="31"/>
      <c r="E436" s="31"/>
      <c r="F436" s="31"/>
      <c r="G436" s="29"/>
      <c r="H436" s="12"/>
      <c r="I436" s="12"/>
      <c r="J436" s="12"/>
      <c r="K436" s="12"/>
      <c r="L436" s="18" t="str">
        <f t="shared" si="1"/>
        <v>#DIV/0!</v>
      </c>
      <c r="M436" s="18" t="str">
        <f t="shared" si="2"/>
        <v>#DIV/0!</v>
      </c>
      <c r="N436" s="12" t="str">
        <f t="shared" si="4"/>
        <v/>
      </c>
      <c r="O436" s="18" t="str">
        <f t="shared" si="3"/>
        <v>#DIV/0!</v>
      </c>
      <c r="P436" s="12"/>
    </row>
    <row r="437">
      <c r="C437" s="25"/>
      <c r="D437" s="31"/>
      <c r="E437" s="31"/>
      <c r="F437" s="31"/>
      <c r="G437" s="29"/>
      <c r="H437" s="12"/>
      <c r="I437" s="12"/>
      <c r="J437" s="12"/>
      <c r="K437" s="12"/>
      <c r="L437" s="18" t="str">
        <f t="shared" si="1"/>
        <v>#DIV/0!</v>
      </c>
      <c r="M437" s="18" t="str">
        <f t="shared" si="2"/>
        <v>#DIV/0!</v>
      </c>
      <c r="N437" s="12" t="str">
        <f t="shared" si="4"/>
        <v/>
      </c>
      <c r="O437" s="18" t="str">
        <f t="shared" si="3"/>
        <v>#DIV/0!</v>
      </c>
      <c r="P437" s="12"/>
    </row>
    <row r="438">
      <c r="C438" s="25"/>
      <c r="D438" s="31"/>
      <c r="E438" s="31"/>
      <c r="F438" s="31"/>
      <c r="G438" s="29"/>
      <c r="H438" s="12"/>
      <c r="I438" s="12"/>
      <c r="J438" s="12"/>
      <c r="K438" s="12"/>
      <c r="L438" s="18" t="str">
        <f t="shared" si="1"/>
        <v>#DIV/0!</v>
      </c>
      <c r="M438" s="18" t="str">
        <f t="shared" si="2"/>
        <v>#DIV/0!</v>
      </c>
      <c r="N438" s="12" t="str">
        <f t="shared" si="4"/>
        <v/>
      </c>
      <c r="O438" s="18" t="str">
        <f t="shared" si="3"/>
        <v>#DIV/0!</v>
      </c>
      <c r="P438" s="12"/>
    </row>
    <row r="439">
      <c r="C439" s="25"/>
      <c r="D439" s="31"/>
      <c r="E439" s="31"/>
      <c r="F439" s="31"/>
      <c r="G439" s="29"/>
      <c r="H439" s="12"/>
      <c r="I439" s="12"/>
      <c r="J439" s="12"/>
      <c r="K439" s="12"/>
      <c r="L439" s="18" t="str">
        <f t="shared" si="1"/>
        <v>#DIV/0!</v>
      </c>
      <c r="M439" s="18" t="str">
        <f t="shared" si="2"/>
        <v>#DIV/0!</v>
      </c>
      <c r="N439" s="12" t="str">
        <f t="shared" si="4"/>
        <v/>
      </c>
      <c r="O439" s="18" t="str">
        <f t="shared" si="3"/>
        <v>#DIV/0!</v>
      </c>
      <c r="P439" s="12"/>
    </row>
    <row r="440">
      <c r="C440" s="25"/>
      <c r="D440" s="31"/>
      <c r="E440" s="31"/>
      <c r="F440" s="31"/>
      <c r="G440" s="29"/>
      <c r="H440" s="12"/>
      <c r="I440" s="12"/>
      <c r="J440" s="12"/>
      <c r="K440" s="12"/>
      <c r="L440" s="18" t="str">
        <f t="shared" si="1"/>
        <v>#DIV/0!</v>
      </c>
      <c r="M440" s="18" t="str">
        <f t="shared" si="2"/>
        <v>#DIV/0!</v>
      </c>
      <c r="N440" s="12" t="str">
        <f t="shared" si="4"/>
        <v/>
      </c>
      <c r="O440" s="18" t="str">
        <f t="shared" si="3"/>
        <v>#DIV/0!</v>
      </c>
      <c r="P440" s="12"/>
    </row>
    <row r="441">
      <c r="C441" s="25"/>
      <c r="D441" s="31"/>
      <c r="E441" s="31"/>
      <c r="F441" s="31"/>
      <c r="G441" s="29"/>
      <c r="H441" s="12"/>
      <c r="I441" s="12"/>
      <c r="J441" s="12"/>
      <c r="K441" s="12"/>
      <c r="L441" s="18" t="str">
        <f t="shared" si="1"/>
        <v>#DIV/0!</v>
      </c>
      <c r="M441" s="18" t="str">
        <f t="shared" si="2"/>
        <v>#DIV/0!</v>
      </c>
      <c r="N441" s="12" t="str">
        <f t="shared" si="4"/>
        <v/>
      </c>
      <c r="O441" s="18" t="str">
        <f t="shared" si="3"/>
        <v>#DIV/0!</v>
      </c>
      <c r="P441" s="12"/>
    </row>
    <row r="442">
      <c r="C442" s="25"/>
      <c r="D442" s="31"/>
      <c r="E442" s="31"/>
      <c r="F442" s="31"/>
      <c r="G442" s="29"/>
      <c r="H442" s="12"/>
      <c r="I442" s="12"/>
      <c r="J442" s="12"/>
      <c r="K442" s="12"/>
      <c r="L442" s="18" t="str">
        <f t="shared" si="1"/>
        <v>#DIV/0!</v>
      </c>
      <c r="M442" s="18" t="str">
        <f t="shared" si="2"/>
        <v>#DIV/0!</v>
      </c>
      <c r="N442" s="12" t="str">
        <f t="shared" si="4"/>
        <v/>
      </c>
      <c r="O442" s="18" t="str">
        <f t="shared" si="3"/>
        <v>#DIV/0!</v>
      </c>
      <c r="P442" s="12"/>
    </row>
    <row r="443">
      <c r="C443" s="25"/>
      <c r="D443" s="31"/>
      <c r="E443" s="31"/>
      <c r="F443" s="31"/>
      <c r="G443" s="29"/>
      <c r="H443" s="12"/>
      <c r="I443" s="12"/>
      <c r="J443" s="12"/>
      <c r="K443" s="12"/>
      <c r="L443" s="18" t="str">
        <f t="shared" si="1"/>
        <v>#DIV/0!</v>
      </c>
      <c r="M443" s="18" t="str">
        <f t="shared" si="2"/>
        <v>#DIV/0!</v>
      </c>
      <c r="N443" s="12" t="str">
        <f t="shared" si="4"/>
        <v/>
      </c>
      <c r="O443" s="18" t="str">
        <f t="shared" si="3"/>
        <v>#DIV/0!</v>
      </c>
      <c r="P443" s="12"/>
    </row>
    <row r="444">
      <c r="C444" s="25"/>
      <c r="D444" s="31"/>
      <c r="E444" s="31"/>
      <c r="F444" s="31"/>
      <c r="G444" s="29"/>
      <c r="H444" s="12"/>
      <c r="I444" s="12"/>
      <c r="J444" s="12"/>
      <c r="K444" s="12"/>
      <c r="L444" s="18" t="str">
        <f t="shared" si="1"/>
        <v>#DIV/0!</v>
      </c>
      <c r="M444" s="18" t="str">
        <f t="shared" si="2"/>
        <v>#DIV/0!</v>
      </c>
      <c r="N444" s="12" t="str">
        <f t="shared" si="4"/>
        <v/>
      </c>
      <c r="O444" s="18" t="str">
        <f t="shared" si="3"/>
        <v>#DIV/0!</v>
      </c>
      <c r="P444" s="12"/>
    </row>
    <row r="445">
      <c r="C445" s="25"/>
      <c r="D445" s="31"/>
      <c r="E445" s="31"/>
      <c r="F445" s="31"/>
      <c r="G445" s="29"/>
      <c r="H445" s="12"/>
      <c r="I445" s="12"/>
      <c r="J445" s="12"/>
      <c r="K445" s="12"/>
      <c r="L445" s="18" t="str">
        <f t="shared" si="1"/>
        <v>#DIV/0!</v>
      </c>
      <c r="M445" s="18" t="str">
        <f t="shared" si="2"/>
        <v>#DIV/0!</v>
      </c>
      <c r="N445" s="12" t="str">
        <f t="shared" si="4"/>
        <v/>
      </c>
      <c r="O445" s="18" t="str">
        <f t="shared" si="3"/>
        <v>#DIV/0!</v>
      </c>
      <c r="P445" s="12"/>
    </row>
    <row r="446">
      <c r="C446" s="25"/>
      <c r="D446" s="31"/>
      <c r="E446" s="31"/>
      <c r="F446" s="31"/>
      <c r="G446" s="29"/>
      <c r="H446" s="12"/>
      <c r="I446" s="12"/>
      <c r="J446" s="12"/>
      <c r="K446" s="12"/>
      <c r="L446" s="18" t="str">
        <f t="shared" si="1"/>
        <v>#DIV/0!</v>
      </c>
      <c r="M446" s="18" t="str">
        <f t="shared" si="2"/>
        <v>#DIV/0!</v>
      </c>
      <c r="N446" s="12" t="str">
        <f t="shared" si="4"/>
        <v/>
      </c>
      <c r="O446" s="18" t="str">
        <f t="shared" si="3"/>
        <v>#DIV/0!</v>
      </c>
      <c r="P446" s="12"/>
    </row>
    <row r="447">
      <c r="C447" s="25"/>
      <c r="D447" s="31"/>
      <c r="E447" s="31"/>
      <c r="F447" s="31"/>
      <c r="G447" s="29"/>
      <c r="H447" s="12"/>
      <c r="I447" s="12"/>
      <c r="J447" s="12"/>
      <c r="K447" s="12"/>
      <c r="L447" s="18" t="str">
        <f t="shared" si="1"/>
        <v>#DIV/0!</v>
      </c>
      <c r="M447" s="18" t="str">
        <f t="shared" si="2"/>
        <v>#DIV/0!</v>
      </c>
      <c r="N447" s="12" t="str">
        <f t="shared" si="4"/>
        <v/>
      </c>
      <c r="O447" s="18" t="str">
        <f t="shared" si="3"/>
        <v>#DIV/0!</v>
      </c>
      <c r="P447" s="12"/>
    </row>
    <row r="448">
      <c r="C448" s="25"/>
      <c r="D448" s="31"/>
      <c r="E448" s="31"/>
      <c r="F448" s="31"/>
      <c r="G448" s="29"/>
      <c r="H448" s="12"/>
      <c r="I448" s="12"/>
      <c r="J448" s="12"/>
      <c r="K448" s="12"/>
      <c r="L448" s="18" t="str">
        <f t="shared" si="1"/>
        <v>#DIV/0!</v>
      </c>
      <c r="M448" s="18" t="str">
        <f t="shared" si="2"/>
        <v>#DIV/0!</v>
      </c>
      <c r="N448" s="12" t="str">
        <f t="shared" si="4"/>
        <v/>
      </c>
      <c r="O448" s="18" t="str">
        <f t="shared" si="3"/>
        <v>#DIV/0!</v>
      </c>
      <c r="P448" s="12"/>
    </row>
    <row r="449">
      <c r="C449" s="25"/>
      <c r="D449" s="31"/>
      <c r="E449" s="31"/>
      <c r="F449" s="31"/>
      <c r="G449" s="29"/>
      <c r="H449" s="12"/>
      <c r="I449" s="12"/>
      <c r="J449" s="12"/>
      <c r="K449" s="12"/>
      <c r="L449" s="18" t="str">
        <f t="shared" si="1"/>
        <v>#DIV/0!</v>
      </c>
      <c r="M449" s="18" t="str">
        <f t="shared" si="2"/>
        <v>#DIV/0!</v>
      </c>
      <c r="N449" s="12" t="str">
        <f t="shared" si="4"/>
        <v/>
      </c>
      <c r="O449" s="18" t="str">
        <f t="shared" si="3"/>
        <v>#DIV/0!</v>
      </c>
      <c r="P449" s="12"/>
    </row>
    <row r="450">
      <c r="C450" s="25"/>
      <c r="D450" s="31"/>
      <c r="E450" s="31"/>
      <c r="F450" s="31"/>
      <c r="G450" s="29"/>
      <c r="H450" s="12"/>
      <c r="I450" s="12"/>
      <c r="J450" s="12"/>
      <c r="K450" s="12"/>
      <c r="L450" s="18" t="str">
        <f t="shared" si="1"/>
        <v>#DIV/0!</v>
      </c>
      <c r="M450" s="18" t="str">
        <f t="shared" si="2"/>
        <v>#DIV/0!</v>
      </c>
      <c r="N450" s="12" t="str">
        <f t="shared" si="4"/>
        <v/>
      </c>
      <c r="O450" s="18" t="str">
        <f t="shared" si="3"/>
        <v>#DIV/0!</v>
      </c>
      <c r="P450" s="12"/>
    </row>
    <row r="451">
      <c r="C451" s="25"/>
      <c r="D451" s="31"/>
      <c r="E451" s="31"/>
      <c r="F451" s="31"/>
      <c r="G451" s="29"/>
      <c r="H451" s="12"/>
      <c r="I451" s="12"/>
      <c r="J451" s="12"/>
      <c r="K451" s="12"/>
      <c r="L451" s="18" t="str">
        <f t="shared" si="1"/>
        <v>#DIV/0!</v>
      </c>
      <c r="M451" s="18" t="str">
        <f t="shared" si="2"/>
        <v>#DIV/0!</v>
      </c>
      <c r="N451" s="12" t="str">
        <f t="shared" si="4"/>
        <v/>
      </c>
      <c r="O451" s="18" t="str">
        <f t="shared" si="3"/>
        <v>#DIV/0!</v>
      </c>
      <c r="P451" s="12"/>
    </row>
    <row r="452">
      <c r="C452" s="25"/>
      <c r="D452" s="31"/>
      <c r="E452" s="31"/>
      <c r="F452" s="31"/>
      <c r="G452" s="29"/>
      <c r="H452" s="12"/>
      <c r="I452" s="12"/>
      <c r="J452" s="12"/>
      <c r="K452" s="12"/>
      <c r="L452" s="18" t="str">
        <f t="shared" si="1"/>
        <v>#DIV/0!</v>
      </c>
      <c r="M452" s="18" t="str">
        <f t="shared" si="2"/>
        <v>#DIV/0!</v>
      </c>
      <c r="N452" s="12" t="str">
        <f t="shared" si="4"/>
        <v/>
      </c>
      <c r="O452" s="18" t="str">
        <f t="shared" si="3"/>
        <v>#DIV/0!</v>
      </c>
      <c r="P452" s="12"/>
    </row>
    <row r="453">
      <c r="C453" s="25"/>
      <c r="D453" s="31"/>
      <c r="E453" s="31"/>
      <c r="F453" s="31"/>
      <c r="G453" s="29"/>
      <c r="H453" s="12"/>
      <c r="I453" s="12"/>
      <c r="J453" s="12"/>
      <c r="K453" s="12"/>
      <c r="L453" s="18" t="str">
        <f t="shared" si="1"/>
        <v>#DIV/0!</v>
      </c>
      <c r="M453" s="18" t="str">
        <f t="shared" si="2"/>
        <v>#DIV/0!</v>
      </c>
      <c r="N453" s="12" t="str">
        <f t="shared" si="4"/>
        <v/>
      </c>
      <c r="O453" s="18" t="str">
        <f t="shared" si="3"/>
        <v>#DIV/0!</v>
      </c>
      <c r="P453" s="12"/>
    </row>
    <row r="454">
      <c r="C454" s="25"/>
      <c r="D454" s="31"/>
      <c r="E454" s="31"/>
      <c r="F454" s="31"/>
      <c r="G454" s="29"/>
      <c r="H454" s="12"/>
      <c r="I454" s="12"/>
      <c r="J454" s="12"/>
      <c r="K454" s="12"/>
      <c r="L454" s="18" t="str">
        <f t="shared" si="1"/>
        <v>#DIV/0!</v>
      </c>
      <c r="M454" s="18" t="str">
        <f t="shared" si="2"/>
        <v>#DIV/0!</v>
      </c>
      <c r="N454" s="12" t="str">
        <f t="shared" si="4"/>
        <v/>
      </c>
      <c r="O454" s="18" t="str">
        <f t="shared" si="3"/>
        <v>#DIV/0!</v>
      </c>
      <c r="P454" s="12"/>
    </row>
    <row r="455">
      <c r="C455" s="25"/>
      <c r="D455" s="31"/>
      <c r="E455" s="31"/>
      <c r="F455" s="31"/>
      <c r="G455" s="29"/>
      <c r="H455" s="12"/>
      <c r="I455" s="12"/>
      <c r="J455" s="12"/>
      <c r="K455" s="12"/>
      <c r="L455" s="18" t="str">
        <f t="shared" si="1"/>
        <v>#DIV/0!</v>
      </c>
      <c r="M455" s="18" t="str">
        <f t="shared" si="2"/>
        <v>#DIV/0!</v>
      </c>
      <c r="N455" s="12" t="str">
        <f t="shared" si="4"/>
        <v/>
      </c>
      <c r="O455" s="18" t="str">
        <f t="shared" si="3"/>
        <v>#DIV/0!</v>
      </c>
      <c r="P455" s="12"/>
    </row>
    <row r="456">
      <c r="C456" s="25"/>
      <c r="D456" s="31"/>
      <c r="E456" s="31"/>
      <c r="F456" s="31"/>
      <c r="G456" s="29"/>
      <c r="H456" s="12"/>
      <c r="I456" s="12"/>
      <c r="J456" s="12"/>
      <c r="K456" s="12"/>
      <c r="L456" s="18" t="str">
        <f t="shared" si="1"/>
        <v>#DIV/0!</v>
      </c>
      <c r="M456" s="18" t="str">
        <f t="shared" si="2"/>
        <v>#DIV/0!</v>
      </c>
      <c r="N456" s="12" t="str">
        <f t="shared" si="4"/>
        <v/>
      </c>
      <c r="O456" s="18" t="str">
        <f t="shared" si="3"/>
        <v>#DIV/0!</v>
      </c>
      <c r="P456" s="12"/>
    </row>
    <row r="457">
      <c r="C457" s="25"/>
      <c r="D457" s="31"/>
      <c r="E457" s="31"/>
      <c r="F457" s="31"/>
      <c r="G457" s="29"/>
      <c r="H457" s="12"/>
      <c r="I457" s="12"/>
      <c r="J457" s="12"/>
      <c r="K457" s="12"/>
      <c r="L457" s="18" t="str">
        <f t="shared" si="1"/>
        <v>#DIV/0!</v>
      </c>
      <c r="M457" s="18" t="str">
        <f t="shared" si="2"/>
        <v>#DIV/0!</v>
      </c>
      <c r="N457" s="12" t="str">
        <f t="shared" si="4"/>
        <v/>
      </c>
      <c r="O457" s="18" t="str">
        <f t="shared" si="3"/>
        <v>#DIV/0!</v>
      </c>
      <c r="P457" s="12"/>
    </row>
    <row r="458">
      <c r="C458" s="25"/>
      <c r="D458" s="31"/>
      <c r="E458" s="31"/>
      <c r="F458" s="31"/>
      <c r="G458" s="29"/>
      <c r="H458" s="12"/>
      <c r="I458" s="12"/>
      <c r="J458" s="12"/>
      <c r="K458" s="12"/>
      <c r="L458" s="18" t="str">
        <f t="shared" si="1"/>
        <v>#DIV/0!</v>
      </c>
      <c r="M458" s="18" t="str">
        <f t="shared" si="2"/>
        <v>#DIV/0!</v>
      </c>
      <c r="N458" s="12" t="str">
        <f t="shared" si="4"/>
        <v/>
      </c>
      <c r="O458" s="18" t="str">
        <f t="shared" si="3"/>
        <v>#DIV/0!</v>
      </c>
      <c r="P458" s="12"/>
    </row>
    <row r="459">
      <c r="C459" s="25"/>
      <c r="D459" s="31"/>
      <c r="E459" s="31"/>
      <c r="F459" s="31"/>
      <c r="G459" s="29"/>
      <c r="H459" s="12"/>
      <c r="I459" s="12"/>
      <c r="J459" s="12"/>
      <c r="K459" s="12"/>
      <c r="L459" s="18" t="str">
        <f t="shared" si="1"/>
        <v>#DIV/0!</v>
      </c>
      <c r="M459" s="18" t="str">
        <f t="shared" si="2"/>
        <v>#DIV/0!</v>
      </c>
      <c r="N459" s="12" t="str">
        <f t="shared" si="4"/>
        <v/>
      </c>
      <c r="O459" s="18" t="str">
        <f t="shared" si="3"/>
        <v>#DIV/0!</v>
      </c>
      <c r="P459" s="12"/>
    </row>
    <row r="460">
      <c r="C460" s="25"/>
      <c r="D460" s="31"/>
      <c r="E460" s="31"/>
      <c r="F460" s="31"/>
      <c r="G460" s="29"/>
      <c r="H460" s="12"/>
      <c r="I460" s="12"/>
      <c r="J460" s="12"/>
      <c r="K460" s="12"/>
      <c r="L460" s="18" t="str">
        <f t="shared" si="1"/>
        <v>#DIV/0!</v>
      </c>
      <c r="M460" s="18" t="str">
        <f t="shared" si="2"/>
        <v>#DIV/0!</v>
      </c>
      <c r="N460" s="12" t="str">
        <f t="shared" si="4"/>
        <v/>
      </c>
      <c r="O460" s="18" t="str">
        <f t="shared" si="3"/>
        <v>#DIV/0!</v>
      </c>
      <c r="P460" s="12"/>
    </row>
    <row r="461">
      <c r="C461" s="25"/>
      <c r="D461" s="31"/>
      <c r="E461" s="31"/>
      <c r="F461" s="31"/>
      <c r="G461" s="29"/>
      <c r="H461" s="12"/>
      <c r="I461" s="12"/>
      <c r="J461" s="12"/>
      <c r="K461" s="12"/>
      <c r="L461" s="18" t="str">
        <f t="shared" si="1"/>
        <v>#DIV/0!</v>
      </c>
      <c r="M461" s="18" t="str">
        <f t="shared" si="2"/>
        <v>#DIV/0!</v>
      </c>
      <c r="N461" s="12" t="str">
        <f t="shared" si="4"/>
        <v/>
      </c>
      <c r="O461" s="18" t="str">
        <f t="shared" si="3"/>
        <v>#DIV/0!</v>
      </c>
      <c r="P461" s="12"/>
    </row>
    <row r="462">
      <c r="C462" s="25"/>
      <c r="D462" s="31"/>
      <c r="E462" s="31"/>
      <c r="F462" s="31"/>
      <c r="G462" s="29"/>
      <c r="H462" s="12"/>
      <c r="I462" s="12"/>
      <c r="J462" s="12"/>
      <c r="K462" s="12"/>
      <c r="L462" s="18" t="str">
        <f t="shared" si="1"/>
        <v>#DIV/0!</v>
      </c>
      <c r="M462" s="18" t="str">
        <f t="shared" si="2"/>
        <v>#DIV/0!</v>
      </c>
      <c r="N462" s="12" t="str">
        <f t="shared" si="4"/>
        <v/>
      </c>
      <c r="O462" s="18" t="str">
        <f t="shared" si="3"/>
        <v>#DIV/0!</v>
      </c>
      <c r="P462" s="12"/>
    </row>
    <row r="463">
      <c r="C463" s="25"/>
      <c r="D463" s="31"/>
      <c r="E463" s="31"/>
      <c r="F463" s="31"/>
      <c r="G463" s="29"/>
      <c r="H463" s="12"/>
      <c r="I463" s="12"/>
      <c r="J463" s="12"/>
      <c r="K463" s="12"/>
      <c r="L463" s="18" t="str">
        <f t="shared" si="1"/>
        <v>#DIV/0!</v>
      </c>
      <c r="M463" s="18" t="str">
        <f t="shared" si="2"/>
        <v>#DIV/0!</v>
      </c>
      <c r="N463" s="12" t="str">
        <f t="shared" si="4"/>
        <v/>
      </c>
      <c r="O463" s="18" t="str">
        <f t="shared" si="3"/>
        <v>#DIV/0!</v>
      </c>
      <c r="P463" s="12"/>
    </row>
    <row r="464">
      <c r="C464" s="25"/>
      <c r="D464" s="31"/>
      <c r="E464" s="31"/>
      <c r="F464" s="31"/>
      <c r="G464" s="29"/>
      <c r="H464" s="12"/>
      <c r="I464" s="12"/>
      <c r="J464" s="12"/>
      <c r="K464" s="12"/>
      <c r="L464" s="18" t="str">
        <f t="shared" si="1"/>
        <v>#DIV/0!</v>
      </c>
      <c r="M464" s="18" t="str">
        <f t="shared" si="2"/>
        <v>#DIV/0!</v>
      </c>
      <c r="N464" s="12" t="str">
        <f t="shared" si="4"/>
        <v/>
      </c>
      <c r="O464" s="18" t="str">
        <f t="shared" si="3"/>
        <v>#DIV/0!</v>
      </c>
      <c r="P464" s="12"/>
    </row>
    <row r="465">
      <c r="C465" s="25"/>
      <c r="D465" s="31"/>
      <c r="E465" s="31"/>
      <c r="F465" s="31"/>
      <c r="G465" s="29"/>
      <c r="H465" s="12"/>
      <c r="I465" s="12"/>
      <c r="J465" s="12"/>
      <c r="K465" s="12"/>
      <c r="L465" s="18" t="str">
        <f t="shared" si="1"/>
        <v>#DIV/0!</v>
      </c>
      <c r="M465" s="18" t="str">
        <f t="shared" si="2"/>
        <v>#DIV/0!</v>
      </c>
      <c r="N465" s="12" t="str">
        <f t="shared" si="4"/>
        <v/>
      </c>
      <c r="O465" s="18" t="str">
        <f t="shared" si="3"/>
        <v>#DIV/0!</v>
      </c>
      <c r="P465" s="12"/>
    </row>
    <row r="466">
      <c r="C466" s="25"/>
      <c r="D466" s="31"/>
      <c r="E466" s="31"/>
      <c r="F466" s="31"/>
      <c r="G466" s="29"/>
      <c r="H466" s="12"/>
      <c r="I466" s="12"/>
      <c r="J466" s="12"/>
      <c r="K466" s="12"/>
      <c r="L466" s="18" t="str">
        <f t="shared" si="1"/>
        <v>#DIV/0!</v>
      </c>
      <c r="M466" s="18" t="str">
        <f t="shared" si="2"/>
        <v>#DIV/0!</v>
      </c>
      <c r="N466" s="12" t="str">
        <f t="shared" si="4"/>
        <v/>
      </c>
      <c r="O466" s="18" t="str">
        <f t="shared" si="3"/>
        <v>#DIV/0!</v>
      </c>
      <c r="P466" s="12"/>
    </row>
    <row r="467">
      <c r="C467" s="25"/>
      <c r="D467" s="31"/>
      <c r="E467" s="31"/>
      <c r="F467" s="31"/>
      <c r="G467" s="29"/>
      <c r="H467" s="12"/>
      <c r="I467" s="12"/>
      <c r="J467" s="12"/>
      <c r="K467" s="12"/>
      <c r="L467" s="18" t="str">
        <f t="shared" si="1"/>
        <v>#DIV/0!</v>
      </c>
      <c r="M467" s="18" t="str">
        <f t="shared" si="2"/>
        <v>#DIV/0!</v>
      </c>
      <c r="N467" s="12" t="str">
        <f t="shared" si="4"/>
        <v/>
      </c>
      <c r="O467" s="18" t="str">
        <f t="shared" si="3"/>
        <v>#DIV/0!</v>
      </c>
      <c r="P467" s="12"/>
    </row>
    <row r="468">
      <c r="C468" s="25"/>
      <c r="D468" s="31"/>
      <c r="E468" s="31"/>
      <c r="F468" s="31"/>
      <c r="G468" s="29"/>
      <c r="H468" s="12"/>
      <c r="I468" s="12"/>
      <c r="J468" s="12"/>
      <c r="K468" s="12"/>
      <c r="L468" s="18" t="str">
        <f t="shared" si="1"/>
        <v>#DIV/0!</v>
      </c>
      <c r="M468" s="18" t="str">
        <f t="shared" si="2"/>
        <v>#DIV/0!</v>
      </c>
      <c r="N468" s="12" t="str">
        <f t="shared" si="4"/>
        <v/>
      </c>
      <c r="O468" s="18" t="str">
        <f t="shared" si="3"/>
        <v>#DIV/0!</v>
      </c>
      <c r="P468" s="12"/>
    </row>
    <row r="469">
      <c r="C469" s="25"/>
      <c r="D469" s="31"/>
      <c r="E469" s="31"/>
      <c r="F469" s="31"/>
      <c r="G469" s="29"/>
      <c r="H469" s="12"/>
      <c r="I469" s="12"/>
      <c r="J469" s="12"/>
      <c r="K469" s="12"/>
      <c r="L469" s="18" t="str">
        <f t="shared" si="1"/>
        <v>#DIV/0!</v>
      </c>
      <c r="M469" s="18" t="str">
        <f t="shared" si="2"/>
        <v>#DIV/0!</v>
      </c>
      <c r="N469" s="12" t="str">
        <f t="shared" si="4"/>
        <v/>
      </c>
      <c r="O469" s="18" t="str">
        <f t="shared" si="3"/>
        <v>#DIV/0!</v>
      </c>
      <c r="P469" s="12"/>
    </row>
    <row r="470">
      <c r="C470" s="25"/>
      <c r="D470" s="31"/>
      <c r="E470" s="31"/>
      <c r="F470" s="31"/>
      <c r="G470" s="29"/>
      <c r="H470" s="12"/>
      <c r="I470" s="12"/>
      <c r="J470" s="12"/>
      <c r="K470" s="12"/>
      <c r="L470" s="18" t="str">
        <f t="shared" si="1"/>
        <v>#DIV/0!</v>
      </c>
      <c r="M470" s="18" t="str">
        <f t="shared" si="2"/>
        <v>#DIV/0!</v>
      </c>
      <c r="N470" s="12" t="str">
        <f t="shared" si="4"/>
        <v/>
      </c>
      <c r="O470" s="18" t="str">
        <f t="shared" si="3"/>
        <v>#DIV/0!</v>
      </c>
      <c r="P470" s="12"/>
    </row>
    <row r="471">
      <c r="C471" s="25"/>
      <c r="D471" s="31"/>
      <c r="E471" s="31"/>
      <c r="F471" s="31"/>
      <c r="G471" s="29"/>
      <c r="H471" s="12"/>
      <c r="I471" s="12"/>
      <c r="J471" s="12"/>
      <c r="K471" s="12"/>
      <c r="L471" s="18" t="str">
        <f t="shared" si="1"/>
        <v>#DIV/0!</v>
      </c>
      <c r="M471" s="18" t="str">
        <f t="shared" si="2"/>
        <v>#DIV/0!</v>
      </c>
      <c r="N471" s="12" t="str">
        <f t="shared" si="4"/>
        <v/>
      </c>
      <c r="O471" s="18" t="str">
        <f t="shared" si="3"/>
        <v>#DIV/0!</v>
      </c>
      <c r="P471" s="12"/>
    </row>
    <row r="472">
      <c r="C472" s="25"/>
      <c r="D472" s="31"/>
      <c r="E472" s="31"/>
      <c r="F472" s="31"/>
      <c r="G472" s="29"/>
      <c r="H472" s="12"/>
      <c r="I472" s="12"/>
      <c r="J472" s="12"/>
      <c r="K472" s="12"/>
      <c r="L472" s="18" t="str">
        <f t="shared" si="1"/>
        <v>#DIV/0!</v>
      </c>
      <c r="M472" s="18" t="str">
        <f t="shared" si="2"/>
        <v>#DIV/0!</v>
      </c>
      <c r="N472" s="12" t="str">
        <f t="shared" si="4"/>
        <v/>
      </c>
      <c r="O472" s="18" t="str">
        <f t="shared" si="3"/>
        <v>#DIV/0!</v>
      </c>
      <c r="P472" s="12"/>
    </row>
    <row r="473">
      <c r="C473" s="25"/>
      <c r="D473" s="31"/>
      <c r="E473" s="31"/>
      <c r="F473" s="31"/>
      <c r="G473" s="29"/>
      <c r="H473" s="12"/>
      <c r="I473" s="12"/>
      <c r="J473" s="12"/>
      <c r="K473" s="12"/>
      <c r="L473" s="18" t="str">
        <f t="shared" si="1"/>
        <v>#DIV/0!</v>
      </c>
      <c r="M473" s="18" t="str">
        <f t="shared" si="2"/>
        <v>#DIV/0!</v>
      </c>
      <c r="N473" s="12" t="str">
        <f t="shared" si="4"/>
        <v/>
      </c>
      <c r="O473" s="18" t="str">
        <f t="shared" si="3"/>
        <v>#DIV/0!</v>
      </c>
      <c r="P473" s="12"/>
    </row>
    <row r="474">
      <c r="C474" s="25"/>
      <c r="D474" s="31"/>
      <c r="E474" s="31"/>
      <c r="F474" s="31"/>
      <c r="G474" s="29"/>
      <c r="H474" s="12"/>
      <c r="I474" s="12"/>
      <c r="J474" s="12"/>
      <c r="K474" s="12"/>
      <c r="L474" s="18" t="str">
        <f t="shared" si="1"/>
        <v>#DIV/0!</v>
      </c>
      <c r="M474" s="18" t="str">
        <f t="shared" si="2"/>
        <v>#DIV/0!</v>
      </c>
      <c r="N474" s="12" t="str">
        <f t="shared" si="4"/>
        <v/>
      </c>
      <c r="O474" s="18" t="str">
        <f t="shared" si="3"/>
        <v>#DIV/0!</v>
      </c>
      <c r="P474" s="12"/>
    </row>
    <row r="475">
      <c r="C475" s="25"/>
      <c r="D475" s="31"/>
      <c r="E475" s="31"/>
      <c r="F475" s="31"/>
      <c r="G475" s="29"/>
      <c r="H475" s="12"/>
      <c r="I475" s="12"/>
      <c r="J475" s="12"/>
      <c r="K475" s="12"/>
      <c r="L475" s="18" t="str">
        <f t="shared" si="1"/>
        <v>#DIV/0!</v>
      </c>
      <c r="M475" s="18" t="str">
        <f t="shared" si="2"/>
        <v>#DIV/0!</v>
      </c>
      <c r="N475" s="12" t="str">
        <f t="shared" si="4"/>
        <v/>
      </c>
      <c r="O475" s="18" t="str">
        <f t="shared" si="3"/>
        <v>#DIV/0!</v>
      </c>
      <c r="P475" s="12"/>
    </row>
    <row r="476">
      <c r="C476" s="25"/>
      <c r="D476" s="31"/>
      <c r="E476" s="31"/>
      <c r="F476" s="31"/>
      <c r="G476" s="29"/>
      <c r="H476" s="12"/>
      <c r="I476" s="12"/>
      <c r="J476" s="12"/>
      <c r="K476" s="12"/>
      <c r="L476" s="18" t="str">
        <f t="shared" si="1"/>
        <v>#DIV/0!</v>
      </c>
      <c r="M476" s="18" t="str">
        <f t="shared" si="2"/>
        <v>#DIV/0!</v>
      </c>
      <c r="N476" s="12" t="str">
        <f t="shared" si="4"/>
        <v/>
      </c>
      <c r="O476" s="18" t="str">
        <f t="shared" si="3"/>
        <v>#DIV/0!</v>
      </c>
      <c r="P476" s="12"/>
    </row>
    <row r="477">
      <c r="C477" s="25"/>
      <c r="D477" s="31"/>
      <c r="E477" s="31"/>
      <c r="F477" s="31"/>
      <c r="G477" s="29"/>
      <c r="H477" s="12"/>
      <c r="I477" s="12"/>
      <c r="J477" s="12"/>
      <c r="K477" s="12"/>
      <c r="L477" s="18" t="str">
        <f t="shared" si="1"/>
        <v>#DIV/0!</v>
      </c>
      <c r="M477" s="18" t="str">
        <f t="shared" si="2"/>
        <v>#DIV/0!</v>
      </c>
      <c r="N477" s="12" t="str">
        <f t="shared" si="4"/>
        <v/>
      </c>
      <c r="O477" s="18" t="str">
        <f t="shared" si="3"/>
        <v>#DIV/0!</v>
      </c>
      <c r="P477" s="12"/>
    </row>
    <row r="478">
      <c r="C478" s="25"/>
      <c r="D478" s="31"/>
      <c r="E478" s="31"/>
      <c r="F478" s="31"/>
      <c r="G478" s="29"/>
      <c r="H478" s="12"/>
      <c r="I478" s="12"/>
      <c r="J478" s="12"/>
      <c r="K478" s="12"/>
      <c r="L478" s="18" t="str">
        <f t="shared" si="1"/>
        <v>#DIV/0!</v>
      </c>
      <c r="M478" s="18" t="str">
        <f t="shared" si="2"/>
        <v>#DIV/0!</v>
      </c>
      <c r="N478" s="12" t="str">
        <f t="shared" si="4"/>
        <v/>
      </c>
      <c r="O478" s="18" t="str">
        <f t="shared" si="3"/>
        <v>#DIV/0!</v>
      </c>
      <c r="P478" s="12"/>
    </row>
    <row r="479">
      <c r="C479" s="25"/>
      <c r="D479" s="31"/>
      <c r="E479" s="31"/>
      <c r="F479" s="31"/>
      <c r="G479" s="29"/>
      <c r="H479" s="12"/>
      <c r="I479" s="12"/>
      <c r="J479" s="12"/>
      <c r="K479" s="12"/>
      <c r="L479" s="18" t="str">
        <f t="shared" si="1"/>
        <v>#DIV/0!</v>
      </c>
      <c r="M479" s="18" t="str">
        <f t="shared" si="2"/>
        <v>#DIV/0!</v>
      </c>
      <c r="N479" s="12" t="str">
        <f t="shared" si="4"/>
        <v/>
      </c>
      <c r="O479" s="18" t="str">
        <f t="shared" si="3"/>
        <v>#DIV/0!</v>
      </c>
      <c r="P479" s="12"/>
    </row>
    <row r="480">
      <c r="C480" s="25"/>
      <c r="D480" s="31"/>
      <c r="E480" s="31"/>
      <c r="F480" s="31"/>
      <c r="G480" s="29"/>
      <c r="H480" s="12"/>
      <c r="I480" s="12"/>
      <c r="J480" s="12"/>
      <c r="K480" s="12"/>
      <c r="L480" s="18" t="str">
        <f t="shared" si="1"/>
        <v>#DIV/0!</v>
      </c>
      <c r="M480" s="18" t="str">
        <f t="shared" si="2"/>
        <v>#DIV/0!</v>
      </c>
      <c r="N480" s="12" t="str">
        <f t="shared" si="4"/>
        <v/>
      </c>
      <c r="O480" s="18" t="str">
        <f t="shared" si="3"/>
        <v>#DIV/0!</v>
      </c>
      <c r="P480" s="12"/>
    </row>
    <row r="481">
      <c r="C481" s="25"/>
      <c r="D481" s="31"/>
      <c r="E481" s="31"/>
      <c r="F481" s="31"/>
      <c r="G481" s="29"/>
      <c r="H481" s="12"/>
      <c r="I481" s="12"/>
      <c r="J481" s="12"/>
      <c r="K481" s="12"/>
      <c r="L481" s="18" t="str">
        <f t="shared" si="1"/>
        <v>#DIV/0!</v>
      </c>
      <c r="M481" s="18" t="str">
        <f t="shared" si="2"/>
        <v>#DIV/0!</v>
      </c>
      <c r="N481" s="12" t="str">
        <f t="shared" si="4"/>
        <v/>
      </c>
      <c r="O481" s="18" t="str">
        <f t="shared" si="3"/>
        <v>#DIV/0!</v>
      </c>
      <c r="P481" s="12"/>
    </row>
    <row r="482">
      <c r="C482" s="25"/>
      <c r="D482" s="31"/>
      <c r="E482" s="31"/>
      <c r="F482" s="31"/>
      <c r="G482" s="29"/>
      <c r="H482" s="12"/>
      <c r="I482" s="12"/>
      <c r="J482" s="12"/>
      <c r="K482" s="12"/>
      <c r="L482" s="18" t="str">
        <f t="shared" si="1"/>
        <v>#DIV/0!</v>
      </c>
      <c r="M482" s="18" t="str">
        <f t="shared" si="2"/>
        <v>#DIV/0!</v>
      </c>
      <c r="N482" s="12" t="str">
        <f t="shared" si="4"/>
        <v/>
      </c>
      <c r="O482" s="18" t="str">
        <f t="shared" si="3"/>
        <v>#DIV/0!</v>
      </c>
      <c r="P482" s="12"/>
    </row>
    <row r="483">
      <c r="C483" s="25"/>
      <c r="D483" s="31"/>
      <c r="E483" s="31"/>
      <c r="F483" s="31"/>
      <c r="G483" s="29"/>
      <c r="H483" s="12"/>
      <c r="I483" s="12"/>
      <c r="J483" s="12"/>
      <c r="K483" s="12"/>
      <c r="L483" s="18" t="str">
        <f t="shared" si="1"/>
        <v>#DIV/0!</v>
      </c>
      <c r="M483" s="18" t="str">
        <f t="shared" si="2"/>
        <v>#DIV/0!</v>
      </c>
      <c r="N483" s="12" t="str">
        <f t="shared" si="4"/>
        <v/>
      </c>
      <c r="O483" s="18" t="str">
        <f t="shared" si="3"/>
        <v>#DIV/0!</v>
      </c>
      <c r="P483" s="12"/>
    </row>
    <row r="484">
      <c r="C484" s="25"/>
      <c r="D484" s="31"/>
      <c r="E484" s="31"/>
      <c r="F484" s="31"/>
      <c r="G484" s="29"/>
      <c r="H484" s="12"/>
      <c r="I484" s="12"/>
      <c r="J484" s="12"/>
      <c r="K484" s="12"/>
      <c r="L484" s="18" t="str">
        <f t="shared" si="1"/>
        <v>#DIV/0!</v>
      </c>
      <c r="M484" s="18" t="str">
        <f t="shared" si="2"/>
        <v>#DIV/0!</v>
      </c>
      <c r="N484" s="12" t="str">
        <f t="shared" si="4"/>
        <v/>
      </c>
      <c r="O484" s="18" t="str">
        <f t="shared" si="3"/>
        <v>#DIV/0!</v>
      </c>
      <c r="P484" s="12"/>
    </row>
    <row r="485">
      <c r="C485" s="25"/>
      <c r="D485" s="31"/>
      <c r="E485" s="31"/>
      <c r="F485" s="31"/>
      <c r="G485" s="29"/>
      <c r="H485" s="12"/>
      <c r="I485" s="12"/>
      <c r="J485" s="12"/>
      <c r="K485" s="12"/>
      <c r="L485" s="18" t="str">
        <f t="shared" si="1"/>
        <v>#DIV/0!</v>
      </c>
      <c r="M485" s="18" t="str">
        <f t="shared" si="2"/>
        <v>#DIV/0!</v>
      </c>
      <c r="N485" s="12" t="str">
        <f t="shared" si="4"/>
        <v/>
      </c>
      <c r="O485" s="18" t="str">
        <f t="shared" si="3"/>
        <v>#DIV/0!</v>
      </c>
      <c r="P485" s="12"/>
    </row>
    <row r="486">
      <c r="C486" s="25"/>
      <c r="D486" s="31"/>
      <c r="E486" s="31"/>
      <c r="F486" s="31"/>
      <c r="G486" s="29"/>
      <c r="H486" s="12"/>
      <c r="I486" s="12"/>
      <c r="J486" s="12"/>
      <c r="K486" s="12"/>
      <c r="L486" s="18" t="str">
        <f t="shared" si="1"/>
        <v>#DIV/0!</v>
      </c>
      <c r="M486" s="18" t="str">
        <f t="shared" si="2"/>
        <v>#DIV/0!</v>
      </c>
      <c r="N486" s="12" t="str">
        <f t="shared" si="4"/>
        <v/>
      </c>
      <c r="O486" s="18" t="str">
        <f t="shared" si="3"/>
        <v>#DIV/0!</v>
      </c>
      <c r="P486" s="12"/>
    </row>
    <row r="487">
      <c r="C487" s="25"/>
      <c r="D487" s="31"/>
      <c r="E487" s="31"/>
      <c r="F487" s="31"/>
      <c r="G487" s="29"/>
      <c r="H487" s="12"/>
      <c r="I487" s="12"/>
      <c r="J487" s="12"/>
      <c r="K487" s="12"/>
      <c r="L487" s="18" t="str">
        <f t="shared" si="1"/>
        <v>#DIV/0!</v>
      </c>
      <c r="M487" s="18" t="str">
        <f t="shared" si="2"/>
        <v>#DIV/0!</v>
      </c>
      <c r="N487" s="12" t="str">
        <f t="shared" si="4"/>
        <v/>
      </c>
      <c r="O487" s="18" t="str">
        <f t="shared" si="3"/>
        <v>#DIV/0!</v>
      </c>
      <c r="P487" s="12"/>
    </row>
    <row r="488">
      <c r="C488" s="25"/>
      <c r="D488" s="31"/>
      <c r="E488" s="31"/>
      <c r="F488" s="31"/>
      <c r="G488" s="29"/>
      <c r="H488" s="12"/>
      <c r="I488" s="12"/>
      <c r="J488" s="12"/>
      <c r="K488" s="12"/>
      <c r="L488" s="18" t="str">
        <f t="shared" si="1"/>
        <v>#DIV/0!</v>
      </c>
      <c r="M488" s="18" t="str">
        <f t="shared" si="2"/>
        <v>#DIV/0!</v>
      </c>
      <c r="N488" s="12" t="str">
        <f t="shared" si="4"/>
        <v/>
      </c>
      <c r="O488" s="18" t="str">
        <f t="shared" si="3"/>
        <v>#DIV/0!</v>
      </c>
      <c r="P488" s="12"/>
    </row>
    <row r="489">
      <c r="C489" s="25"/>
      <c r="D489" s="31"/>
      <c r="E489" s="31"/>
      <c r="F489" s="31"/>
      <c r="G489" s="29"/>
      <c r="H489" s="12"/>
      <c r="I489" s="12"/>
      <c r="J489" s="12"/>
      <c r="K489" s="12"/>
      <c r="L489" s="18" t="str">
        <f t="shared" si="1"/>
        <v>#DIV/0!</v>
      </c>
      <c r="M489" s="18" t="str">
        <f t="shared" si="2"/>
        <v>#DIV/0!</v>
      </c>
      <c r="N489" s="12" t="str">
        <f t="shared" si="4"/>
        <v/>
      </c>
      <c r="O489" s="18" t="str">
        <f t="shared" si="3"/>
        <v>#DIV/0!</v>
      </c>
      <c r="P489" s="12"/>
    </row>
    <row r="490">
      <c r="C490" s="25"/>
      <c r="D490" s="31"/>
      <c r="E490" s="31"/>
      <c r="F490" s="31"/>
      <c r="G490" s="29"/>
      <c r="H490" s="12"/>
      <c r="I490" s="12"/>
      <c r="J490" s="12"/>
      <c r="K490" s="12"/>
      <c r="L490" s="18" t="str">
        <f t="shared" si="1"/>
        <v>#DIV/0!</v>
      </c>
      <c r="M490" s="18" t="str">
        <f t="shared" si="2"/>
        <v>#DIV/0!</v>
      </c>
      <c r="N490" s="12" t="str">
        <f t="shared" si="4"/>
        <v/>
      </c>
      <c r="O490" s="18" t="str">
        <f t="shared" si="3"/>
        <v>#DIV/0!</v>
      </c>
      <c r="P490" s="12"/>
    </row>
    <row r="491">
      <c r="C491" s="25"/>
      <c r="D491" s="31"/>
      <c r="E491" s="31"/>
      <c r="F491" s="31"/>
      <c r="G491" s="29"/>
      <c r="H491" s="12"/>
      <c r="I491" s="12"/>
      <c r="J491" s="12"/>
      <c r="K491" s="12"/>
      <c r="L491" s="18" t="str">
        <f t="shared" si="1"/>
        <v>#DIV/0!</v>
      </c>
      <c r="M491" s="18" t="str">
        <f t="shared" si="2"/>
        <v>#DIV/0!</v>
      </c>
      <c r="N491" s="12" t="str">
        <f t="shared" si="4"/>
        <v/>
      </c>
      <c r="O491" s="18" t="str">
        <f t="shared" si="3"/>
        <v>#DIV/0!</v>
      </c>
      <c r="P491" s="12"/>
    </row>
    <row r="492">
      <c r="C492" s="25"/>
      <c r="D492" s="31"/>
      <c r="E492" s="31"/>
      <c r="F492" s="31"/>
      <c r="G492" s="29"/>
      <c r="H492" s="12"/>
      <c r="I492" s="12"/>
      <c r="J492" s="12"/>
      <c r="K492" s="12"/>
      <c r="L492" s="18" t="str">
        <f t="shared" si="1"/>
        <v>#DIV/0!</v>
      </c>
      <c r="M492" s="18" t="str">
        <f t="shared" si="2"/>
        <v>#DIV/0!</v>
      </c>
      <c r="N492" s="12" t="str">
        <f t="shared" si="4"/>
        <v/>
      </c>
      <c r="O492" s="18" t="str">
        <f t="shared" si="3"/>
        <v>#DIV/0!</v>
      </c>
      <c r="P492" s="12"/>
    </row>
    <row r="493">
      <c r="C493" s="25"/>
      <c r="D493" s="31"/>
      <c r="E493" s="31"/>
      <c r="F493" s="31"/>
      <c r="G493" s="29"/>
      <c r="H493" s="12"/>
      <c r="I493" s="12"/>
      <c r="J493" s="12"/>
      <c r="K493" s="12"/>
      <c r="L493" s="18" t="str">
        <f t="shared" si="1"/>
        <v>#DIV/0!</v>
      </c>
      <c r="M493" s="18" t="str">
        <f t="shared" si="2"/>
        <v>#DIV/0!</v>
      </c>
      <c r="N493" s="12" t="str">
        <f t="shared" si="4"/>
        <v/>
      </c>
      <c r="O493" s="18" t="str">
        <f t="shared" si="3"/>
        <v>#DIV/0!</v>
      </c>
      <c r="P493" s="12"/>
    </row>
    <row r="494">
      <c r="C494" s="25"/>
      <c r="D494" s="31"/>
      <c r="E494" s="31"/>
      <c r="F494" s="31"/>
      <c r="G494" s="29"/>
      <c r="H494" s="12"/>
      <c r="I494" s="12"/>
      <c r="J494" s="12"/>
      <c r="K494" s="12"/>
      <c r="L494" s="18" t="str">
        <f t="shared" si="1"/>
        <v>#DIV/0!</v>
      </c>
      <c r="M494" s="18" t="str">
        <f t="shared" si="2"/>
        <v>#DIV/0!</v>
      </c>
      <c r="N494" s="12" t="str">
        <f t="shared" si="4"/>
        <v/>
      </c>
      <c r="O494" s="18" t="str">
        <f t="shared" si="3"/>
        <v>#DIV/0!</v>
      </c>
      <c r="P494" s="12"/>
    </row>
    <row r="495">
      <c r="C495" s="25"/>
      <c r="D495" s="31"/>
      <c r="E495" s="31"/>
      <c r="F495" s="31"/>
      <c r="G495" s="29"/>
      <c r="H495" s="12"/>
      <c r="I495" s="12"/>
      <c r="J495" s="12"/>
      <c r="K495" s="12"/>
      <c r="L495" s="18" t="str">
        <f t="shared" si="1"/>
        <v>#DIV/0!</v>
      </c>
      <c r="M495" s="18" t="str">
        <f t="shared" si="2"/>
        <v>#DIV/0!</v>
      </c>
      <c r="N495" s="12" t="str">
        <f t="shared" si="4"/>
        <v/>
      </c>
      <c r="O495" s="18" t="str">
        <f t="shared" si="3"/>
        <v>#DIV/0!</v>
      </c>
      <c r="P495" s="12"/>
    </row>
    <row r="496">
      <c r="C496" s="25"/>
      <c r="D496" s="31"/>
      <c r="E496" s="31"/>
      <c r="F496" s="31"/>
      <c r="G496" s="29"/>
      <c r="H496" s="12"/>
      <c r="I496" s="12"/>
      <c r="J496" s="12"/>
      <c r="K496" s="12"/>
      <c r="L496" s="18" t="str">
        <f t="shared" si="1"/>
        <v>#DIV/0!</v>
      </c>
      <c r="M496" s="18" t="str">
        <f t="shared" si="2"/>
        <v>#DIV/0!</v>
      </c>
      <c r="N496" s="12" t="str">
        <f t="shared" si="4"/>
        <v/>
      </c>
      <c r="O496" s="18" t="str">
        <f t="shared" si="3"/>
        <v>#DIV/0!</v>
      </c>
      <c r="P496" s="12"/>
    </row>
    <row r="497">
      <c r="C497" s="25"/>
      <c r="D497" s="31"/>
      <c r="E497" s="31"/>
      <c r="F497" s="31"/>
      <c r="G497" s="29"/>
      <c r="H497" s="12"/>
      <c r="I497" s="12"/>
      <c r="J497" s="12"/>
      <c r="K497" s="12"/>
      <c r="L497" s="18" t="str">
        <f t="shared" si="1"/>
        <v>#DIV/0!</v>
      </c>
      <c r="M497" s="18" t="str">
        <f t="shared" si="2"/>
        <v>#DIV/0!</v>
      </c>
      <c r="N497" s="12" t="str">
        <f t="shared" si="4"/>
        <v/>
      </c>
      <c r="O497" s="18" t="str">
        <f t="shared" si="3"/>
        <v>#DIV/0!</v>
      </c>
      <c r="P497" s="12"/>
    </row>
    <row r="498">
      <c r="C498" s="25"/>
      <c r="D498" s="31"/>
      <c r="E498" s="31"/>
      <c r="F498" s="31"/>
      <c r="G498" s="29"/>
      <c r="H498" s="12"/>
      <c r="I498" s="12"/>
      <c r="J498" s="12"/>
      <c r="K498" s="12"/>
      <c r="L498" s="18" t="str">
        <f t="shared" si="1"/>
        <v>#DIV/0!</v>
      </c>
      <c r="M498" s="18" t="str">
        <f t="shared" si="2"/>
        <v>#DIV/0!</v>
      </c>
      <c r="N498" s="12" t="str">
        <f t="shared" si="4"/>
        <v/>
      </c>
      <c r="O498" s="18" t="str">
        <f t="shared" si="3"/>
        <v>#DIV/0!</v>
      </c>
      <c r="P498" s="12"/>
    </row>
    <row r="499">
      <c r="C499" s="25"/>
      <c r="D499" s="31"/>
      <c r="E499" s="31"/>
      <c r="F499" s="31"/>
      <c r="G499" s="29"/>
      <c r="H499" s="12"/>
      <c r="I499" s="12"/>
      <c r="J499" s="12"/>
      <c r="K499" s="12"/>
      <c r="L499" s="18" t="str">
        <f t="shared" si="1"/>
        <v>#DIV/0!</v>
      </c>
      <c r="M499" s="18" t="str">
        <f t="shared" si="2"/>
        <v>#DIV/0!</v>
      </c>
      <c r="N499" s="12" t="str">
        <f t="shared" si="4"/>
        <v/>
      </c>
      <c r="O499" s="18" t="str">
        <f t="shared" si="3"/>
        <v>#DIV/0!</v>
      </c>
      <c r="P499" s="12"/>
    </row>
    <row r="500">
      <c r="C500" s="25"/>
      <c r="D500" s="31"/>
      <c r="E500" s="31"/>
      <c r="F500" s="31"/>
      <c r="G500" s="29"/>
      <c r="H500" s="12"/>
      <c r="I500" s="12"/>
      <c r="J500" s="12"/>
      <c r="K500" s="12"/>
      <c r="L500" s="18" t="str">
        <f t="shared" si="1"/>
        <v>#DIV/0!</v>
      </c>
      <c r="M500" s="18" t="str">
        <f t="shared" si="2"/>
        <v>#DIV/0!</v>
      </c>
      <c r="N500" s="12" t="str">
        <f t="shared" si="4"/>
        <v/>
      </c>
      <c r="O500" s="18" t="str">
        <f t="shared" si="3"/>
        <v>#DIV/0!</v>
      </c>
      <c r="P500" s="12"/>
    </row>
    <row r="501">
      <c r="C501" s="25"/>
      <c r="D501" s="31"/>
      <c r="E501" s="31"/>
      <c r="F501" s="31"/>
      <c r="G501" s="29"/>
      <c r="H501" s="12"/>
      <c r="I501" s="12"/>
      <c r="J501" s="12"/>
      <c r="K501" s="12"/>
      <c r="L501" s="18" t="str">
        <f t="shared" si="1"/>
        <v>#DIV/0!</v>
      </c>
      <c r="M501" s="18" t="str">
        <f t="shared" si="2"/>
        <v>#DIV/0!</v>
      </c>
      <c r="N501" s="12" t="str">
        <f t="shared" si="4"/>
        <v/>
      </c>
      <c r="O501" s="18" t="str">
        <f t="shared" si="3"/>
        <v>#DIV/0!</v>
      </c>
      <c r="P501" s="12"/>
    </row>
    <row r="502">
      <c r="C502" s="25"/>
      <c r="D502" s="31"/>
      <c r="E502" s="31"/>
      <c r="F502" s="31"/>
      <c r="G502" s="29"/>
      <c r="H502" s="12"/>
      <c r="I502" s="12"/>
      <c r="J502" s="12"/>
      <c r="K502" s="12"/>
      <c r="L502" s="18" t="str">
        <f t="shared" si="1"/>
        <v>#DIV/0!</v>
      </c>
      <c r="M502" s="18" t="str">
        <f t="shared" si="2"/>
        <v>#DIV/0!</v>
      </c>
      <c r="N502" s="12" t="str">
        <f t="shared" si="4"/>
        <v/>
      </c>
      <c r="O502" s="18" t="str">
        <f t="shared" si="3"/>
        <v>#DIV/0!</v>
      </c>
      <c r="P502" s="12"/>
    </row>
    <row r="503">
      <c r="C503" s="25"/>
      <c r="D503" s="31"/>
      <c r="E503" s="31"/>
      <c r="F503" s="31"/>
      <c r="G503" s="29"/>
      <c r="H503" s="12"/>
      <c r="I503" s="12"/>
      <c r="J503" s="12"/>
      <c r="K503" s="12"/>
      <c r="L503" s="18" t="str">
        <f t="shared" si="1"/>
        <v>#DIV/0!</v>
      </c>
      <c r="M503" s="18" t="str">
        <f t="shared" si="2"/>
        <v>#DIV/0!</v>
      </c>
      <c r="N503" s="12" t="str">
        <f t="shared" si="4"/>
        <v/>
      </c>
      <c r="O503" s="18" t="str">
        <f t="shared" si="3"/>
        <v>#DIV/0!</v>
      </c>
      <c r="P503" s="12"/>
    </row>
    <row r="504">
      <c r="C504" s="25"/>
      <c r="D504" s="31"/>
      <c r="E504" s="31"/>
      <c r="F504" s="31"/>
      <c r="G504" s="29"/>
      <c r="H504" s="12"/>
      <c r="I504" s="12"/>
      <c r="J504" s="12"/>
      <c r="K504" s="12"/>
      <c r="L504" s="18" t="str">
        <f t="shared" si="1"/>
        <v>#DIV/0!</v>
      </c>
      <c r="M504" s="18" t="str">
        <f t="shared" si="2"/>
        <v>#DIV/0!</v>
      </c>
      <c r="N504" s="12" t="str">
        <f t="shared" si="4"/>
        <v/>
      </c>
      <c r="O504" s="18" t="str">
        <f t="shared" si="3"/>
        <v>#DIV/0!</v>
      </c>
      <c r="P504" s="12"/>
    </row>
    <row r="505">
      <c r="C505" s="25"/>
      <c r="D505" s="31"/>
      <c r="E505" s="31"/>
      <c r="F505" s="31"/>
      <c r="G505" s="29"/>
      <c r="H505" s="12"/>
      <c r="I505" s="12"/>
      <c r="J505" s="12"/>
      <c r="K505" s="12"/>
      <c r="L505" s="18" t="str">
        <f t="shared" si="1"/>
        <v>#DIV/0!</v>
      </c>
      <c r="M505" s="18" t="str">
        <f t="shared" si="2"/>
        <v>#DIV/0!</v>
      </c>
      <c r="N505" s="12" t="str">
        <f t="shared" si="4"/>
        <v/>
      </c>
      <c r="O505" s="18" t="str">
        <f t="shared" si="3"/>
        <v>#DIV/0!</v>
      </c>
      <c r="P505" s="12"/>
    </row>
    <row r="506">
      <c r="C506" s="25"/>
      <c r="D506" s="31"/>
      <c r="E506" s="31"/>
      <c r="F506" s="31"/>
      <c r="G506" s="29"/>
      <c r="H506" s="12"/>
      <c r="I506" s="12"/>
      <c r="J506" s="12"/>
      <c r="K506" s="12"/>
      <c r="L506" s="18" t="str">
        <f t="shared" si="1"/>
        <v>#DIV/0!</v>
      </c>
      <c r="M506" s="18" t="str">
        <f t="shared" si="2"/>
        <v>#DIV/0!</v>
      </c>
      <c r="N506" s="12" t="str">
        <f t="shared" si="4"/>
        <v/>
      </c>
      <c r="O506" s="18" t="str">
        <f t="shared" si="3"/>
        <v>#DIV/0!</v>
      </c>
      <c r="P506" s="12"/>
    </row>
    <row r="507">
      <c r="C507" s="25"/>
      <c r="D507" s="31"/>
      <c r="E507" s="31"/>
      <c r="F507" s="31"/>
      <c r="G507" s="29"/>
      <c r="H507" s="12"/>
      <c r="I507" s="12"/>
      <c r="J507" s="12"/>
      <c r="K507" s="12"/>
      <c r="L507" s="18" t="str">
        <f t="shared" si="1"/>
        <v>#DIV/0!</v>
      </c>
      <c r="M507" s="18" t="str">
        <f t="shared" si="2"/>
        <v>#DIV/0!</v>
      </c>
      <c r="N507" s="12" t="str">
        <f t="shared" si="4"/>
        <v/>
      </c>
      <c r="O507" s="18" t="str">
        <f t="shared" si="3"/>
        <v>#DIV/0!</v>
      </c>
      <c r="P507" s="12"/>
    </row>
    <row r="508">
      <c r="C508" s="25"/>
      <c r="D508" s="31"/>
      <c r="E508" s="31"/>
      <c r="F508" s="31"/>
      <c r="G508" s="29"/>
      <c r="H508" s="12"/>
      <c r="I508" s="12"/>
      <c r="J508" s="12"/>
      <c r="K508" s="12"/>
      <c r="L508" s="18" t="str">
        <f t="shared" si="1"/>
        <v>#DIV/0!</v>
      </c>
      <c r="M508" s="18" t="str">
        <f t="shared" si="2"/>
        <v>#DIV/0!</v>
      </c>
      <c r="N508" s="12" t="str">
        <f t="shared" si="4"/>
        <v/>
      </c>
      <c r="O508" s="18" t="str">
        <f t="shared" si="3"/>
        <v>#DIV/0!</v>
      </c>
      <c r="P508" s="12"/>
    </row>
    <row r="509">
      <c r="C509" s="25"/>
      <c r="D509" s="31"/>
      <c r="E509" s="31"/>
      <c r="F509" s="31"/>
      <c r="G509" s="29"/>
      <c r="H509" s="12"/>
      <c r="I509" s="12"/>
      <c r="J509" s="12"/>
      <c r="K509" s="12"/>
      <c r="L509" s="18" t="str">
        <f t="shared" si="1"/>
        <v>#DIV/0!</v>
      </c>
      <c r="M509" s="18" t="str">
        <f t="shared" si="2"/>
        <v>#DIV/0!</v>
      </c>
      <c r="N509" s="12" t="str">
        <f t="shared" si="4"/>
        <v/>
      </c>
      <c r="O509" s="18" t="str">
        <f t="shared" si="3"/>
        <v>#DIV/0!</v>
      </c>
      <c r="P509" s="12"/>
    </row>
    <row r="510">
      <c r="C510" s="25"/>
      <c r="D510" s="31"/>
      <c r="E510" s="31"/>
      <c r="F510" s="31"/>
      <c r="G510" s="29"/>
      <c r="H510" s="12"/>
      <c r="I510" s="12"/>
      <c r="J510" s="12"/>
      <c r="K510" s="12"/>
      <c r="L510" s="18" t="str">
        <f t="shared" si="1"/>
        <v>#DIV/0!</v>
      </c>
      <c r="M510" s="18" t="str">
        <f t="shared" si="2"/>
        <v>#DIV/0!</v>
      </c>
      <c r="N510" s="12" t="str">
        <f t="shared" si="4"/>
        <v/>
      </c>
      <c r="O510" s="18" t="str">
        <f t="shared" si="3"/>
        <v>#DIV/0!</v>
      </c>
      <c r="P510" s="12"/>
    </row>
    <row r="511">
      <c r="C511" s="25"/>
      <c r="D511" s="31"/>
      <c r="E511" s="31"/>
      <c r="F511" s="31"/>
      <c r="G511" s="29"/>
      <c r="H511" s="12"/>
      <c r="I511" s="12"/>
      <c r="J511" s="12"/>
      <c r="K511" s="12"/>
      <c r="L511" s="18" t="str">
        <f t="shared" si="1"/>
        <v>#DIV/0!</v>
      </c>
      <c r="M511" s="18" t="str">
        <f t="shared" si="2"/>
        <v>#DIV/0!</v>
      </c>
      <c r="N511" s="12" t="str">
        <f t="shared" si="4"/>
        <v/>
      </c>
      <c r="O511" s="18" t="str">
        <f t="shared" si="3"/>
        <v>#DIV/0!</v>
      </c>
      <c r="P511" s="12"/>
    </row>
    <row r="512">
      <c r="C512" s="25"/>
      <c r="D512" s="31"/>
      <c r="E512" s="31"/>
      <c r="F512" s="31"/>
      <c r="G512" s="29"/>
      <c r="H512" s="12"/>
      <c r="I512" s="12"/>
      <c r="J512" s="12"/>
      <c r="K512" s="12"/>
      <c r="L512" s="18" t="str">
        <f t="shared" si="1"/>
        <v>#DIV/0!</v>
      </c>
      <c r="M512" s="18" t="str">
        <f t="shared" si="2"/>
        <v>#DIV/0!</v>
      </c>
      <c r="N512" s="12" t="str">
        <f t="shared" si="4"/>
        <v/>
      </c>
      <c r="O512" s="18" t="str">
        <f t="shared" si="3"/>
        <v>#DIV/0!</v>
      </c>
      <c r="P512" s="12"/>
    </row>
    <row r="513">
      <c r="C513" s="25"/>
      <c r="D513" s="31"/>
      <c r="E513" s="31"/>
      <c r="F513" s="31"/>
      <c r="G513" s="29"/>
      <c r="H513" s="12"/>
      <c r="I513" s="12"/>
      <c r="J513" s="12"/>
      <c r="K513" s="12"/>
      <c r="L513" s="18" t="str">
        <f t="shared" si="1"/>
        <v>#DIV/0!</v>
      </c>
      <c r="M513" s="18" t="str">
        <f t="shared" si="2"/>
        <v>#DIV/0!</v>
      </c>
      <c r="N513" s="12" t="str">
        <f t="shared" si="4"/>
        <v/>
      </c>
      <c r="O513" s="18" t="str">
        <f t="shared" si="3"/>
        <v>#DIV/0!</v>
      </c>
      <c r="P513" s="12"/>
    </row>
    <row r="514">
      <c r="C514" s="25"/>
      <c r="D514" s="31"/>
      <c r="E514" s="31"/>
      <c r="F514" s="31"/>
      <c r="G514" s="29"/>
      <c r="H514" s="12"/>
      <c r="I514" s="12"/>
      <c r="J514" s="12"/>
      <c r="K514" s="12"/>
      <c r="L514" s="18" t="str">
        <f t="shared" si="1"/>
        <v>#DIV/0!</v>
      </c>
      <c r="M514" s="18" t="str">
        <f t="shared" si="2"/>
        <v>#DIV/0!</v>
      </c>
      <c r="N514" s="12" t="str">
        <f t="shared" si="4"/>
        <v/>
      </c>
      <c r="O514" s="18" t="str">
        <f t="shared" si="3"/>
        <v>#DIV/0!</v>
      </c>
      <c r="P514" s="12"/>
    </row>
    <row r="515">
      <c r="C515" s="25"/>
      <c r="D515" s="31"/>
      <c r="E515" s="31"/>
      <c r="F515" s="31"/>
      <c r="G515" s="29"/>
      <c r="H515" s="12"/>
      <c r="I515" s="12"/>
      <c r="J515" s="12"/>
      <c r="K515" s="12"/>
      <c r="L515" s="18" t="str">
        <f t="shared" si="1"/>
        <v>#DIV/0!</v>
      </c>
      <c r="M515" s="18" t="str">
        <f t="shared" si="2"/>
        <v>#DIV/0!</v>
      </c>
      <c r="N515" s="12" t="str">
        <f t="shared" si="4"/>
        <v/>
      </c>
      <c r="O515" s="18" t="str">
        <f t="shared" si="3"/>
        <v>#DIV/0!</v>
      </c>
      <c r="P515" s="12"/>
    </row>
    <row r="516">
      <c r="C516" s="25"/>
      <c r="D516" s="31"/>
      <c r="E516" s="31"/>
      <c r="F516" s="31"/>
      <c r="G516" s="29"/>
      <c r="H516" s="12"/>
      <c r="I516" s="12"/>
      <c r="J516" s="12"/>
      <c r="K516" s="12"/>
      <c r="L516" s="18" t="str">
        <f t="shared" si="1"/>
        <v>#DIV/0!</v>
      </c>
      <c r="M516" s="18" t="str">
        <f t="shared" si="2"/>
        <v>#DIV/0!</v>
      </c>
      <c r="N516" s="12" t="str">
        <f t="shared" si="4"/>
        <v/>
      </c>
      <c r="O516" s="18" t="str">
        <f t="shared" si="3"/>
        <v>#DIV/0!</v>
      </c>
      <c r="P516" s="12"/>
    </row>
    <row r="517">
      <c r="C517" s="25"/>
      <c r="D517" s="31"/>
      <c r="E517" s="31"/>
      <c r="F517" s="31"/>
      <c r="G517" s="29"/>
      <c r="H517" s="12"/>
      <c r="I517" s="12"/>
      <c r="J517" s="12"/>
      <c r="K517" s="12"/>
      <c r="L517" s="18" t="str">
        <f t="shared" si="1"/>
        <v>#DIV/0!</v>
      </c>
      <c r="M517" s="18" t="str">
        <f t="shared" si="2"/>
        <v>#DIV/0!</v>
      </c>
      <c r="N517" s="12" t="str">
        <f t="shared" si="4"/>
        <v/>
      </c>
      <c r="O517" s="18" t="str">
        <f t="shared" si="3"/>
        <v>#DIV/0!</v>
      </c>
      <c r="P517" s="12"/>
    </row>
    <row r="518">
      <c r="C518" s="25"/>
      <c r="D518" s="31"/>
      <c r="E518" s="31"/>
      <c r="F518" s="31"/>
      <c r="G518" s="29"/>
      <c r="H518" s="12"/>
      <c r="I518" s="12"/>
      <c r="J518" s="12"/>
      <c r="K518" s="12"/>
      <c r="L518" s="18" t="str">
        <f t="shared" si="1"/>
        <v>#DIV/0!</v>
      </c>
      <c r="M518" s="18" t="str">
        <f t="shared" si="2"/>
        <v>#DIV/0!</v>
      </c>
      <c r="N518" s="12" t="str">
        <f t="shared" si="4"/>
        <v/>
      </c>
      <c r="O518" s="18" t="str">
        <f t="shared" si="3"/>
        <v>#DIV/0!</v>
      </c>
      <c r="P518" s="12"/>
    </row>
    <row r="519">
      <c r="C519" s="25"/>
      <c r="D519" s="31"/>
      <c r="E519" s="31"/>
      <c r="F519" s="31"/>
      <c r="G519" s="29"/>
      <c r="H519" s="12"/>
      <c r="I519" s="12"/>
      <c r="J519" s="12"/>
      <c r="K519" s="12"/>
      <c r="L519" s="18" t="str">
        <f t="shared" si="1"/>
        <v>#DIV/0!</v>
      </c>
      <c r="M519" s="18" t="str">
        <f t="shared" si="2"/>
        <v>#DIV/0!</v>
      </c>
      <c r="N519" s="12" t="str">
        <f t="shared" si="4"/>
        <v/>
      </c>
      <c r="O519" s="18" t="str">
        <f t="shared" si="3"/>
        <v>#DIV/0!</v>
      </c>
      <c r="P519" s="12"/>
    </row>
    <row r="520">
      <c r="C520" s="25"/>
      <c r="D520" s="31"/>
      <c r="E520" s="31"/>
      <c r="F520" s="31"/>
      <c r="G520" s="29"/>
      <c r="H520" s="12"/>
      <c r="I520" s="12"/>
      <c r="J520" s="12"/>
      <c r="K520" s="12"/>
      <c r="L520" s="18" t="str">
        <f t="shared" si="1"/>
        <v>#DIV/0!</v>
      </c>
      <c r="M520" s="18" t="str">
        <f t="shared" si="2"/>
        <v>#DIV/0!</v>
      </c>
      <c r="N520" s="12" t="str">
        <f t="shared" si="4"/>
        <v/>
      </c>
      <c r="O520" s="18" t="str">
        <f t="shared" si="3"/>
        <v>#DIV/0!</v>
      </c>
      <c r="P520" s="12"/>
    </row>
    <row r="521">
      <c r="C521" s="25"/>
      <c r="D521" s="31"/>
      <c r="E521" s="31"/>
      <c r="F521" s="31"/>
      <c r="G521" s="29"/>
      <c r="H521" s="12"/>
      <c r="I521" s="12"/>
      <c r="J521" s="12"/>
      <c r="K521" s="12"/>
      <c r="L521" s="18" t="str">
        <f t="shared" si="1"/>
        <v>#DIV/0!</v>
      </c>
      <c r="M521" s="18" t="str">
        <f t="shared" si="2"/>
        <v>#DIV/0!</v>
      </c>
      <c r="N521" s="12" t="str">
        <f t="shared" si="4"/>
        <v/>
      </c>
      <c r="O521" s="18" t="str">
        <f t="shared" si="3"/>
        <v>#DIV/0!</v>
      </c>
      <c r="P521" s="12"/>
    </row>
    <row r="522">
      <c r="C522" s="25"/>
      <c r="D522" s="31"/>
      <c r="E522" s="31"/>
      <c r="F522" s="31"/>
      <c r="G522" s="29"/>
      <c r="H522" s="12"/>
      <c r="I522" s="12"/>
      <c r="J522" s="12"/>
      <c r="K522" s="12"/>
      <c r="L522" s="18" t="str">
        <f t="shared" si="1"/>
        <v>#DIV/0!</v>
      </c>
      <c r="M522" s="18" t="str">
        <f t="shared" si="2"/>
        <v>#DIV/0!</v>
      </c>
      <c r="N522" s="12" t="str">
        <f t="shared" si="4"/>
        <v/>
      </c>
      <c r="O522" s="18" t="str">
        <f t="shared" si="3"/>
        <v>#DIV/0!</v>
      </c>
      <c r="P522" s="12"/>
    </row>
    <row r="523">
      <c r="C523" s="25"/>
      <c r="D523" s="31"/>
      <c r="E523" s="31"/>
      <c r="F523" s="31"/>
      <c r="G523" s="29"/>
      <c r="H523" s="12"/>
      <c r="I523" s="12"/>
      <c r="J523" s="12"/>
      <c r="K523" s="12"/>
      <c r="L523" s="18" t="str">
        <f t="shared" si="1"/>
        <v>#DIV/0!</v>
      </c>
      <c r="M523" s="18" t="str">
        <f t="shared" si="2"/>
        <v>#DIV/0!</v>
      </c>
      <c r="N523" s="12" t="str">
        <f t="shared" si="4"/>
        <v/>
      </c>
      <c r="O523" s="18" t="str">
        <f t="shared" si="3"/>
        <v>#DIV/0!</v>
      </c>
      <c r="P523" s="12"/>
    </row>
    <row r="524">
      <c r="C524" s="25"/>
      <c r="D524" s="31"/>
      <c r="E524" s="31"/>
      <c r="F524" s="31"/>
      <c r="G524" s="29"/>
      <c r="H524" s="12"/>
      <c r="I524" s="12"/>
      <c r="J524" s="12"/>
      <c r="K524" s="12"/>
      <c r="L524" s="18" t="str">
        <f t="shared" si="1"/>
        <v>#DIV/0!</v>
      </c>
      <c r="M524" s="18" t="str">
        <f t="shared" si="2"/>
        <v>#DIV/0!</v>
      </c>
      <c r="N524" s="12" t="str">
        <f t="shared" si="4"/>
        <v/>
      </c>
      <c r="O524" s="18" t="str">
        <f t="shared" si="3"/>
        <v>#DIV/0!</v>
      </c>
      <c r="P524" s="12"/>
    </row>
    <row r="525">
      <c r="C525" s="25"/>
      <c r="D525" s="31"/>
      <c r="E525" s="31"/>
      <c r="F525" s="31"/>
      <c r="G525" s="29"/>
      <c r="H525" s="12"/>
      <c r="I525" s="12"/>
      <c r="J525" s="12"/>
      <c r="K525" s="12"/>
      <c r="L525" s="18" t="str">
        <f t="shared" si="1"/>
        <v>#DIV/0!</v>
      </c>
      <c r="M525" s="18" t="str">
        <f t="shared" si="2"/>
        <v>#DIV/0!</v>
      </c>
      <c r="N525" s="12" t="str">
        <f t="shared" si="4"/>
        <v/>
      </c>
      <c r="O525" s="18" t="str">
        <f t="shared" si="3"/>
        <v>#DIV/0!</v>
      </c>
      <c r="P525" s="12"/>
    </row>
    <row r="526">
      <c r="C526" s="25"/>
      <c r="D526" s="31"/>
      <c r="E526" s="31"/>
      <c r="F526" s="31"/>
      <c r="G526" s="29"/>
      <c r="H526" s="12"/>
      <c r="I526" s="12"/>
      <c r="J526" s="12"/>
      <c r="K526" s="12"/>
      <c r="L526" s="18" t="str">
        <f t="shared" si="1"/>
        <v>#DIV/0!</v>
      </c>
      <c r="M526" s="18" t="str">
        <f t="shared" si="2"/>
        <v>#DIV/0!</v>
      </c>
      <c r="N526" s="12" t="str">
        <f t="shared" si="4"/>
        <v/>
      </c>
      <c r="O526" s="18" t="str">
        <f t="shared" si="3"/>
        <v>#DIV/0!</v>
      </c>
      <c r="P526" s="12"/>
    </row>
    <row r="527">
      <c r="C527" s="25"/>
      <c r="D527" s="31"/>
      <c r="E527" s="31"/>
      <c r="F527" s="31"/>
      <c r="G527" s="29"/>
      <c r="H527" s="12"/>
      <c r="I527" s="12"/>
      <c r="J527" s="12"/>
      <c r="K527" s="12"/>
      <c r="L527" s="18" t="str">
        <f t="shared" si="1"/>
        <v>#DIV/0!</v>
      </c>
      <c r="M527" s="18" t="str">
        <f t="shared" si="2"/>
        <v>#DIV/0!</v>
      </c>
      <c r="N527" s="12" t="str">
        <f t="shared" si="4"/>
        <v/>
      </c>
      <c r="O527" s="18" t="str">
        <f t="shared" si="3"/>
        <v>#DIV/0!</v>
      </c>
      <c r="P527" s="12"/>
    </row>
    <row r="528">
      <c r="C528" s="25"/>
      <c r="D528" s="31"/>
      <c r="E528" s="31"/>
      <c r="F528" s="31"/>
      <c r="G528" s="29"/>
      <c r="H528" s="12"/>
      <c r="I528" s="12"/>
      <c r="J528" s="12"/>
      <c r="K528" s="12"/>
      <c r="L528" s="18" t="str">
        <f t="shared" si="1"/>
        <v>#DIV/0!</v>
      </c>
      <c r="M528" s="18" t="str">
        <f t="shared" si="2"/>
        <v>#DIV/0!</v>
      </c>
      <c r="N528" s="12" t="str">
        <f t="shared" si="4"/>
        <v/>
      </c>
      <c r="O528" s="18" t="str">
        <f t="shared" si="3"/>
        <v>#DIV/0!</v>
      </c>
      <c r="P528" s="12"/>
    </row>
    <row r="529">
      <c r="C529" s="25"/>
      <c r="D529" s="31"/>
      <c r="E529" s="31"/>
      <c r="F529" s="31"/>
      <c r="G529" s="29"/>
      <c r="H529" s="12"/>
      <c r="I529" s="12"/>
      <c r="J529" s="12"/>
      <c r="K529" s="12"/>
      <c r="L529" s="18" t="str">
        <f t="shared" si="1"/>
        <v>#DIV/0!</v>
      </c>
      <c r="M529" s="18" t="str">
        <f t="shared" si="2"/>
        <v>#DIV/0!</v>
      </c>
      <c r="N529" s="12" t="str">
        <f t="shared" si="4"/>
        <v/>
      </c>
      <c r="O529" s="18" t="str">
        <f t="shared" si="3"/>
        <v>#DIV/0!</v>
      </c>
      <c r="P529" s="12"/>
    </row>
    <row r="530">
      <c r="C530" s="25"/>
      <c r="D530" s="31"/>
      <c r="E530" s="31"/>
      <c r="F530" s="31"/>
      <c r="G530" s="29"/>
      <c r="H530" s="12"/>
      <c r="I530" s="12"/>
      <c r="J530" s="12"/>
      <c r="K530" s="12"/>
      <c r="L530" s="18" t="str">
        <f t="shared" si="1"/>
        <v>#DIV/0!</v>
      </c>
      <c r="M530" s="18" t="str">
        <f t="shared" si="2"/>
        <v>#DIV/0!</v>
      </c>
      <c r="N530" s="12" t="str">
        <f t="shared" si="4"/>
        <v/>
      </c>
      <c r="O530" s="18" t="str">
        <f t="shared" si="3"/>
        <v>#DIV/0!</v>
      </c>
      <c r="P530" s="12"/>
    </row>
    <row r="531">
      <c r="C531" s="25"/>
      <c r="D531" s="31"/>
      <c r="E531" s="31"/>
      <c r="F531" s="31"/>
      <c r="G531" s="29"/>
      <c r="H531" s="12"/>
      <c r="I531" s="12"/>
      <c r="J531" s="12"/>
      <c r="K531" s="12"/>
      <c r="L531" s="18" t="str">
        <f t="shared" si="1"/>
        <v>#DIV/0!</v>
      </c>
      <c r="M531" s="18" t="str">
        <f t="shared" si="2"/>
        <v>#DIV/0!</v>
      </c>
      <c r="N531" s="12" t="str">
        <f t="shared" si="4"/>
        <v/>
      </c>
      <c r="O531" s="18" t="str">
        <f t="shared" si="3"/>
        <v>#DIV/0!</v>
      </c>
      <c r="P531" s="12"/>
    </row>
    <row r="532">
      <c r="C532" s="25"/>
      <c r="D532" s="31"/>
      <c r="E532" s="31"/>
      <c r="F532" s="31"/>
      <c r="G532" s="29"/>
      <c r="H532" s="12"/>
      <c r="I532" s="12"/>
      <c r="J532" s="12"/>
      <c r="K532" s="12"/>
      <c r="L532" s="18" t="str">
        <f t="shared" si="1"/>
        <v>#DIV/0!</v>
      </c>
      <c r="M532" s="18" t="str">
        <f t="shared" si="2"/>
        <v>#DIV/0!</v>
      </c>
      <c r="N532" s="12" t="str">
        <f t="shared" si="4"/>
        <v/>
      </c>
      <c r="O532" s="18" t="str">
        <f t="shared" si="3"/>
        <v>#DIV/0!</v>
      </c>
      <c r="P532" s="12"/>
    </row>
    <row r="533">
      <c r="C533" s="25"/>
      <c r="D533" s="31"/>
      <c r="E533" s="31"/>
      <c r="F533" s="31"/>
      <c r="G533" s="29"/>
      <c r="H533" s="12"/>
      <c r="I533" s="12"/>
      <c r="J533" s="12"/>
      <c r="K533" s="12"/>
      <c r="L533" s="18" t="str">
        <f t="shared" si="1"/>
        <v>#DIV/0!</v>
      </c>
      <c r="M533" s="18" t="str">
        <f t="shared" si="2"/>
        <v>#DIV/0!</v>
      </c>
      <c r="N533" s="12" t="str">
        <f t="shared" si="4"/>
        <v/>
      </c>
      <c r="O533" s="18" t="str">
        <f t="shared" si="3"/>
        <v>#DIV/0!</v>
      </c>
      <c r="P533" s="12"/>
    </row>
    <row r="534">
      <c r="C534" s="25"/>
      <c r="D534" s="31"/>
      <c r="E534" s="31"/>
      <c r="F534" s="31"/>
      <c r="G534" s="29"/>
      <c r="H534" s="12"/>
      <c r="I534" s="12"/>
      <c r="J534" s="12"/>
      <c r="K534" s="12"/>
      <c r="L534" s="18" t="str">
        <f t="shared" si="1"/>
        <v>#DIV/0!</v>
      </c>
      <c r="M534" s="18" t="str">
        <f t="shared" si="2"/>
        <v>#DIV/0!</v>
      </c>
      <c r="N534" s="12" t="str">
        <f t="shared" si="4"/>
        <v/>
      </c>
      <c r="O534" s="18" t="str">
        <f t="shared" si="3"/>
        <v>#DIV/0!</v>
      </c>
      <c r="P534" s="12"/>
    </row>
    <row r="535">
      <c r="C535" s="25"/>
      <c r="D535" s="31"/>
      <c r="E535" s="31"/>
      <c r="F535" s="31"/>
      <c r="G535" s="29"/>
      <c r="H535" s="12"/>
      <c r="I535" s="12"/>
      <c r="J535" s="12"/>
      <c r="K535" s="12"/>
      <c r="L535" s="18" t="str">
        <f t="shared" si="1"/>
        <v>#DIV/0!</v>
      </c>
      <c r="M535" s="18" t="str">
        <f t="shared" si="2"/>
        <v>#DIV/0!</v>
      </c>
      <c r="N535" s="12" t="str">
        <f t="shared" si="4"/>
        <v/>
      </c>
      <c r="O535" s="18" t="str">
        <f t="shared" si="3"/>
        <v>#DIV/0!</v>
      </c>
      <c r="P535" s="12"/>
    </row>
    <row r="536">
      <c r="C536" s="25"/>
      <c r="D536" s="31"/>
      <c r="E536" s="31"/>
      <c r="F536" s="31"/>
      <c r="G536" s="29"/>
      <c r="H536" s="12"/>
      <c r="I536" s="12"/>
      <c r="J536" s="12"/>
      <c r="K536" s="12"/>
      <c r="L536" s="18" t="str">
        <f t="shared" si="1"/>
        <v>#DIV/0!</v>
      </c>
      <c r="M536" s="18" t="str">
        <f t="shared" si="2"/>
        <v>#DIV/0!</v>
      </c>
      <c r="N536" s="12" t="str">
        <f t="shared" si="4"/>
        <v/>
      </c>
      <c r="O536" s="18" t="str">
        <f t="shared" si="3"/>
        <v>#DIV/0!</v>
      </c>
      <c r="P536" s="12"/>
    </row>
    <row r="537">
      <c r="C537" s="25"/>
      <c r="D537" s="31"/>
      <c r="E537" s="31"/>
      <c r="F537" s="31"/>
      <c r="G537" s="29"/>
      <c r="H537" s="12"/>
      <c r="I537" s="12"/>
      <c r="J537" s="12"/>
      <c r="K537" s="12"/>
      <c r="L537" s="18" t="str">
        <f t="shared" si="1"/>
        <v>#DIV/0!</v>
      </c>
      <c r="M537" s="18" t="str">
        <f t="shared" si="2"/>
        <v>#DIV/0!</v>
      </c>
      <c r="N537" s="12" t="str">
        <f t="shared" si="4"/>
        <v/>
      </c>
      <c r="O537" s="18" t="str">
        <f t="shared" si="3"/>
        <v>#DIV/0!</v>
      </c>
      <c r="P537" s="12"/>
    </row>
    <row r="538">
      <c r="C538" s="25"/>
      <c r="D538" s="31"/>
      <c r="E538" s="31"/>
      <c r="F538" s="31"/>
      <c r="G538" s="29"/>
      <c r="H538" s="12"/>
      <c r="I538" s="12"/>
      <c r="J538" s="12"/>
      <c r="K538" s="12"/>
      <c r="L538" s="18" t="str">
        <f t="shared" si="1"/>
        <v>#DIV/0!</v>
      </c>
      <c r="M538" s="18" t="str">
        <f t="shared" si="2"/>
        <v>#DIV/0!</v>
      </c>
      <c r="N538" s="12" t="str">
        <f t="shared" si="4"/>
        <v/>
      </c>
      <c r="O538" s="18" t="str">
        <f t="shared" si="3"/>
        <v>#DIV/0!</v>
      </c>
      <c r="P538" s="12"/>
    </row>
    <row r="539">
      <c r="C539" s="25"/>
      <c r="D539" s="31"/>
      <c r="E539" s="31"/>
      <c r="F539" s="31"/>
      <c r="G539" s="29"/>
      <c r="H539" s="12"/>
      <c r="I539" s="12"/>
      <c r="J539" s="12"/>
      <c r="K539" s="12"/>
      <c r="L539" s="18" t="str">
        <f t="shared" si="1"/>
        <v>#DIV/0!</v>
      </c>
      <c r="M539" s="18" t="str">
        <f t="shared" si="2"/>
        <v>#DIV/0!</v>
      </c>
      <c r="N539" s="12" t="str">
        <f t="shared" si="4"/>
        <v/>
      </c>
      <c r="O539" s="18" t="str">
        <f t="shared" si="3"/>
        <v>#DIV/0!</v>
      </c>
      <c r="P539" s="12"/>
    </row>
    <row r="540">
      <c r="C540" s="25"/>
      <c r="D540" s="31"/>
      <c r="E540" s="31"/>
      <c r="F540" s="31"/>
      <c r="G540" s="29"/>
      <c r="H540" s="12"/>
      <c r="I540" s="12"/>
      <c r="J540" s="12"/>
      <c r="K540" s="12"/>
      <c r="L540" s="18" t="str">
        <f t="shared" si="1"/>
        <v>#DIV/0!</v>
      </c>
      <c r="M540" s="18" t="str">
        <f t="shared" si="2"/>
        <v>#DIV/0!</v>
      </c>
      <c r="N540" s="12" t="str">
        <f t="shared" si="4"/>
        <v/>
      </c>
      <c r="O540" s="18" t="str">
        <f t="shared" si="3"/>
        <v>#DIV/0!</v>
      </c>
      <c r="P540" s="12"/>
    </row>
    <row r="541">
      <c r="C541" s="25"/>
      <c r="D541" s="31"/>
      <c r="E541" s="31"/>
      <c r="F541" s="31"/>
      <c r="G541" s="29"/>
      <c r="H541" s="12"/>
      <c r="I541" s="12"/>
      <c r="J541" s="12"/>
      <c r="K541" s="12"/>
      <c r="L541" s="18" t="str">
        <f t="shared" si="1"/>
        <v>#DIV/0!</v>
      </c>
      <c r="M541" s="18" t="str">
        <f t="shared" si="2"/>
        <v>#DIV/0!</v>
      </c>
      <c r="N541" s="12" t="str">
        <f t="shared" si="4"/>
        <v/>
      </c>
      <c r="O541" s="18" t="str">
        <f t="shared" si="3"/>
        <v>#DIV/0!</v>
      </c>
      <c r="P541" s="12"/>
    </row>
    <row r="542">
      <c r="C542" s="25"/>
      <c r="D542" s="31"/>
      <c r="E542" s="31"/>
      <c r="F542" s="31"/>
      <c r="G542" s="29"/>
      <c r="H542" s="12"/>
      <c r="I542" s="12"/>
      <c r="J542" s="12"/>
      <c r="K542" s="12"/>
      <c r="L542" s="18" t="str">
        <f t="shared" si="1"/>
        <v>#DIV/0!</v>
      </c>
      <c r="M542" s="18" t="str">
        <f t="shared" si="2"/>
        <v>#DIV/0!</v>
      </c>
      <c r="N542" s="12" t="str">
        <f t="shared" si="4"/>
        <v/>
      </c>
      <c r="O542" s="18" t="str">
        <f t="shared" si="3"/>
        <v>#DIV/0!</v>
      </c>
      <c r="P542" s="12"/>
    </row>
    <row r="543">
      <c r="C543" s="25"/>
      <c r="D543" s="31"/>
      <c r="E543" s="31"/>
      <c r="F543" s="31"/>
      <c r="G543" s="29"/>
      <c r="H543" s="12"/>
      <c r="I543" s="12"/>
      <c r="J543" s="12"/>
      <c r="K543" s="12"/>
      <c r="L543" s="18" t="str">
        <f t="shared" si="1"/>
        <v>#DIV/0!</v>
      </c>
      <c r="M543" s="18" t="str">
        <f t="shared" si="2"/>
        <v>#DIV/0!</v>
      </c>
      <c r="N543" s="12" t="str">
        <f t="shared" si="4"/>
        <v/>
      </c>
      <c r="O543" s="18" t="str">
        <f t="shared" si="3"/>
        <v>#DIV/0!</v>
      </c>
      <c r="P543" s="12"/>
    </row>
    <row r="544">
      <c r="C544" s="25"/>
      <c r="D544" s="31"/>
      <c r="E544" s="31"/>
      <c r="F544" s="31"/>
      <c r="G544" s="29"/>
      <c r="H544" s="12"/>
      <c r="I544" s="12"/>
      <c r="J544" s="12"/>
      <c r="K544" s="12"/>
      <c r="L544" s="18" t="str">
        <f t="shared" si="1"/>
        <v>#DIV/0!</v>
      </c>
      <c r="M544" s="18" t="str">
        <f t="shared" si="2"/>
        <v>#DIV/0!</v>
      </c>
      <c r="N544" s="12" t="str">
        <f t="shared" si="4"/>
        <v/>
      </c>
      <c r="O544" s="18" t="str">
        <f t="shared" si="3"/>
        <v>#DIV/0!</v>
      </c>
      <c r="P544" s="12"/>
    </row>
    <row r="545">
      <c r="C545" s="25"/>
      <c r="D545" s="31"/>
      <c r="E545" s="31"/>
      <c r="F545" s="31"/>
      <c r="G545" s="29"/>
      <c r="H545" s="12"/>
      <c r="I545" s="12"/>
      <c r="J545" s="12"/>
      <c r="K545" s="12"/>
      <c r="L545" s="18" t="str">
        <f t="shared" si="1"/>
        <v>#DIV/0!</v>
      </c>
      <c r="M545" s="18" t="str">
        <f t="shared" si="2"/>
        <v>#DIV/0!</v>
      </c>
      <c r="N545" s="12" t="str">
        <f t="shared" si="4"/>
        <v/>
      </c>
      <c r="O545" s="18" t="str">
        <f t="shared" si="3"/>
        <v>#DIV/0!</v>
      </c>
      <c r="P545" s="12"/>
    </row>
    <row r="546">
      <c r="C546" s="25"/>
      <c r="D546" s="31"/>
      <c r="E546" s="31"/>
      <c r="F546" s="31"/>
      <c r="G546" s="29"/>
      <c r="H546" s="12"/>
      <c r="I546" s="12"/>
      <c r="J546" s="12"/>
      <c r="K546" s="12"/>
      <c r="L546" s="18" t="str">
        <f t="shared" si="1"/>
        <v>#DIV/0!</v>
      </c>
      <c r="M546" s="18" t="str">
        <f t="shared" si="2"/>
        <v>#DIV/0!</v>
      </c>
      <c r="N546" s="12" t="str">
        <f t="shared" si="4"/>
        <v/>
      </c>
      <c r="O546" s="18" t="str">
        <f t="shared" si="3"/>
        <v>#DIV/0!</v>
      </c>
      <c r="P546" s="12"/>
    </row>
    <row r="547">
      <c r="C547" s="25"/>
      <c r="D547" s="31"/>
      <c r="E547" s="31"/>
      <c r="F547" s="31"/>
      <c r="G547" s="29"/>
      <c r="H547" s="12"/>
      <c r="I547" s="12"/>
      <c r="J547" s="12"/>
      <c r="K547" s="12"/>
      <c r="L547" s="18" t="str">
        <f t="shared" si="1"/>
        <v>#DIV/0!</v>
      </c>
      <c r="M547" s="18" t="str">
        <f t="shared" si="2"/>
        <v>#DIV/0!</v>
      </c>
      <c r="N547" s="12" t="str">
        <f t="shared" si="4"/>
        <v/>
      </c>
      <c r="O547" s="18" t="str">
        <f t="shared" si="3"/>
        <v>#DIV/0!</v>
      </c>
      <c r="P547" s="12"/>
    </row>
    <row r="548">
      <c r="C548" s="25"/>
      <c r="D548" s="31"/>
      <c r="E548" s="31"/>
      <c r="F548" s="31"/>
      <c r="G548" s="29"/>
      <c r="H548" s="12"/>
      <c r="I548" s="12"/>
      <c r="J548" s="12"/>
      <c r="K548" s="12"/>
      <c r="L548" s="18" t="str">
        <f t="shared" si="1"/>
        <v>#DIV/0!</v>
      </c>
      <c r="M548" s="18" t="str">
        <f t="shared" si="2"/>
        <v>#DIV/0!</v>
      </c>
      <c r="N548" s="12" t="str">
        <f t="shared" si="4"/>
        <v/>
      </c>
      <c r="O548" s="18" t="str">
        <f t="shared" si="3"/>
        <v>#DIV/0!</v>
      </c>
      <c r="P548" s="12"/>
    </row>
    <row r="549">
      <c r="C549" s="25"/>
      <c r="D549" s="31"/>
      <c r="E549" s="31"/>
      <c r="F549" s="31"/>
      <c r="G549" s="29"/>
      <c r="H549" s="12"/>
      <c r="I549" s="12"/>
      <c r="J549" s="12"/>
      <c r="K549" s="12"/>
      <c r="L549" s="18" t="str">
        <f t="shared" si="1"/>
        <v>#DIV/0!</v>
      </c>
      <c r="M549" s="18" t="str">
        <f t="shared" si="2"/>
        <v>#DIV/0!</v>
      </c>
      <c r="N549" s="12" t="str">
        <f t="shared" si="4"/>
        <v/>
      </c>
      <c r="O549" s="18" t="str">
        <f t="shared" si="3"/>
        <v>#DIV/0!</v>
      </c>
      <c r="P549" s="12"/>
    </row>
    <row r="550">
      <c r="C550" s="25"/>
      <c r="D550" s="31"/>
      <c r="E550" s="31"/>
      <c r="F550" s="31"/>
      <c r="G550" s="29"/>
      <c r="H550" s="12"/>
      <c r="I550" s="12"/>
      <c r="J550" s="12"/>
      <c r="K550" s="12"/>
      <c r="L550" s="18" t="str">
        <f t="shared" si="1"/>
        <v>#DIV/0!</v>
      </c>
      <c r="M550" s="18" t="str">
        <f t="shared" si="2"/>
        <v>#DIV/0!</v>
      </c>
      <c r="N550" s="12" t="str">
        <f t="shared" si="4"/>
        <v/>
      </c>
      <c r="O550" s="18" t="str">
        <f t="shared" si="3"/>
        <v>#DIV/0!</v>
      </c>
      <c r="P550" s="12"/>
    </row>
    <row r="551">
      <c r="C551" s="25"/>
      <c r="D551" s="31"/>
      <c r="E551" s="31"/>
      <c r="F551" s="31"/>
      <c r="G551" s="29"/>
      <c r="H551" s="12"/>
      <c r="I551" s="12"/>
      <c r="J551" s="12"/>
      <c r="K551" s="12"/>
      <c r="L551" s="18" t="str">
        <f t="shared" si="1"/>
        <v>#DIV/0!</v>
      </c>
      <c r="M551" s="18" t="str">
        <f t="shared" si="2"/>
        <v>#DIV/0!</v>
      </c>
      <c r="N551" s="12" t="str">
        <f t="shared" si="4"/>
        <v/>
      </c>
      <c r="O551" s="18" t="str">
        <f t="shared" si="3"/>
        <v>#DIV/0!</v>
      </c>
      <c r="P551" s="12"/>
    </row>
    <row r="552">
      <c r="C552" s="25"/>
      <c r="D552" s="31"/>
      <c r="E552" s="31"/>
      <c r="F552" s="31"/>
      <c r="G552" s="29"/>
      <c r="H552" s="12"/>
      <c r="I552" s="12"/>
      <c r="J552" s="12"/>
      <c r="K552" s="12"/>
      <c r="L552" s="18" t="str">
        <f t="shared" si="1"/>
        <v>#DIV/0!</v>
      </c>
      <c r="M552" s="18" t="str">
        <f t="shared" si="2"/>
        <v>#DIV/0!</v>
      </c>
      <c r="N552" s="12" t="str">
        <f t="shared" si="4"/>
        <v/>
      </c>
      <c r="O552" s="18" t="str">
        <f t="shared" si="3"/>
        <v>#DIV/0!</v>
      </c>
      <c r="P552" s="12"/>
    </row>
    <row r="553">
      <c r="C553" s="25"/>
      <c r="D553" s="31"/>
      <c r="E553" s="31"/>
      <c r="F553" s="31"/>
      <c r="G553" s="29"/>
      <c r="H553" s="12"/>
      <c r="I553" s="12"/>
      <c r="J553" s="12"/>
      <c r="K553" s="12"/>
      <c r="L553" s="18" t="str">
        <f t="shared" si="1"/>
        <v>#DIV/0!</v>
      </c>
      <c r="M553" s="18" t="str">
        <f t="shared" si="2"/>
        <v>#DIV/0!</v>
      </c>
      <c r="N553" s="12" t="str">
        <f t="shared" si="4"/>
        <v/>
      </c>
      <c r="O553" s="18" t="str">
        <f t="shared" si="3"/>
        <v>#DIV/0!</v>
      </c>
      <c r="P553" s="12"/>
    </row>
    <row r="554">
      <c r="C554" s="25"/>
      <c r="D554" s="31"/>
      <c r="E554" s="31"/>
      <c r="F554" s="31"/>
      <c r="G554" s="29"/>
      <c r="H554" s="12"/>
      <c r="I554" s="12"/>
      <c r="J554" s="12"/>
      <c r="K554" s="12"/>
      <c r="L554" s="18" t="str">
        <f t="shared" si="1"/>
        <v>#DIV/0!</v>
      </c>
      <c r="M554" s="18" t="str">
        <f t="shared" si="2"/>
        <v>#DIV/0!</v>
      </c>
      <c r="N554" s="12" t="str">
        <f t="shared" si="4"/>
        <v/>
      </c>
      <c r="O554" s="18" t="str">
        <f t="shared" si="3"/>
        <v>#DIV/0!</v>
      </c>
      <c r="P554" s="12"/>
    </row>
    <row r="555">
      <c r="C555" s="25"/>
      <c r="D555" s="31"/>
      <c r="E555" s="31"/>
      <c r="F555" s="31"/>
      <c r="G555" s="29"/>
      <c r="H555" s="12"/>
      <c r="I555" s="12"/>
      <c r="J555" s="12"/>
      <c r="K555" s="12"/>
      <c r="L555" s="18" t="str">
        <f t="shared" si="1"/>
        <v>#DIV/0!</v>
      </c>
      <c r="M555" s="18" t="str">
        <f t="shared" si="2"/>
        <v>#DIV/0!</v>
      </c>
      <c r="N555" s="12" t="str">
        <f t="shared" si="4"/>
        <v/>
      </c>
      <c r="O555" s="18" t="str">
        <f t="shared" si="3"/>
        <v>#DIV/0!</v>
      </c>
      <c r="P555" s="12"/>
    </row>
    <row r="556">
      <c r="C556" s="25"/>
      <c r="D556" s="31"/>
      <c r="E556" s="31"/>
      <c r="F556" s="31"/>
      <c r="G556" s="29"/>
      <c r="H556" s="12"/>
      <c r="I556" s="12"/>
      <c r="J556" s="12"/>
      <c r="K556" s="12"/>
      <c r="L556" s="18" t="str">
        <f t="shared" si="1"/>
        <v>#DIV/0!</v>
      </c>
      <c r="M556" s="18" t="str">
        <f t="shared" si="2"/>
        <v>#DIV/0!</v>
      </c>
      <c r="N556" s="12" t="str">
        <f t="shared" si="4"/>
        <v/>
      </c>
      <c r="O556" s="18" t="str">
        <f t="shared" si="3"/>
        <v>#DIV/0!</v>
      </c>
      <c r="P556" s="12"/>
    </row>
    <row r="557">
      <c r="C557" s="25"/>
      <c r="D557" s="31"/>
      <c r="E557" s="31"/>
      <c r="F557" s="31"/>
      <c r="G557" s="29"/>
      <c r="H557" s="12"/>
      <c r="I557" s="12"/>
      <c r="J557" s="12"/>
      <c r="K557" s="12"/>
      <c r="L557" s="18" t="str">
        <f t="shared" si="1"/>
        <v>#DIV/0!</v>
      </c>
      <c r="M557" s="18" t="str">
        <f t="shared" si="2"/>
        <v>#DIV/0!</v>
      </c>
      <c r="N557" s="12" t="str">
        <f t="shared" si="4"/>
        <v/>
      </c>
      <c r="O557" s="18" t="str">
        <f t="shared" si="3"/>
        <v>#DIV/0!</v>
      </c>
      <c r="P557" s="12"/>
    </row>
    <row r="558">
      <c r="C558" s="25"/>
      <c r="D558" s="31"/>
      <c r="E558" s="31"/>
      <c r="F558" s="31"/>
      <c r="G558" s="29"/>
      <c r="H558" s="12"/>
      <c r="I558" s="12"/>
      <c r="J558" s="12"/>
      <c r="K558" s="12"/>
      <c r="L558" s="18" t="str">
        <f t="shared" si="1"/>
        <v>#DIV/0!</v>
      </c>
      <c r="M558" s="18" t="str">
        <f t="shared" si="2"/>
        <v>#DIV/0!</v>
      </c>
      <c r="N558" s="12" t="str">
        <f t="shared" si="4"/>
        <v/>
      </c>
      <c r="O558" s="18" t="str">
        <f t="shared" si="3"/>
        <v>#DIV/0!</v>
      </c>
      <c r="P558" s="12"/>
    </row>
    <row r="559">
      <c r="C559" s="25"/>
      <c r="D559" s="31"/>
      <c r="E559" s="31"/>
      <c r="F559" s="31"/>
      <c r="G559" s="29"/>
      <c r="H559" s="12"/>
      <c r="I559" s="12"/>
      <c r="J559" s="12"/>
      <c r="K559" s="12"/>
      <c r="L559" s="18" t="str">
        <f t="shared" si="1"/>
        <v>#DIV/0!</v>
      </c>
      <c r="M559" s="18" t="str">
        <f t="shared" si="2"/>
        <v>#DIV/0!</v>
      </c>
      <c r="N559" s="12" t="str">
        <f t="shared" si="4"/>
        <v/>
      </c>
      <c r="O559" s="18" t="str">
        <f t="shared" si="3"/>
        <v>#DIV/0!</v>
      </c>
      <c r="P559" s="12"/>
    </row>
    <row r="560">
      <c r="C560" s="25"/>
      <c r="D560" s="31"/>
      <c r="E560" s="31"/>
      <c r="F560" s="31"/>
      <c r="G560" s="29"/>
      <c r="H560" s="12"/>
      <c r="I560" s="12"/>
      <c r="J560" s="12"/>
      <c r="K560" s="12"/>
      <c r="L560" s="18" t="str">
        <f t="shared" si="1"/>
        <v>#DIV/0!</v>
      </c>
      <c r="M560" s="18" t="str">
        <f t="shared" si="2"/>
        <v>#DIV/0!</v>
      </c>
      <c r="N560" s="12" t="str">
        <f t="shared" si="4"/>
        <v/>
      </c>
      <c r="O560" s="18" t="str">
        <f t="shared" si="3"/>
        <v>#DIV/0!</v>
      </c>
      <c r="P560" s="12"/>
    </row>
    <row r="561">
      <c r="C561" s="25"/>
      <c r="D561" s="31"/>
      <c r="E561" s="31"/>
      <c r="F561" s="31"/>
      <c r="G561" s="29"/>
      <c r="H561" s="12"/>
      <c r="I561" s="12"/>
      <c r="J561" s="12"/>
      <c r="K561" s="12"/>
      <c r="L561" s="18" t="str">
        <f t="shared" si="1"/>
        <v>#DIV/0!</v>
      </c>
      <c r="M561" s="18" t="str">
        <f t="shared" si="2"/>
        <v>#DIV/0!</v>
      </c>
      <c r="N561" s="12" t="str">
        <f t="shared" si="4"/>
        <v/>
      </c>
      <c r="O561" s="18" t="str">
        <f t="shared" si="3"/>
        <v>#DIV/0!</v>
      </c>
      <c r="P561" s="12"/>
    </row>
    <row r="562">
      <c r="C562" s="25"/>
      <c r="D562" s="31"/>
      <c r="E562" s="31"/>
      <c r="F562" s="31"/>
      <c r="G562" s="29"/>
      <c r="H562" s="12"/>
      <c r="I562" s="12"/>
      <c r="J562" s="12"/>
      <c r="K562" s="12"/>
      <c r="L562" s="18" t="str">
        <f t="shared" si="1"/>
        <v>#DIV/0!</v>
      </c>
      <c r="M562" s="18" t="str">
        <f t="shared" si="2"/>
        <v>#DIV/0!</v>
      </c>
      <c r="N562" s="12" t="str">
        <f t="shared" si="4"/>
        <v/>
      </c>
      <c r="O562" s="18" t="str">
        <f t="shared" si="3"/>
        <v>#DIV/0!</v>
      </c>
      <c r="P562" s="12"/>
    </row>
    <row r="563">
      <c r="C563" s="25"/>
      <c r="D563" s="31"/>
      <c r="E563" s="31"/>
      <c r="F563" s="31"/>
      <c r="G563" s="29"/>
      <c r="H563" s="12"/>
      <c r="I563" s="12"/>
      <c r="J563" s="12"/>
      <c r="K563" s="12"/>
      <c r="L563" s="18" t="str">
        <f t="shared" si="1"/>
        <v>#DIV/0!</v>
      </c>
      <c r="M563" s="18" t="str">
        <f t="shared" si="2"/>
        <v>#DIV/0!</v>
      </c>
      <c r="N563" s="12" t="str">
        <f t="shared" si="4"/>
        <v/>
      </c>
      <c r="O563" s="18" t="str">
        <f t="shared" si="3"/>
        <v>#DIV/0!</v>
      </c>
      <c r="P563" s="12"/>
    </row>
    <row r="564">
      <c r="C564" s="25"/>
      <c r="D564" s="31"/>
      <c r="E564" s="31"/>
      <c r="F564" s="31"/>
      <c r="G564" s="29"/>
      <c r="H564" s="12"/>
      <c r="I564" s="12"/>
      <c r="J564" s="12"/>
      <c r="K564" s="12"/>
      <c r="L564" s="18" t="str">
        <f t="shared" si="1"/>
        <v>#DIV/0!</v>
      </c>
      <c r="M564" s="18" t="str">
        <f t="shared" si="2"/>
        <v>#DIV/0!</v>
      </c>
      <c r="N564" s="12" t="str">
        <f t="shared" si="4"/>
        <v/>
      </c>
      <c r="O564" s="18" t="str">
        <f t="shared" si="3"/>
        <v>#DIV/0!</v>
      </c>
      <c r="P564" s="12"/>
    </row>
    <row r="565">
      <c r="C565" s="25"/>
      <c r="D565" s="31"/>
      <c r="E565" s="31"/>
      <c r="F565" s="31"/>
      <c r="G565" s="29"/>
      <c r="H565" s="12"/>
      <c r="I565" s="12"/>
      <c r="J565" s="12"/>
      <c r="K565" s="12"/>
      <c r="L565" s="18" t="str">
        <f t="shared" si="1"/>
        <v>#DIV/0!</v>
      </c>
      <c r="M565" s="18" t="str">
        <f t="shared" si="2"/>
        <v>#DIV/0!</v>
      </c>
      <c r="N565" s="12" t="str">
        <f t="shared" si="4"/>
        <v/>
      </c>
      <c r="O565" s="18" t="str">
        <f t="shared" si="3"/>
        <v>#DIV/0!</v>
      </c>
      <c r="P565" s="12"/>
    </row>
    <row r="566">
      <c r="C566" s="25"/>
      <c r="D566" s="31"/>
      <c r="E566" s="31"/>
      <c r="F566" s="31"/>
      <c r="G566" s="29"/>
      <c r="H566" s="12"/>
      <c r="I566" s="12"/>
      <c r="J566" s="12"/>
      <c r="K566" s="12"/>
      <c r="L566" s="18" t="str">
        <f t="shared" si="1"/>
        <v>#DIV/0!</v>
      </c>
      <c r="M566" s="18" t="str">
        <f t="shared" si="2"/>
        <v>#DIV/0!</v>
      </c>
      <c r="N566" s="12" t="str">
        <f t="shared" si="4"/>
        <v/>
      </c>
      <c r="O566" s="18" t="str">
        <f t="shared" si="3"/>
        <v>#DIV/0!</v>
      </c>
      <c r="P566" s="12"/>
    </row>
    <row r="567">
      <c r="C567" s="25"/>
      <c r="D567" s="31"/>
      <c r="E567" s="31"/>
      <c r="F567" s="31"/>
      <c r="G567" s="29"/>
      <c r="H567" s="12"/>
      <c r="I567" s="12"/>
      <c r="J567" s="12"/>
      <c r="K567" s="12"/>
      <c r="L567" s="18" t="str">
        <f t="shared" si="1"/>
        <v>#DIV/0!</v>
      </c>
      <c r="M567" s="18" t="str">
        <f t="shared" si="2"/>
        <v>#DIV/0!</v>
      </c>
      <c r="N567" s="12" t="str">
        <f t="shared" si="4"/>
        <v/>
      </c>
      <c r="O567" s="18" t="str">
        <f t="shared" si="3"/>
        <v>#DIV/0!</v>
      </c>
      <c r="P567" s="12"/>
    </row>
    <row r="568">
      <c r="C568" s="25"/>
      <c r="D568" s="31"/>
      <c r="E568" s="31"/>
      <c r="F568" s="31"/>
      <c r="G568" s="29"/>
      <c r="H568" s="12"/>
      <c r="I568" s="12"/>
      <c r="J568" s="12"/>
      <c r="K568" s="12"/>
      <c r="L568" s="18" t="str">
        <f t="shared" si="1"/>
        <v>#DIV/0!</v>
      </c>
      <c r="M568" s="18" t="str">
        <f t="shared" si="2"/>
        <v>#DIV/0!</v>
      </c>
      <c r="N568" s="12" t="str">
        <f t="shared" si="4"/>
        <v/>
      </c>
      <c r="O568" s="18" t="str">
        <f t="shared" si="3"/>
        <v>#DIV/0!</v>
      </c>
      <c r="P568" s="12"/>
    </row>
    <row r="569">
      <c r="C569" s="25"/>
      <c r="D569" s="31"/>
      <c r="E569" s="31"/>
      <c r="F569" s="31"/>
      <c r="G569" s="29"/>
      <c r="H569" s="12"/>
      <c r="I569" s="12"/>
      <c r="J569" s="12"/>
      <c r="K569" s="12"/>
      <c r="L569" s="18" t="str">
        <f t="shared" si="1"/>
        <v>#DIV/0!</v>
      </c>
      <c r="M569" s="18" t="str">
        <f t="shared" si="2"/>
        <v>#DIV/0!</v>
      </c>
      <c r="N569" s="12" t="str">
        <f t="shared" si="4"/>
        <v/>
      </c>
      <c r="O569" s="18" t="str">
        <f t="shared" si="3"/>
        <v>#DIV/0!</v>
      </c>
      <c r="P569" s="12"/>
    </row>
    <row r="570">
      <c r="C570" s="25"/>
      <c r="D570" s="31"/>
      <c r="E570" s="31"/>
      <c r="F570" s="31"/>
      <c r="G570" s="29"/>
      <c r="H570" s="12"/>
      <c r="I570" s="12"/>
      <c r="J570" s="12"/>
      <c r="K570" s="12"/>
      <c r="L570" s="18" t="str">
        <f t="shared" si="1"/>
        <v>#DIV/0!</v>
      </c>
      <c r="M570" s="18" t="str">
        <f t="shared" si="2"/>
        <v>#DIV/0!</v>
      </c>
      <c r="N570" s="12" t="str">
        <f t="shared" si="4"/>
        <v/>
      </c>
      <c r="O570" s="18" t="str">
        <f t="shared" si="3"/>
        <v>#DIV/0!</v>
      </c>
      <c r="P570" s="12"/>
    </row>
    <row r="571">
      <c r="C571" s="25"/>
      <c r="D571" s="31"/>
      <c r="E571" s="31"/>
      <c r="F571" s="31"/>
      <c r="G571" s="29"/>
      <c r="H571" s="12"/>
      <c r="I571" s="12"/>
      <c r="J571" s="12"/>
      <c r="K571" s="12"/>
      <c r="L571" s="18" t="str">
        <f t="shared" si="1"/>
        <v>#DIV/0!</v>
      </c>
      <c r="M571" s="18" t="str">
        <f t="shared" si="2"/>
        <v>#DIV/0!</v>
      </c>
      <c r="N571" s="12" t="str">
        <f t="shared" si="4"/>
        <v/>
      </c>
      <c r="O571" s="18" t="str">
        <f t="shared" si="3"/>
        <v>#DIV/0!</v>
      </c>
      <c r="P571" s="12"/>
    </row>
    <row r="572">
      <c r="C572" s="25"/>
      <c r="D572" s="31"/>
      <c r="E572" s="31"/>
      <c r="F572" s="31"/>
      <c r="G572" s="29"/>
      <c r="H572" s="12"/>
      <c r="I572" s="12"/>
      <c r="J572" s="12"/>
      <c r="K572" s="12"/>
      <c r="L572" s="18" t="str">
        <f t="shared" si="1"/>
        <v>#DIV/0!</v>
      </c>
      <c r="M572" s="18" t="str">
        <f t="shared" si="2"/>
        <v>#DIV/0!</v>
      </c>
      <c r="N572" s="12" t="str">
        <f t="shared" si="4"/>
        <v/>
      </c>
      <c r="O572" s="18" t="str">
        <f t="shared" si="3"/>
        <v>#DIV/0!</v>
      </c>
      <c r="P572" s="12"/>
    </row>
    <row r="573">
      <c r="C573" s="25"/>
      <c r="D573" s="31"/>
      <c r="E573" s="31"/>
      <c r="F573" s="31"/>
      <c r="G573" s="29"/>
      <c r="H573" s="12"/>
      <c r="I573" s="12"/>
      <c r="J573" s="12"/>
      <c r="K573" s="12"/>
      <c r="L573" s="18" t="str">
        <f t="shared" si="1"/>
        <v>#DIV/0!</v>
      </c>
      <c r="M573" s="18" t="str">
        <f t="shared" si="2"/>
        <v>#DIV/0!</v>
      </c>
      <c r="N573" s="12" t="str">
        <f t="shared" si="4"/>
        <v/>
      </c>
      <c r="O573" s="18" t="str">
        <f t="shared" si="3"/>
        <v>#DIV/0!</v>
      </c>
      <c r="P573" s="12"/>
    </row>
    <row r="574">
      <c r="C574" s="25"/>
      <c r="D574" s="31"/>
      <c r="E574" s="31"/>
      <c r="F574" s="31"/>
      <c r="G574" s="29"/>
      <c r="H574" s="12"/>
      <c r="I574" s="12"/>
      <c r="J574" s="12"/>
      <c r="K574" s="12"/>
      <c r="L574" s="18" t="str">
        <f t="shared" si="1"/>
        <v>#DIV/0!</v>
      </c>
      <c r="M574" s="18" t="str">
        <f t="shared" si="2"/>
        <v>#DIV/0!</v>
      </c>
      <c r="N574" s="12" t="str">
        <f t="shared" si="4"/>
        <v/>
      </c>
      <c r="O574" s="18" t="str">
        <f t="shared" si="3"/>
        <v>#DIV/0!</v>
      </c>
      <c r="P574" s="12"/>
    </row>
    <row r="575">
      <c r="C575" s="25"/>
      <c r="D575" s="31"/>
      <c r="E575" s="31"/>
      <c r="F575" s="31"/>
      <c r="G575" s="29"/>
      <c r="H575" s="12"/>
      <c r="I575" s="12"/>
      <c r="J575" s="12"/>
      <c r="K575" s="12"/>
      <c r="L575" s="18" t="str">
        <f t="shared" si="1"/>
        <v>#DIV/0!</v>
      </c>
      <c r="M575" s="18" t="str">
        <f t="shared" si="2"/>
        <v>#DIV/0!</v>
      </c>
      <c r="N575" s="12" t="str">
        <f t="shared" si="4"/>
        <v/>
      </c>
      <c r="O575" s="18" t="str">
        <f t="shared" si="3"/>
        <v>#DIV/0!</v>
      </c>
      <c r="P575" s="12"/>
    </row>
    <row r="576">
      <c r="C576" s="25"/>
      <c r="D576" s="31"/>
      <c r="E576" s="31"/>
      <c r="F576" s="31"/>
      <c r="G576" s="29"/>
      <c r="H576" s="12"/>
      <c r="I576" s="12"/>
      <c r="J576" s="12"/>
      <c r="K576" s="12"/>
      <c r="L576" s="18" t="str">
        <f t="shared" si="1"/>
        <v>#DIV/0!</v>
      </c>
      <c r="M576" s="18" t="str">
        <f t="shared" si="2"/>
        <v>#DIV/0!</v>
      </c>
      <c r="N576" s="12" t="str">
        <f t="shared" si="4"/>
        <v/>
      </c>
      <c r="O576" s="18" t="str">
        <f t="shared" si="3"/>
        <v>#DIV/0!</v>
      </c>
      <c r="P576" s="12"/>
    </row>
    <row r="577">
      <c r="C577" s="25"/>
      <c r="D577" s="31"/>
      <c r="E577" s="31"/>
      <c r="F577" s="31"/>
      <c r="G577" s="29"/>
      <c r="H577" s="12"/>
      <c r="I577" s="12"/>
      <c r="J577" s="12"/>
      <c r="K577" s="12"/>
      <c r="L577" s="18" t="str">
        <f t="shared" si="1"/>
        <v>#DIV/0!</v>
      </c>
      <c r="M577" s="18" t="str">
        <f t="shared" si="2"/>
        <v>#DIV/0!</v>
      </c>
      <c r="N577" s="12" t="str">
        <f t="shared" si="4"/>
        <v/>
      </c>
      <c r="O577" s="18" t="str">
        <f t="shared" si="3"/>
        <v>#DIV/0!</v>
      </c>
      <c r="P577" s="12"/>
    </row>
    <row r="578">
      <c r="C578" s="25"/>
      <c r="D578" s="31"/>
      <c r="E578" s="31"/>
      <c r="F578" s="31"/>
      <c r="G578" s="29"/>
      <c r="H578" s="12"/>
      <c r="I578" s="12"/>
      <c r="J578" s="12"/>
      <c r="K578" s="12"/>
      <c r="L578" s="18" t="str">
        <f t="shared" si="1"/>
        <v>#DIV/0!</v>
      </c>
      <c r="M578" s="18" t="str">
        <f t="shared" si="2"/>
        <v>#DIV/0!</v>
      </c>
      <c r="N578" s="12" t="str">
        <f t="shared" si="4"/>
        <v/>
      </c>
      <c r="O578" s="18" t="str">
        <f t="shared" si="3"/>
        <v>#DIV/0!</v>
      </c>
      <c r="P578" s="12"/>
    </row>
    <row r="579">
      <c r="C579" s="25"/>
      <c r="D579" s="31"/>
      <c r="E579" s="31"/>
      <c r="F579" s="31"/>
      <c r="G579" s="29"/>
      <c r="H579" s="12"/>
      <c r="I579" s="12"/>
      <c r="J579" s="12"/>
      <c r="K579" s="12"/>
      <c r="L579" s="18" t="str">
        <f t="shared" si="1"/>
        <v>#DIV/0!</v>
      </c>
      <c r="M579" s="18" t="str">
        <f t="shared" si="2"/>
        <v>#DIV/0!</v>
      </c>
      <c r="N579" s="12" t="str">
        <f t="shared" si="4"/>
        <v/>
      </c>
      <c r="O579" s="18" t="str">
        <f t="shared" si="3"/>
        <v>#DIV/0!</v>
      </c>
      <c r="P579" s="12"/>
    </row>
    <row r="580">
      <c r="C580" s="25"/>
      <c r="D580" s="31"/>
      <c r="E580" s="31"/>
      <c r="F580" s="31"/>
      <c r="G580" s="29"/>
      <c r="H580" s="12"/>
      <c r="I580" s="12"/>
      <c r="J580" s="12"/>
      <c r="K580" s="12"/>
      <c r="L580" s="18" t="str">
        <f t="shared" si="1"/>
        <v>#DIV/0!</v>
      </c>
      <c r="M580" s="18" t="str">
        <f t="shared" si="2"/>
        <v>#DIV/0!</v>
      </c>
      <c r="N580" s="12" t="str">
        <f t="shared" si="4"/>
        <v/>
      </c>
      <c r="O580" s="18" t="str">
        <f t="shared" si="3"/>
        <v>#DIV/0!</v>
      </c>
      <c r="P580" s="12"/>
    </row>
    <row r="581">
      <c r="C581" s="25"/>
      <c r="D581" s="31"/>
      <c r="E581" s="31"/>
      <c r="F581" s="31"/>
      <c r="G581" s="29"/>
      <c r="H581" s="12"/>
      <c r="I581" s="12"/>
      <c r="J581" s="12"/>
      <c r="K581" s="12"/>
      <c r="L581" s="18" t="str">
        <f t="shared" si="1"/>
        <v>#DIV/0!</v>
      </c>
      <c r="M581" s="18" t="str">
        <f t="shared" si="2"/>
        <v>#DIV/0!</v>
      </c>
      <c r="N581" s="12" t="str">
        <f t="shared" si="4"/>
        <v/>
      </c>
      <c r="O581" s="18" t="str">
        <f t="shared" si="3"/>
        <v>#DIV/0!</v>
      </c>
      <c r="P581" s="12"/>
    </row>
    <row r="582">
      <c r="C582" s="25"/>
      <c r="D582" s="31"/>
      <c r="E582" s="31"/>
      <c r="F582" s="31"/>
      <c r="G582" s="29"/>
      <c r="H582" s="12"/>
      <c r="I582" s="12"/>
      <c r="J582" s="12"/>
      <c r="K582" s="12"/>
      <c r="L582" s="18" t="str">
        <f t="shared" si="1"/>
        <v>#DIV/0!</v>
      </c>
      <c r="M582" s="18" t="str">
        <f t="shared" si="2"/>
        <v>#DIV/0!</v>
      </c>
      <c r="N582" s="12" t="str">
        <f t="shared" si="4"/>
        <v/>
      </c>
      <c r="O582" s="18" t="str">
        <f t="shared" si="3"/>
        <v>#DIV/0!</v>
      </c>
      <c r="P582" s="12"/>
    </row>
    <row r="583">
      <c r="C583" s="25"/>
      <c r="D583" s="31"/>
      <c r="E583" s="31"/>
      <c r="F583" s="31"/>
      <c r="G583" s="29"/>
      <c r="H583" s="12"/>
      <c r="I583" s="12"/>
      <c r="J583" s="12"/>
      <c r="K583" s="12"/>
      <c r="L583" s="18" t="str">
        <f t="shared" si="1"/>
        <v>#DIV/0!</v>
      </c>
      <c r="M583" s="18" t="str">
        <f t="shared" si="2"/>
        <v>#DIV/0!</v>
      </c>
      <c r="N583" s="12" t="str">
        <f t="shared" si="4"/>
        <v/>
      </c>
      <c r="O583" s="18" t="str">
        <f t="shared" si="3"/>
        <v>#DIV/0!</v>
      </c>
      <c r="P583" s="12"/>
    </row>
    <row r="584">
      <c r="C584" s="25"/>
      <c r="D584" s="31"/>
      <c r="E584" s="31"/>
      <c r="F584" s="31"/>
      <c r="G584" s="29"/>
      <c r="H584" s="12"/>
      <c r="I584" s="12"/>
      <c r="J584" s="12"/>
      <c r="K584" s="12"/>
      <c r="L584" s="18" t="str">
        <f t="shared" si="1"/>
        <v>#DIV/0!</v>
      </c>
      <c r="M584" s="18" t="str">
        <f t="shared" si="2"/>
        <v>#DIV/0!</v>
      </c>
      <c r="N584" s="12" t="str">
        <f t="shared" si="4"/>
        <v/>
      </c>
      <c r="O584" s="18" t="str">
        <f t="shared" si="3"/>
        <v>#DIV/0!</v>
      </c>
      <c r="P584" s="12"/>
    </row>
    <row r="585">
      <c r="C585" s="25"/>
      <c r="D585" s="31"/>
      <c r="E585" s="31"/>
      <c r="F585" s="31"/>
      <c r="G585" s="29"/>
      <c r="H585" s="12"/>
      <c r="I585" s="12"/>
      <c r="J585" s="12"/>
      <c r="K585" s="12"/>
      <c r="L585" s="18" t="str">
        <f t="shared" si="1"/>
        <v>#DIV/0!</v>
      </c>
      <c r="M585" s="18" t="str">
        <f t="shared" si="2"/>
        <v>#DIV/0!</v>
      </c>
      <c r="N585" s="12" t="str">
        <f t="shared" si="4"/>
        <v/>
      </c>
      <c r="O585" s="18" t="str">
        <f t="shared" si="3"/>
        <v>#DIV/0!</v>
      </c>
      <c r="P585" s="12"/>
    </row>
    <row r="586">
      <c r="C586" s="25"/>
      <c r="D586" s="31"/>
      <c r="E586" s="31"/>
      <c r="F586" s="31"/>
      <c r="G586" s="29"/>
      <c r="H586" s="12"/>
      <c r="I586" s="12"/>
      <c r="J586" s="12"/>
      <c r="K586" s="12"/>
      <c r="L586" s="18" t="str">
        <f t="shared" si="1"/>
        <v>#DIV/0!</v>
      </c>
      <c r="M586" s="18" t="str">
        <f t="shared" si="2"/>
        <v>#DIV/0!</v>
      </c>
      <c r="N586" s="12" t="str">
        <f t="shared" si="4"/>
        <v/>
      </c>
      <c r="O586" s="18" t="str">
        <f t="shared" si="3"/>
        <v>#DIV/0!</v>
      </c>
      <c r="P586" s="12"/>
    </row>
    <row r="587">
      <c r="C587" s="25"/>
      <c r="D587" s="31"/>
      <c r="E587" s="31"/>
      <c r="F587" s="31"/>
      <c r="G587" s="29"/>
      <c r="H587" s="12"/>
      <c r="I587" s="12"/>
      <c r="J587" s="12"/>
      <c r="K587" s="12"/>
      <c r="L587" s="18" t="str">
        <f t="shared" si="1"/>
        <v>#DIV/0!</v>
      </c>
      <c r="M587" s="18" t="str">
        <f t="shared" si="2"/>
        <v>#DIV/0!</v>
      </c>
      <c r="N587" s="12" t="str">
        <f t="shared" si="4"/>
        <v/>
      </c>
      <c r="O587" s="18" t="str">
        <f t="shared" si="3"/>
        <v>#DIV/0!</v>
      </c>
      <c r="P587" s="12"/>
    </row>
    <row r="588">
      <c r="C588" s="25"/>
      <c r="D588" s="31"/>
      <c r="E588" s="31"/>
      <c r="F588" s="31"/>
      <c r="G588" s="29"/>
      <c r="H588" s="12"/>
      <c r="I588" s="12"/>
      <c r="J588" s="12"/>
      <c r="K588" s="12"/>
      <c r="L588" s="18" t="str">
        <f t="shared" si="1"/>
        <v>#DIV/0!</v>
      </c>
      <c r="M588" s="18" t="str">
        <f t="shared" si="2"/>
        <v>#DIV/0!</v>
      </c>
      <c r="N588" s="12" t="str">
        <f t="shared" si="4"/>
        <v/>
      </c>
      <c r="O588" s="18" t="str">
        <f t="shared" si="3"/>
        <v>#DIV/0!</v>
      </c>
      <c r="P588" s="12"/>
    </row>
    <row r="589">
      <c r="C589" s="25"/>
      <c r="D589" s="31"/>
      <c r="E589" s="31"/>
      <c r="F589" s="31"/>
      <c r="G589" s="29"/>
      <c r="H589" s="12"/>
      <c r="I589" s="12"/>
      <c r="J589" s="12"/>
      <c r="K589" s="12"/>
      <c r="L589" s="18" t="str">
        <f t="shared" si="1"/>
        <v>#DIV/0!</v>
      </c>
      <c r="M589" s="18" t="str">
        <f t="shared" si="2"/>
        <v>#DIV/0!</v>
      </c>
      <c r="N589" s="12" t="str">
        <f t="shared" si="4"/>
        <v/>
      </c>
      <c r="O589" s="18" t="str">
        <f t="shared" si="3"/>
        <v>#DIV/0!</v>
      </c>
      <c r="P589" s="12"/>
    </row>
    <row r="590">
      <c r="C590" s="25"/>
      <c r="D590" s="31"/>
      <c r="E590" s="31"/>
      <c r="F590" s="31"/>
      <c r="G590" s="29"/>
      <c r="H590" s="12"/>
      <c r="I590" s="12"/>
      <c r="J590" s="12"/>
      <c r="K590" s="12"/>
      <c r="L590" s="18" t="str">
        <f t="shared" si="1"/>
        <v>#DIV/0!</v>
      </c>
      <c r="M590" s="18" t="str">
        <f t="shared" si="2"/>
        <v>#DIV/0!</v>
      </c>
      <c r="N590" s="12" t="str">
        <f t="shared" si="4"/>
        <v/>
      </c>
      <c r="O590" s="18" t="str">
        <f t="shared" si="3"/>
        <v>#DIV/0!</v>
      </c>
      <c r="P590" s="12"/>
    </row>
    <row r="591">
      <c r="C591" s="25"/>
      <c r="D591" s="31"/>
      <c r="E591" s="31"/>
      <c r="F591" s="31"/>
      <c r="G591" s="29"/>
      <c r="H591" s="12"/>
      <c r="I591" s="12"/>
      <c r="J591" s="12"/>
      <c r="K591" s="12"/>
      <c r="L591" s="18" t="str">
        <f t="shared" si="1"/>
        <v>#DIV/0!</v>
      </c>
      <c r="M591" s="18" t="str">
        <f t="shared" si="2"/>
        <v>#DIV/0!</v>
      </c>
      <c r="N591" s="12" t="str">
        <f t="shared" si="4"/>
        <v/>
      </c>
      <c r="O591" s="18" t="str">
        <f t="shared" si="3"/>
        <v>#DIV/0!</v>
      </c>
      <c r="P591" s="12"/>
    </row>
    <row r="592">
      <c r="C592" s="25"/>
      <c r="D592" s="31"/>
      <c r="E592" s="31"/>
      <c r="F592" s="31"/>
      <c r="G592" s="29"/>
      <c r="H592" s="12"/>
      <c r="I592" s="12"/>
      <c r="J592" s="12"/>
      <c r="K592" s="12"/>
      <c r="L592" s="18" t="str">
        <f t="shared" si="1"/>
        <v>#DIV/0!</v>
      </c>
      <c r="M592" s="18" t="str">
        <f t="shared" si="2"/>
        <v>#DIV/0!</v>
      </c>
      <c r="N592" s="12" t="str">
        <f t="shared" si="4"/>
        <v/>
      </c>
      <c r="O592" s="18" t="str">
        <f t="shared" si="3"/>
        <v>#DIV/0!</v>
      </c>
      <c r="P592" s="12"/>
    </row>
    <row r="593">
      <c r="C593" s="25"/>
      <c r="D593" s="31"/>
      <c r="E593" s="31"/>
      <c r="F593" s="31"/>
      <c r="G593" s="29"/>
      <c r="H593" s="12"/>
      <c r="I593" s="12"/>
      <c r="J593" s="12"/>
      <c r="K593" s="12"/>
      <c r="L593" s="18" t="str">
        <f t="shared" si="1"/>
        <v>#DIV/0!</v>
      </c>
      <c r="M593" s="18" t="str">
        <f t="shared" si="2"/>
        <v>#DIV/0!</v>
      </c>
      <c r="N593" s="12" t="str">
        <f t="shared" si="4"/>
        <v/>
      </c>
      <c r="O593" s="18" t="str">
        <f t="shared" si="3"/>
        <v>#DIV/0!</v>
      </c>
      <c r="P593" s="12"/>
    </row>
    <row r="594">
      <c r="C594" s="25"/>
      <c r="D594" s="31"/>
      <c r="E594" s="31"/>
      <c r="F594" s="31"/>
      <c r="G594" s="29"/>
      <c r="H594" s="12"/>
      <c r="I594" s="12"/>
      <c r="J594" s="12"/>
      <c r="K594" s="12"/>
      <c r="L594" s="18" t="str">
        <f t="shared" si="1"/>
        <v>#DIV/0!</v>
      </c>
      <c r="M594" s="18" t="str">
        <f t="shared" si="2"/>
        <v>#DIV/0!</v>
      </c>
      <c r="N594" s="12" t="str">
        <f t="shared" si="4"/>
        <v/>
      </c>
      <c r="O594" s="18" t="str">
        <f t="shared" si="3"/>
        <v>#DIV/0!</v>
      </c>
      <c r="P594" s="12"/>
    </row>
    <row r="595">
      <c r="C595" s="25"/>
      <c r="D595" s="31"/>
      <c r="E595" s="31"/>
      <c r="F595" s="31"/>
      <c r="G595" s="29"/>
      <c r="H595" s="12"/>
      <c r="I595" s="12"/>
      <c r="J595" s="12"/>
      <c r="K595" s="12"/>
      <c r="L595" s="18" t="str">
        <f t="shared" si="1"/>
        <v>#DIV/0!</v>
      </c>
      <c r="M595" s="18" t="str">
        <f t="shared" si="2"/>
        <v>#DIV/0!</v>
      </c>
      <c r="N595" s="12" t="str">
        <f t="shared" si="4"/>
        <v/>
      </c>
      <c r="O595" s="18" t="str">
        <f t="shared" si="3"/>
        <v>#DIV/0!</v>
      </c>
      <c r="P595" s="12"/>
    </row>
    <row r="596">
      <c r="C596" s="25"/>
      <c r="D596" s="31"/>
      <c r="E596" s="31"/>
      <c r="F596" s="31"/>
      <c r="G596" s="29"/>
      <c r="H596" s="12"/>
      <c r="I596" s="12"/>
      <c r="J596" s="12"/>
      <c r="K596" s="12"/>
      <c r="L596" s="18" t="str">
        <f t="shared" si="1"/>
        <v>#DIV/0!</v>
      </c>
      <c r="M596" s="18" t="str">
        <f t="shared" si="2"/>
        <v>#DIV/0!</v>
      </c>
      <c r="N596" s="12" t="str">
        <f t="shared" si="4"/>
        <v/>
      </c>
      <c r="O596" s="18" t="str">
        <f t="shared" si="3"/>
        <v>#DIV/0!</v>
      </c>
      <c r="P596" s="12"/>
    </row>
    <row r="597">
      <c r="C597" s="25"/>
      <c r="D597" s="31"/>
      <c r="E597" s="31"/>
      <c r="F597" s="31"/>
      <c r="G597" s="29"/>
      <c r="H597" s="12"/>
      <c r="I597" s="12"/>
      <c r="J597" s="12"/>
      <c r="K597" s="12"/>
      <c r="L597" s="18" t="str">
        <f t="shared" si="1"/>
        <v>#DIV/0!</v>
      </c>
      <c r="M597" s="18" t="str">
        <f t="shared" si="2"/>
        <v>#DIV/0!</v>
      </c>
      <c r="N597" s="12" t="str">
        <f t="shared" si="4"/>
        <v/>
      </c>
      <c r="O597" s="18" t="str">
        <f t="shared" si="3"/>
        <v>#DIV/0!</v>
      </c>
      <c r="P597" s="12"/>
    </row>
    <row r="598">
      <c r="C598" s="25"/>
      <c r="D598" s="31"/>
      <c r="E598" s="31"/>
      <c r="F598" s="31"/>
      <c r="G598" s="29"/>
      <c r="H598" s="12"/>
      <c r="I598" s="12"/>
      <c r="J598" s="12"/>
      <c r="K598" s="12"/>
      <c r="L598" s="18" t="str">
        <f t="shared" si="1"/>
        <v>#DIV/0!</v>
      </c>
      <c r="M598" s="18" t="str">
        <f t="shared" si="2"/>
        <v>#DIV/0!</v>
      </c>
      <c r="N598" s="12" t="str">
        <f t="shared" si="4"/>
        <v/>
      </c>
      <c r="O598" s="18" t="str">
        <f t="shared" si="3"/>
        <v>#DIV/0!</v>
      </c>
      <c r="P598" s="12"/>
    </row>
    <row r="599">
      <c r="C599" s="25"/>
      <c r="D599" s="31"/>
      <c r="E599" s="31"/>
      <c r="F599" s="31"/>
      <c r="G599" s="29"/>
      <c r="H599" s="12"/>
      <c r="I599" s="12"/>
      <c r="J599" s="12"/>
      <c r="K599" s="12"/>
      <c r="L599" s="18" t="str">
        <f t="shared" si="1"/>
        <v>#DIV/0!</v>
      </c>
      <c r="M599" s="18" t="str">
        <f t="shared" si="2"/>
        <v>#DIV/0!</v>
      </c>
      <c r="N599" s="12" t="str">
        <f t="shared" si="4"/>
        <v/>
      </c>
      <c r="O599" s="18" t="str">
        <f t="shared" si="3"/>
        <v>#DIV/0!</v>
      </c>
      <c r="P599" s="12"/>
    </row>
    <row r="600">
      <c r="C600" s="25"/>
      <c r="D600" s="31"/>
      <c r="E600" s="31"/>
      <c r="F600" s="31"/>
      <c r="G600" s="29"/>
      <c r="H600" s="12"/>
      <c r="I600" s="12"/>
      <c r="J600" s="12"/>
      <c r="K600" s="12"/>
      <c r="L600" s="18" t="str">
        <f t="shared" si="1"/>
        <v>#DIV/0!</v>
      </c>
      <c r="M600" s="18" t="str">
        <f t="shared" si="2"/>
        <v>#DIV/0!</v>
      </c>
      <c r="N600" s="12" t="str">
        <f t="shared" si="4"/>
        <v/>
      </c>
      <c r="O600" s="18" t="str">
        <f t="shared" si="3"/>
        <v>#DIV/0!</v>
      </c>
      <c r="P600" s="12"/>
    </row>
    <row r="601">
      <c r="C601" s="25"/>
      <c r="D601" s="31"/>
      <c r="E601" s="31"/>
      <c r="F601" s="31"/>
      <c r="G601" s="29"/>
      <c r="H601" s="12"/>
      <c r="I601" s="12"/>
      <c r="J601" s="12"/>
      <c r="K601" s="12"/>
      <c r="L601" s="18" t="str">
        <f t="shared" si="1"/>
        <v>#DIV/0!</v>
      </c>
      <c r="M601" s="18" t="str">
        <f t="shared" si="2"/>
        <v>#DIV/0!</v>
      </c>
      <c r="N601" s="12" t="str">
        <f t="shared" si="4"/>
        <v/>
      </c>
      <c r="O601" s="18" t="str">
        <f t="shared" si="3"/>
        <v>#DIV/0!</v>
      </c>
      <c r="P601" s="12"/>
    </row>
    <row r="602">
      <c r="C602" s="25"/>
      <c r="D602" s="31"/>
      <c r="E602" s="31"/>
      <c r="F602" s="31"/>
      <c r="G602" s="29"/>
      <c r="H602" s="12"/>
      <c r="I602" s="12"/>
      <c r="J602" s="12"/>
      <c r="K602" s="12"/>
      <c r="L602" s="18" t="str">
        <f t="shared" si="1"/>
        <v>#DIV/0!</v>
      </c>
      <c r="M602" s="18" t="str">
        <f t="shared" si="2"/>
        <v>#DIV/0!</v>
      </c>
      <c r="N602" s="12" t="str">
        <f t="shared" si="4"/>
        <v/>
      </c>
      <c r="O602" s="18" t="str">
        <f t="shared" si="3"/>
        <v>#DIV/0!</v>
      </c>
      <c r="P602" s="12"/>
    </row>
    <row r="603">
      <c r="C603" s="25"/>
      <c r="D603" s="31"/>
      <c r="E603" s="31"/>
      <c r="F603" s="31"/>
      <c r="G603" s="29"/>
      <c r="H603" s="12"/>
      <c r="I603" s="12"/>
      <c r="J603" s="12"/>
      <c r="K603" s="12"/>
      <c r="L603" s="18" t="str">
        <f t="shared" si="1"/>
        <v>#DIV/0!</v>
      </c>
      <c r="M603" s="18" t="str">
        <f t="shared" si="2"/>
        <v>#DIV/0!</v>
      </c>
      <c r="N603" s="12" t="str">
        <f t="shared" si="4"/>
        <v/>
      </c>
      <c r="O603" s="18" t="str">
        <f t="shared" si="3"/>
        <v>#DIV/0!</v>
      </c>
      <c r="P603" s="12"/>
    </row>
    <row r="604">
      <c r="C604" s="25"/>
      <c r="D604" s="31"/>
      <c r="E604" s="31"/>
      <c r="F604" s="31"/>
      <c r="G604" s="29"/>
      <c r="H604" s="12"/>
      <c r="I604" s="12"/>
      <c r="J604" s="12"/>
      <c r="K604" s="12"/>
      <c r="L604" s="18" t="str">
        <f t="shared" si="1"/>
        <v>#DIV/0!</v>
      </c>
      <c r="M604" s="18" t="str">
        <f t="shared" si="2"/>
        <v>#DIV/0!</v>
      </c>
      <c r="N604" s="12" t="str">
        <f t="shared" si="4"/>
        <v/>
      </c>
      <c r="O604" s="18" t="str">
        <f t="shared" si="3"/>
        <v>#DIV/0!</v>
      </c>
      <c r="P604" s="12"/>
    </row>
    <row r="605">
      <c r="C605" s="25"/>
      <c r="D605" s="31"/>
      <c r="E605" s="31"/>
      <c r="F605" s="31"/>
      <c r="G605" s="29"/>
      <c r="H605" s="12"/>
      <c r="I605" s="12"/>
      <c r="J605" s="12"/>
      <c r="K605" s="12"/>
      <c r="L605" s="18" t="str">
        <f t="shared" si="1"/>
        <v>#DIV/0!</v>
      </c>
      <c r="M605" s="18" t="str">
        <f t="shared" si="2"/>
        <v>#DIV/0!</v>
      </c>
      <c r="N605" s="12" t="str">
        <f t="shared" si="4"/>
        <v/>
      </c>
      <c r="O605" s="18" t="str">
        <f t="shared" si="3"/>
        <v>#DIV/0!</v>
      </c>
      <c r="P605" s="12"/>
    </row>
    <row r="606">
      <c r="C606" s="25"/>
      <c r="D606" s="31"/>
      <c r="E606" s="31"/>
      <c r="F606" s="31"/>
      <c r="G606" s="29"/>
      <c r="H606" s="12"/>
      <c r="I606" s="12"/>
      <c r="J606" s="12"/>
      <c r="K606" s="12"/>
      <c r="L606" s="18" t="str">
        <f t="shared" si="1"/>
        <v>#DIV/0!</v>
      </c>
      <c r="M606" s="18" t="str">
        <f t="shared" si="2"/>
        <v>#DIV/0!</v>
      </c>
      <c r="N606" s="12" t="str">
        <f t="shared" si="4"/>
        <v/>
      </c>
      <c r="O606" s="18" t="str">
        <f t="shared" si="3"/>
        <v>#DIV/0!</v>
      </c>
      <c r="P606" s="12"/>
    </row>
    <row r="607">
      <c r="C607" s="25"/>
      <c r="D607" s="31"/>
      <c r="E607" s="31"/>
      <c r="F607" s="31"/>
      <c r="G607" s="29"/>
      <c r="H607" s="12"/>
      <c r="I607" s="12"/>
      <c r="J607" s="12"/>
      <c r="K607" s="12"/>
      <c r="L607" s="18" t="str">
        <f t="shared" si="1"/>
        <v>#DIV/0!</v>
      </c>
      <c r="M607" s="18" t="str">
        <f t="shared" si="2"/>
        <v>#DIV/0!</v>
      </c>
      <c r="N607" s="12" t="str">
        <f t="shared" si="4"/>
        <v/>
      </c>
      <c r="O607" s="18" t="str">
        <f t="shared" si="3"/>
        <v>#DIV/0!</v>
      </c>
      <c r="P607" s="12"/>
    </row>
    <row r="608">
      <c r="C608" s="25"/>
      <c r="D608" s="31"/>
      <c r="E608" s="31"/>
      <c r="F608" s="31"/>
      <c r="G608" s="29"/>
      <c r="H608" s="12"/>
      <c r="I608" s="12"/>
      <c r="J608" s="12"/>
      <c r="K608" s="12"/>
      <c r="L608" s="18" t="str">
        <f t="shared" si="1"/>
        <v>#DIV/0!</v>
      </c>
      <c r="M608" s="18" t="str">
        <f t="shared" si="2"/>
        <v>#DIV/0!</v>
      </c>
      <c r="N608" s="12" t="str">
        <f t="shared" si="4"/>
        <v/>
      </c>
      <c r="O608" s="18" t="str">
        <f t="shared" si="3"/>
        <v>#DIV/0!</v>
      </c>
      <c r="P608" s="12"/>
    </row>
    <row r="609">
      <c r="C609" s="25"/>
      <c r="D609" s="31"/>
      <c r="E609" s="31"/>
      <c r="F609" s="31"/>
      <c r="G609" s="29"/>
      <c r="H609" s="12"/>
      <c r="I609" s="12"/>
      <c r="J609" s="12"/>
      <c r="K609" s="12"/>
      <c r="L609" s="18" t="str">
        <f t="shared" si="1"/>
        <v>#DIV/0!</v>
      </c>
      <c r="M609" s="18" t="str">
        <f t="shared" si="2"/>
        <v>#DIV/0!</v>
      </c>
      <c r="N609" s="12" t="str">
        <f t="shared" si="4"/>
        <v/>
      </c>
      <c r="O609" s="18" t="str">
        <f t="shared" si="3"/>
        <v>#DIV/0!</v>
      </c>
      <c r="P609" s="12"/>
    </row>
    <row r="610">
      <c r="C610" s="25"/>
      <c r="D610" s="31"/>
      <c r="E610" s="31"/>
      <c r="F610" s="31"/>
      <c r="G610" s="29"/>
      <c r="H610" s="12"/>
      <c r="I610" s="12"/>
      <c r="J610" s="12"/>
      <c r="K610" s="12"/>
      <c r="L610" s="18" t="str">
        <f t="shared" si="1"/>
        <v>#DIV/0!</v>
      </c>
      <c r="M610" s="18" t="str">
        <f t="shared" si="2"/>
        <v>#DIV/0!</v>
      </c>
      <c r="N610" s="12" t="str">
        <f t="shared" si="4"/>
        <v/>
      </c>
      <c r="O610" s="18" t="str">
        <f t="shared" si="3"/>
        <v>#DIV/0!</v>
      </c>
      <c r="P610" s="12"/>
    </row>
    <row r="611">
      <c r="C611" s="25"/>
      <c r="D611" s="31"/>
      <c r="E611" s="31"/>
      <c r="F611" s="31"/>
      <c r="G611" s="29"/>
      <c r="H611" s="12"/>
      <c r="I611" s="12"/>
      <c r="J611" s="12"/>
      <c r="K611" s="12"/>
      <c r="L611" s="18" t="str">
        <f t="shared" si="1"/>
        <v>#DIV/0!</v>
      </c>
      <c r="M611" s="18" t="str">
        <f t="shared" si="2"/>
        <v>#DIV/0!</v>
      </c>
      <c r="N611" s="12" t="str">
        <f t="shared" si="4"/>
        <v/>
      </c>
      <c r="O611" s="18" t="str">
        <f t="shared" si="3"/>
        <v>#DIV/0!</v>
      </c>
      <c r="P611" s="12"/>
    </row>
    <row r="612">
      <c r="C612" s="25"/>
      <c r="D612" s="31"/>
      <c r="E612" s="31"/>
      <c r="F612" s="31"/>
      <c r="G612" s="29"/>
      <c r="H612" s="12"/>
      <c r="I612" s="12"/>
      <c r="J612" s="12"/>
      <c r="K612" s="12"/>
      <c r="L612" s="18" t="str">
        <f t="shared" si="1"/>
        <v>#DIV/0!</v>
      </c>
      <c r="M612" s="18" t="str">
        <f t="shared" si="2"/>
        <v>#DIV/0!</v>
      </c>
      <c r="N612" s="12" t="str">
        <f t="shared" si="4"/>
        <v/>
      </c>
      <c r="O612" s="18" t="str">
        <f t="shared" si="3"/>
        <v>#DIV/0!</v>
      </c>
      <c r="P612" s="12"/>
    </row>
    <row r="613">
      <c r="C613" s="25"/>
      <c r="D613" s="31"/>
      <c r="E613" s="31"/>
      <c r="F613" s="31"/>
      <c r="G613" s="29"/>
      <c r="H613" s="12"/>
      <c r="I613" s="12"/>
      <c r="J613" s="12"/>
      <c r="K613" s="12"/>
      <c r="L613" s="18" t="str">
        <f t="shared" si="1"/>
        <v>#DIV/0!</v>
      </c>
      <c r="M613" s="18" t="str">
        <f t="shared" si="2"/>
        <v>#DIV/0!</v>
      </c>
      <c r="N613" s="12" t="str">
        <f t="shared" si="4"/>
        <v/>
      </c>
      <c r="O613" s="18" t="str">
        <f t="shared" si="3"/>
        <v>#DIV/0!</v>
      </c>
      <c r="P613" s="12"/>
    </row>
    <row r="614">
      <c r="C614" s="25"/>
      <c r="D614" s="31"/>
      <c r="E614" s="31"/>
      <c r="F614" s="31"/>
      <c r="G614" s="29"/>
      <c r="H614" s="12"/>
      <c r="I614" s="12"/>
      <c r="J614" s="12"/>
      <c r="K614" s="12"/>
      <c r="L614" s="18" t="str">
        <f t="shared" si="1"/>
        <v>#DIV/0!</v>
      </c>
      <c r="M614" s="18" t="str">
        <f t="shared" si="2"/>
        <v>#DIV/0!</v>
      </c>
      <c r="N614" s="12" t="str">
        <f t="shared" si="4"/>
        <v/>
      </c>
      <c r="O614" s="18" t="str">
        <f t="shared" si="3"/>
        <v>#DIV/0!</v>
      </c>
      <c r="P614" s="12"/>
    </row>
    <row r="615">
      <c r="C615" s="25"/>
      <c r="D615" s="31"/>
      <c r="E615" s="31"/>
      <c r="F615" s="31"/>
      <c r="G615" s="29"/>
      <c r="H615" s="12"/>
      <c r="I615" s="12"/>
      <c r="J615" s="12"/>
      <c r="K615" s="12"/>
      <c r="L615" s="18" t="str">
        <f t="shared" si="1"/>
        <v>#DIV/0!</v>
      </c>
      <c r="M615" s="18" t="str">
        <f t="shared" si="2"/>
        <v>#DIV/0!</v>
      </c>
      <c r="N615" s="12" t="str">
        <f t="shared" si="4"/>
        <v/>
      </c>
      <c r="O615" s="18" t="str">
        <f t="shared" si="3"/>
        <v>#DIV/0!</v>
      </c>
      <c r="P615" s="12"/>
    </row>
    <row r="616">
      <c r="C616" s="25"/>
      <c r="D616" s="31"/>
      <c r="E616" s="31"/>
      <c r="F616" s="31"/>
      <c r="G616" s="29"/>
      <c r="H616" s="12"/>
      <c r="I616" s="12"/>
      <c r="J616" s="12"/>
      <c r="K616" s="12"/>
      <c r="L616" s="18" t="str">
        <f t="shared" si="1"/>
        <v>#DIV/0!</v>
      </c>
      <c r="M616" s="18" t="str">
        <f t="shared" si="2"/>
        <v>#DIV/0!</v>
      </c>
      <c r="N616" s="12" t="str">
        <f t="shared" si="4"/>
        <v/>
      </c>
      <c r="O616" s="18" t="str">
        <f t="shared" si="3"/>
        <v>#DIV/0!</v>
      </c>
      <c r="P616" s="12"/>
    </row>
    <row r="617">
      <c r="C617" s="25"/>
      <c r="D617" s="31"/>
      <c r="E617" s="31"/>
      <c r="F617" s="31"/>
      <c r="G617" s="29"/>
      <c r="H617" s="12"/>
      <c r="I617" s="12"/>
      <c r="J617" s="12"/>
      <c r="K617" s="12"/>
      <c r="L617" s="18" t="str">
        <f t="shared" si="1"/>
        <v>#DIV/0!</v>
      </c>
      <c r="M617" s="18" t="str">
        <f t="shared" si="2"/>
        <v>#DIV/0!</v>
      </c>
      <c r="N617" s="12" t="str">
        <f t="shared" si="4"/>
        <v/>
      </c>
      <c r="O617" s="18" t="str">
        <f t="shared" si="3"/>
        <v>#DIV/0!</v>
      </c>
      <c r="P617" s="12"/>
    </row>
    <row r="618">
      <c r="C618" s="25"/>
      <c r="D618" s="31"/>
      <c r="E618" s="31"/>
      <c r="F618" s="31"/>
      <c r="G618" s="29"/>
      <c r="H618" s="12"/>
      <c r="I618" s="12"/>
      <c r="J618" s="12"/>
      <c r="K618" s="12"/>
      <c r="L618" s="18" t="str">
        <f t="shared" si="1"/>
        <v>#DIV/0!</v>
      </c>
      <c r="M618" s="18" t="str">
        <f t="shared" si="2"/>
        <v>#DIV/0!</v>
      </c>
      <c r="N618" s="12" t="str">
        <f t="shared" si="4"/>
        <v/>
      </c>
      <c r="O618" s="18" t="str">
        <f t="shared" si="3"/>
        <v>#DIV/0!</v>
      </c>
      <c r="P618" s="12"/>
    </row>
    <row r="619">
      <c r="C619" s="25"/>
      <c r="D619" s="31"/>
      <c r="E619" s="31"/>
      <c r="F619" s="31"/>
      <c r="G619" s="29"/>
      <c r="H619" s="12"/>
      <c r="I619" s="12"/>
      <c r="J619" s="12"/>
      <c r="K619" s="12"/>
      <c r="L619" s="18" t="str">
        <f t="shared" si="1"/>
        <v>#DIV/0!</v>
      </c>
      <c r="M619" s="18" t="str">
        <f t="shared" si="2"/>
        <v>#DIV/0!</v>
      </c>
      <c r="N619" s="12" t="str">
        <f t="shared" si="4"/>
        <v/>
      </c>
      <c r="O619" s="18" t="str">
        <f t="shared" si="3"/>
        <v>#DIV/0!</v>
      </c>
      <c r="P619" s="12"/>
    </row>
    <row r="620">
      <c r="C620" s="25"/>
      <c r="D620" s="31"/>
      <c r="E620" s="31"/>
      <c r="F620" s="31"/>
      <c r="G620" s="29"/>
      <c r="H620" s="12"/>
      <c r="I620" s="12"/>
      <c r="J620" s="12"/>
      <c r="K620" s="12"/>
      <c r="L620" s="18" t="str">
        <f t="shared" si="1"/>
        <v>#DIV/0!</v>
      </c>
      <c r="M620" s="18" t="str">
        <f t="shared" si="2"/>
        <v>#DIV/0!</v>
      </c>
      <c r="N620" s="12" t="str">
        <f t="shared" si="4"/>
        <v/>
      </c>
      <c r="O620" s="18" t="str">
        <f t="shared" si="3"/>
        <v>#DIV/0!</v>
      </c>
      <c r="P620" s="12"/>
    </row>
    <row r="621">
      <c r="C621" s="25"/>
      <c r="D621" s="31"/>
      <c r="E621" s="31"/>
      <c r="F621" s="31"/>
      <c r="G621" s="29"/>
      <c r="H621" s="12"/>
      <c r="I621" s="12"/>
      <c r="J621" s="12"/>
      <c r="K621" s="12"/>
      <c r="L621" s="18" t="str">
        <f t="shared" si="1"/>
        <v>#DIV/0!</v>
      </c>
      <c r="M621" s="18" t="str">
        <f t="shared" si="2"/>
        <v>#DIV/0!</v>
      </c>
      <c r="N621" s="12" t="str">
        <f t="shared" si="4"/>
        <v/>
      </c>
      <c r="O621" s="18" t="str">
        <f t="shared" si="3"/>
        <v>#DIV/0!</v>
      </c>
      <c r="P621" s="12"/>
    </row>
    <row r="622">
      <c r="C622" s="25"/>
      <c r="D622" s="31"/>
      <c r="E622" s="31"/>
      <c r="F622" s="31"/>
      <c r="G622" s="29"/>
      <c r="H622" s="12"/>
      <c r="I622" s="12"/>
      <c r="J622" s="12"/>
      <c r="K622" s="12"/>
      <c r="L622" s="18" t="str">
        <f t="shared" si="1"/>
        <v>#DIV/0!</v>
      </c>
      <c r="M622" s="18" t="str">
        <f t="shared" si="2"/>
        <v>#DIV/0!</v>
      </c>
      <c r="N622" s="12" t="str">
        <f t="shared" si="4"/>
        <v/>
      </c>
      <c r="O622" s="18" t="str">
        <f t="shared" si="3"/>
        <v>#DIV/0!</v>
      </c>
      <c r="P622" s="12"/>
    </row>
    <row r="623">
      <c r="C623" s="25"/>
      <c r="D623" s="31"/>
      <c r="E623" s="31"/>
      <c r="F623" s="31"/>
      <c r="G623" s="29"/>
      <c r="H623" s="12"/>
      <c r="I623" s="12"/>
      <c r="J623" s="12"/>
      <c r="K623" s="12"/>
      <c r="L623" s="18" t="str">
        <f t="shared" si="1"/>
        <v>#DIV/0!</v>
      </c>
      <c r="M623" s="18" t="str">
        <f t="shared" si="2"/>
        <v>#DIV/0!</v>
      </c>
      <c r="N623" s="12" t="str">
        <f t="shared" si="4"/>
        <v/>
      </c>
      <c r="O623" s="18" t="str">
        <f t="shared" si="3"/>
        <v>#DIV/0!</v>
      </c>
      <c r="P623" s="12"/>
    </row>
    <row r="624">
      <c r="C624" s="25"/>
      <c r="D624" s="31"/>
      <c r="E624" s="31"/>
      <c r="F624" s="31"/>
      <c r="G624" s="29"/>
      <c r="H624" s="12"/>
      <c r="I624" s="12"/>
      <c r="J624" s="12"/>
      <c r="K624" s="12"/>
      <c r="L624" s="18" t="str">
        <f t="shared" si="1"/>
        <v>#DIV/0!</v>
      </c>
      <c r="M624" s="18" t="str">
        <f t="shared" si="2"/>
        <v>#DIV/0!</v>
      </c>
      <c r="N624" s="12" t="str">
        <f t="shared" si="4"/>
        <v/>
      </c>
      <c r="O624" s="18" t="str">
        <f t="shared" si="3"/>
        <v>#DIV/0!</v>
      </c>
      <c r="P624" s="12"/>
    </row>
    <row r="625">
      <c r="C625" s="25"/>
      <c r="D625" s="31"/>
      <c r="E625" s="31"/>
      <c r="F625" s="31"/>
      <c r="G625" s="29"/>
      <c r="H625" s="12"/>
      <c r="I625" s="12"/>
      <c r="J625" s="12"/>
      <c r="K625" s="12"/>
      <c r="L625" s="18" t="str">
        <f t="shared" si="1"/>
        <v>#DIV/0!</v>
      </c>
      <c r="M625" s="18" t="str">
        <f t="shared" si="2"/>
        <v>#DIV/0!</v>
      </c>
      <c r="N625" s="12" t="str">
        <f t="shared" si="4"/>
        <v/>
      </c>
      <c r="O625" s="18" t="str">
        <f t="shared" si="3"/>
        <v>#DIV/0!</v>
      </c>
      <c r="P625" s="12"/>
    </row>
    <row r="626">
      <c r="C626" s="25"/>
      <c r="D626" s="31"/>
      <c r="E626" s="31"/>
      <c r="F626" s="31"/>
      <c r="G626" s="29"/>
      <c r="H626" s="12"/>
      <c r="I626" s="12"/>
      <c r="J626" s="12"/>
      <c r="K626" s="12"/>
      <c r="L626" s="18" t="str">
        <f t="shared" si="1"/>
        <v>#DIV/0!</v>
      </c>
      <c r="M626" s="18" t="str">
        <f t="shared" si="2"/>
        <v>#DIV/0!</v>
      </c>
      <c r="N626" s="12" t="str">
        <f t="shared" si="4"/>
        <v/>
      </c>
      <c r="O626" s="18" t="str">
        <f t="shared" si="3"/>
        <v>#DIV/0!</v>
      </c>
      <c r="P626" s="12"/>
    </row>
    <row r="627">
      <c r="C627" s="25"/>
      <c r="D627" s="31"/>
      <c r="E627" s="31"/>
      <c r="F627" s="31"/>
      <c r="G627" s="29"/>
      <c r="H627" s="12"/>
      <c r="I627" s="12"/>
      <c r="J627" s="12"/>
      <c r="K627" s="12"/>
      <c r="L627" s="18" t="str">
        <f t="shared" si="1"/>
        <v>#DIV/0!</v>
      </c>
      <c r="M627" s="18" t="str">
        <f t="shared" si="2"/>
        <v>#DIV/0!</v>
      </c>
      <c r="N627" s="12" t="str">
        <f t="shared" si="4"/>
        <v/>
      </c>
      <c r="O627" s="18" t="str">
        <f t="shared" si="3"/>
        <v>#DIV/0!</v>
      </c>
      <c r="P627" s="12"/>
    </row>
    <row r="628">
      <c r="C628" s="25"/>
      <c r="D628" s="31"/>
      <c r="E628" s="31"/>
      <c r="F628" s="31"/>
      <c r="G628" s="29"/>
      <c r="H628" s="12"/>
      <c r="I628" s="12"/>
      <c r="J628" s="12"/>
      <c r="K628" s="12"/>
      <c r="L628" s="18" t="str">
        <f t="shared" si="1"/>
        <v>#DIV/0!</v>
      </c>
      <c r="M628" s="18" t="str">
        <f t="shared" si="2"/>
        <v>#DIV/0!</v>
      </c>
      <c r="N628" s="12" t="str">
        <f t="shared" si="4"/>
        <v/>
      </c>
      <c r="O628" s="18" t="str">
        <f t="shared" si="3"/>
        <v>#DIV/0!</v>
      </c>
      <c r="P628" s="12"/>
    </row>
    <row r="629">
      <c r="C629" s="25"/>
      <c r="D629" s="31"/>
      <c r="E629" s="31"/>
      <c r="F629" s="31"/>
      <c r="G629" s="29"/>
      <c r="H629" s="12"/>
      <c r="I629" s="12"/>
      <c r="J629" s="12"/>
      <c r="K629" s="12"/>
      <c r="L629" s="18" t="str">
        <f t="shared" si="1"/>
        <v>#DIV/0!</v>
      </c>
      <c r="M629" s="18" t="str">
        <f t="shared" si="2"/>
        <v>#DIV/0!</v>
      </c>
      <c r="N629" s="12" t="str">
        <f t="shared" si="4"/>
        <v/>
      </c>
      <c r="O629" s="18" t="str">
        <f t="shared" si="3"/>
        <v>#DIV/0!</v>
      </c>
      <c r="P629" s="12"/>
    </row>
    <row r="630">
      <c r="C630" s="25"/>
      <c r="D630" s="31"/>
      <c r="E630" s="31"/>
      <c r="F630" s="31"/>
      <c r="G630" s="29"/>
      <c r="H630" s="12"/>
      <c r="I630" s="12"/>
      <c r="J630" s="12"/>
      <c r="K630" s="12"/>
      <c r="L630" s="18" t="str">
        <f t="shared" si="1"/>
        <v>#DIV/0!</v>
      </c>
      <c r="M630" s="18" t="str">
        <f t="shared" si="2"/>
        <v>#DIV/0!</v>
      </c>
      <c r="N630" s="12" t="str">
        <f t="shared" si="4"/>
        <v/>
      </c>
      <c r="O630" s="18" t="str">
        <f t="shared" si="3"/>
        <v>#DIV/0!</v>
      </c>
      <c r="P630" s="12"/>
    </row>
    <row r="631">
      <c r="C631" s="25"/>
      <c r="D631" s="31"/>
      <c r="E631" s="31"/>
      <c r="F631" s="31"/>
      <c r="G631" s="29"/>
      <c r="H631" s="12"/>
      <c r="I631" s="12"/>
      <c r="J631" s="12"/>
      <c r="K631" s="12"/>
      <c r="L631" s="18" t="str">
        <f t="shared" si="1"/>
        <v>#DIV/0!</v>
      </c>
      <c r="M631" s="18" t="str">
        <f t="shared" si="2"/>
        <v>#DIV/0!</v>
      </c>
      <c r="N631" s="12" t="str">
        <f t="shared" si="4"/>
        <v/>
      </c>
      <c r="O631" s="18" t="str">
        <f t="shared" si="3"/>
        <v>#DIV/0!</v>
      </c>
      <c r="P631" s="12"/>
    </row>
    <row r="632">
      <c r="C632" s="25"/>
      <c r="D632" s="31"/>
      <c r="E632" s="31"/>
      <c r="F632" s="31"/>
      <c r="G632" s="29"/>
      <c r="H632" s="12"/>
      <c r="I632" s="12"/>
      <c r="J632" s="12"/>
      <c r="K632" s="12"/>
      <c r="L632" s="18" t="str">
        <f t="shared" si="1"/>
        <v>#DIV/0!</v>
      </c>
      <c r="M632" s="18" t="str">
        <f t="shared" si="2"/>
        <v>#DIV/0!</v>
      </c>
      <c r="N632" s="12" t="str">
        <f t="shared" si="4"/>
        <v/>
      </c>
      <c r="O632" s="18" t="str">
        <f t="shared" si="3"/>
        <v>#DIV/0!</v>
      </c>
      <c r="P632" s="12"/>
    </row>
    <row r="633">
      <c r="C633" s="25"/>
      <c r="D633" s="31"/>
      <c r="E633" s="31"/>
      <c r="F633" s="31"/>
      <c r="G633" s="29"/>
      <c r="H633" s="12"/>
      <c r="I633" s="12"/>
      <c r="J633" s="12"/>
      <c r="K633" s="12"/>
      <c r="L633" s="18" t="str">
        <f t="shared" si="1"/>
        <v>#DIV/0!</v>
      </c>
      <c r="M633" s="18" t="str">
        <f t="shared" si="2"/>
        <v>#DIV/0!</v>
      </c>
      <c r="N633" s="12" t="str">
        <f t="shared" si="4"/>
        <v/>
      </c>
      <c r="O633" s="18" t="str">
        <f t="shared" si="3"/>
        <v>#DIV/0!</v>
      </c>
      <c r="P633" s="12"/>
    </row>
    <row r="634">
      <c r="C634" s="25"/>
      <c r="D634" s="31"/>
      <c r="E634" s="31"/>
      <c r="F634" s="31"/>
      <c r="G634" s="29"/>
      <c r="H634" s="12"/>
      <c r="I634" s="12"/>
      <c r="J634" s="12"/>
      <c r="K634" s="12"/>
      <c r="L634" s="18" t="str">
        <f t="shared" si="1"/>
        <v>#DIV/0!</v>
      </c>
      <c r="M634" s="18" t="str">
        <f t="shared" si="2"/>
        <v>#DIV/0!</v>
      </c>
      <c r="N634" s="12" t="str">
        <f t="shared" si="4"/>
        <v/>
      </c>
      <c r="O634" s="18" t="str">
        <f t="shared" si="3"/>
        <v>#DIV/0!</v>
      </c>
      <c r="P634" s="12"/>
    </row>
    <row r="635">
      <c r="C635" s="25"/>
      <c r="D635" s="31"/>
      <c r="E635" s="31"/>
      <c r="F635" s="31"/>
      <c r="G635" s="29"/>
      <c r="H635" s="12"/>
      <c r="I635" s="12"/>
      <c r="J635" s="12"/>
      <c r="K635" s="12"/>
      <c r="L635" s="18" t="str">
        <f t="shared" si="1"/>
        <v>#DIV/0!</v>
      </c>
      <c r="M635" s="18" t="str">
        <f t="shared" si="2"/>
        <v>#DIV/0!</v>
      </c>
      <c r="N635" s="12" t="str">
        <f t="shared" si="4"/>
        <v/>
      </c>
      <c r="O635" s="18" t="str">
        <f t="shared" si="3"/>
        <v>#DIV/0!</v>
      </c>
      <c r="P635" s="12"/>
    </row>
    <row r="636">
      <c r="C636" s="25"/>
      <c r="D636" s="31"/>
      <c r="E636" s="31"/>
      <c r="F636" s="31"/>
      <c r="G636" s="29"/>
      <c r="H636" s="12"/>
      <c r="I636" s="12"/>
      <c r="J636" s="12"/>
      <c r="K636" s="12"/>
      <c r="L636" s="18" t="str">
        <f t="shared" si="1"/>
        <v>#DIV/0!</v>
      </c>
      <c r="M636" s="18" t="str">
        <f t="shared" si="2"/>
        <v>#DIV/0!</v>
      </c>
      <c r="N636" s="12" t="str">
        <f t="shared" si="4"/>
        <v/>
      </c>
      <c r="O636" s="18" t="str">
        <f t="shared" si="3"/>
        <v>#DIV/0!</v>
      </c>
      <c r="P636" s="12"/>
    </row>
    <row r="637">
      <c r="C637" s="25"/>
      <c r="D637" s="31"/>
      <c r="E637" s="31"/>
      <c r="F637" s="31"/>
      <c r="G637" s="29"/>
      <c r="H637" s="12"/>
      <c r="I637" s="12"/>
      <c r="J637" s="12"/>
      <c r="K637" s="12"/>
      <c r="L637" s="18" t="str">
        <f t="shared" si="1"/>
        <v>#DIV/0!</v>
      </c>
      <c r="M637" s="18" t="str">
        <f t="shared" si="2"/>
        <v>#DIV/0!</v>
      </c>
      <c r="N637" s="12" t="str">
        <f t="shared" si="4"/>
        <v/>
      </c>
      <c r="O637" s="18" t="str">
        <f t="shared" si="3"/>
        <v>#DIV/0!</v>
      </c>
      <c r="P637" s="12"/>
    </row>
    <row r="638">
      <c r="C638" s="25"/>
      <c r="D638" s="31"/>
      <c r="E638" s="31"/>
      <c r="F638" s="31"/>
      <c r="G638" s="29"/>
      <c r="H638" s="12"/>
      <c r="I638" s="12"/>
      <c r="J638" s="12"/>
      <c r="K638" s="12"/>
      <c r="L638" s="18" t="str">
        <f t="shared" si="1"/>
        <v>#DIV/0!</v>
      </c>
      <c r="M638" s="18" t="str">
        <f t="shared" si="2"/>
        <v>#DIV/0!</v>
      </c>
      <c r="N638" s="12" t="str">
        <f t="shared" si="4"/>
        <v/>
      </c>
      <c r="O638" s="18" t="str">
        <f t="shared" si="3"/>
        <v>#DIV/0!</v>
      </c>
      <c r="P638" s="12"/>
    </row>
    <row r="639">
      <c r="C639" s="25"/>
      <c r="D639" s="31"/>
      <c r="E639" s="31"/>
      <c r="F639" s="31"/>
      <c r="G639" s="29"/>
      <c r="H639" s="12"/>
      <c r="I639" s="12"/>
      <c r="J639" s="12"/>
      <c r="K639" s="12"/>
      <c r="L639" s="18" t="str">
        <f t="shared" si="1"/>
        <v>#DIV/0!</v>
      </c>
      <c r="M639" s="18" t="str">
        <f t="shared" si="2"/>
        <v>#DIV/0!</v>
      </c>
      <c r="N639" s="12" t="str">
        <f t="shared" si="4"/>
        <v/>
      </c>
      <c r="O639" s="18" t="str">
        <f t="shared" si="3"/>
        <v>#DIV/0!</v>
      </c>
      <c r="P639" s="12"/>
    </row>
    <row r="640">
      <c r="C640" s="25"/>
      <c r="D640" s="31"/>
      <c r="E640" s="31"/>
      <c r="F640" s="31"/>
      <c r="G640" s="29"/>
      <c r="H640" s="12"/>
      <c r="I640" s="12"/>
      <c r="J640" s="12"/>
      <c r="K640" s="12"/>
      <c r="L640" s="18" t="str">
        <f t="shared" si="1"/>
        <v>#DIV/0!</v>
      </c>
      <c r="M640" s="18" t="str">
        <f t="shared" si="2"/>
        <v>#DIV/0!</v>
      </c>
      <c r="N640" s="12" t="str">
        <f t="shared" si="4"/>
        <v/>
      </c>
      <c r="O640" s="18" t="str">
        <f t="shared" si="3"/>
        <v>#DIV/0!</v>
      </c>
      <c r="P640" s="12"/>
    </row>
    <row r="641">
      <c r="C641" s="25"/>
      <c r="D641" s="31"/>
      <c r="E641" s="31"/>
      <c r="F641" s="31"/>
      <c r="G641" s="29"/>
      <c r="H641" s="12"/>
      <c r="I641" s="12"/>
      <c r="J641" s="12"/>
      <c r="K641" s="12"/>
      <c r="L641" s="18" t="str">
        <f t="shared" si="1"/>
        <v>#DIV/0!</v>
      </c>
      <c r="M641" s="18" t="str">
        <f t="shared" si="2"/>
        <v>#DIV/0!</v>
      </c>
      <c r="N641" s="12" t="str">
        <f t="shared" si="4"/>
        <v/>
      </c>
      <c r="O641" s="18" t="str">
        <f t="shared" si="3"/>
        <v>#DIV/0!</v>
      </c>
      <c r="P641" s="12"/>
    </row>
    <row r="642">
      <c r="C642" s="25"/>
      <c r="D642" s="31"/>
      <c r="E642" s="31"/>
      <c r="F642" s="31"/>
      <c r="G642" s="29"/>
      <c r="H642" s="12"/>
      <c r="I642" s="12"/>
      <c r="J642" s="12"/>
      <c r="K642" s="12"/>
      <c r="L642" s="18" t="str">
        <f t="shared" si="1"/>
        <v>#DIV/0!</v>
      </c>
      <c r="M642" s="18" t="str">
        <f t="shared" si="2"/>
        <v>#DIV/0!</v>
      </c>
      <c r="N642" s="12" t="str">
        <f t="shared" si="4"/>
        <v/>
      </c>
      <c r="O642" s="18" t="str">
        <f t="shared" si="3"/>
        <v>#DIV/0!</v>
      </c>
      <c r="P642" s="12"/>
    </row>
    <row r="643">
      <c r="C643" s="25"/>
      <c r="D643" s="31"/>
      <c r="E643" s="31"/>
      <c r="F643" s="31"/>
      <c r="G643" s="29"/>
      <c r="H643" s="12"/>
      <c r="I643" s="12"/>
      <c r="J643" s="12"/>
      <c r="K643" s="12"/>
      <c r="L643" s="18" t="str">
        <f t="shared" si="1"/>
        <v>#DIV/0!</v>
      </c>
      <c r="M643" s="18" t="str">
        <f t="shared" si="2"/>
        <v>#DIV/0!</v>
      </c>
      <c r="N643" s="12" t="str">
        <f t="shared" si="4"/>
        <v/>
      </c>
      <c r="O643" s="18" t="str">
        <f t="shared" si="3"/>
        <v>#DIV/0!</v>
      </c>
      <c r="P643" s="12"/>
    </row>
    <row r="644">
      <c r="C644" s="25"/>
      <c r="D644" s="31"/>
      <c r="E644" s="31"/>
      <c r="F644" s="31"/>
      <c r="G644" s="29"/>
      <c r="H644" s="12"/>
      <c r="I644" s="12"/>
      <c r="J644" s="12"/>
      <c r="K644" s="12"/>
      <c r="L644" s="18" t="str">
        <f t="shared" si="1"/>
        <v>#DIV/0!</v>
      </c>
      <c r="M644" s="18" t="str">
        <f t="shared" si="2"/>
        <v>#DIV/0!</v>
      </c>
      <c r="N644" s="12" t="str">
        <f t="shared" si="4"/>
        <v/>
      </c>
      <c r="O644" s="18" t="str">
        <f t="shared" si="3"/>
        <v>#DIV/0!</v>
      </c>
      <c r="P644" s="12"/>
    </row>
    <row r="645">
      <c r="C645" s="25"/>
      <c r="D645" s="31"/>
      <c r="E645" s="31"/>
      <c r="F645" s="31"/>
      <c r="G645" s="29"/>
      <c r="H645" s="12"/>
      <c r="I645" s="12"/>
      <c r="J645" s="12"/>
      <c r="K645" s="12"/>
      <c r="L645" s="18" t="str">
        <f t="shared" si="1"/>
        <v>#DIV/0!</v>
      </c>
      <c r="M645" s="18" t="str">
        <f t="shared" si="2"/>
        <v>#DIV/0!</v>
      </c>
      <c r="N645" s="12" t="str">
        <f t="shared" si="4"/>
        <v/>
      </c>
      <c r="O645" s="18" t="str">
        <f t="shared" si="3"/>
        <v>#DIV/0!</v>
      </c>
      <c r="P645" s="12"/>
    </row>
    <row r="646">
      <c r="C646" s="25"/>
      <c r="D646" s="31"/>
      <c r="E646" s="31"/>
      <c r="F646" s="31"/>
      <c r="G646" s="29"/>
      <c r="H646" s="12"/>
      <c r="I646" s="12"/>
      <c r="J646" s="12"/>
      <c r="K646" s="12"/>
      <c r="L646" s="18" t="str">
        <f t="shared" si="1"/>
        <v>#DIV/0!</v>
      </c>
      <c r="M646" s="18" t="str">
        <f t="shared" si="2"/>
        <v>#DIV/0!</v>
      </c>
      <c r="N646" s="12" t="str">
        <f t="shared" si="4"/>
        <v/>
      </c>
      <c r="O646" s="18" t="str">
        <f t="shared" si="3"/>
        <v>#DIV/0!</v>
      </c>
      <c r="P646" s="12"/>
    </row>
    <row r="647">
      <c r="C647" s="25"/>
      <c r="D647" s="31"/>
      <c r="E647" s="31"/>
      <c r="F647" s="31"/>
      <c r="G647" s="29"/>
      <c r="H647" s="12"/>
      <c r="I647" s="12"/>
      <c r="J647" s="12"/>
      <c r="K647" s="12"/>
      <c r="L647" s="18" t="str">
        <f t="shared" si="1"/>
        <v>#DIV/0!</v>
      </c>
      <c r="M647" s="18" t="str">
        <f t="shared" si="2"/>
        <v>#DIV/0!</v>
      </c>
      <c r="N647" s="12" t="str">
        <f t="shared" si="4"/>
        <v/>
      </c>
      <c r="O647" s="18" t="str">
        <f t="shared" si="3"/>
        <v>#DIV/0!</v>
      </c>
      <c r="P647" s="12"/>
    </row>
    <row r="648">
      <c r="C648" s="25"/>
      <c r="D648" s="31"/>
      <c r="E648" s="31"/>
      <c r="F648" s="31"/>
      <c r="G648" s="29"/>
      <c r="H648" s="12"/>
      <c r="I648" s="12"/>
      <c r="J648" s="12"/>
      <c r="K648" s="12"/>
      <c r="L648" s="18" t="str">
        <f t="shared" si="1"/>
        <v>#DIV/0!</v>
      </c>
      <c r="M648" s="18" t="str">
        <f t="shared" si="2"/>
        <v>#DIV/0!</v>
      </c>
      <c r="N648" s="12" t="str">
        <f t="shared" si="4"/>
        <v/>
      </c>
      <c r="O648" s="18" t="str">
        <f t="shared" si="3"/>
        <v>#DIV/0!</v>
      </c>
      <c r="P648" s="12"/>
    </row>
    <row r="649">
      <c r="C649" s="25"/>
      <c r="D649" s="31"/>
      <c r="E649" s="31"/>
      <c r="F649" s="31"/>
      <c r="G649" s="29"/>
      <c r="H649" s="12"/>
      <c r="I649" s="12"/>
      <c r="J649" s="12"/>
      <c r="K649" s="12"/>
      <c r="L649" s="18" t="str">
        <f t="shared" si="1"/>
        <v>#DIV/0!</v>
      </c>
      <c r="M649" s="18" t="str">
        <f t="shared" si="2"/>
        <v>#DIV/0!</v>
      </c>
      <c r="N649" s="12" t="str">
        <f t="shared" si="4"/>
        <v/>
      </c>
      <c r="O649" s="18" t="str">
        <f t="shared" si="3"/>
        <v>#DIV/0!</v>
      </c>
      <c r="P649" s="12"/>
    </row>
    <row r="650">
      <c r="C650" s="25"/>
      <c r="D650" s="31"/>
      <c r="E650" s="31"/>
      <c r="F650" s="31"/>
      <c r="G650" s="29"/>
      <c r="H650" s="12"/>
      <c r="I650" s="12"/>
      <c r="J650" s="12"/>
      <c r="K650" s="12"/>
      <c r="L650" s="18" t="str">
        <f t="shared" si="1"/>
        <v>#DIV/0!</v>
      </c>
      <c r="M650" s="18" t="str">
        <f t="shared" si="2"/>
        <v>#DIV/0!</v>
      </c>
      <c r="N650" s="12" t="str">
        <f t="shared" si="4"/>
        <v/>
      </c>
      <c r="O650" s="18" t="str">
        <f t="shared" si="3"/>
        <v>#DIV/0!</v>
      </c>
      <c r="P650" s="12"/>
    </row>
    <row r="651">
      <c r="C651" s="25"/>
      <c r="D651" s="31"/>
      <c r="E651" s="31"/>
      <c r="F651" s="31"/>
      <c r="G651" s="29"/>
      <c r="H651" s="12"/>
      <c r="I651" s="12"/>
      <c r="J651" s="12"/>
      <c r="K651" s="12"/>
      <c r="L651" s="18" t="str">
        <f t="shared" si="1"/>
        <v>#DIV/0!</v>
      </c>
      <c r="M651" s="18" t="str">
        <f t="shared" si="2"/>
        <v>#DIV/0!</v>
      </c>
      <c r="N651" s="12" t="str">
        <f t="shared" si="4"/>
        <v/>
      </c>
      <c r="O651" s="18" t="str">
        <f t="shared" si="3"/>
        <v>#DIV/0!</v>
      </c>
      <c r="P651" s="12"/>
    </row>
    <row r="652">
      <c r="C652" s="25"/>
      <c r="D652" s="31"/>
      <c r="E652" s="31"/>
      <c r="F652" s="31"/>
      <c r="G652" s="29"/>
      <c r="H652" s="12"/>
      <c r="I652" s="12"/>
      <c r="J652" s="12"/>
      <c r="K652" s="12"/>
      <c r="L652" s="18" t="str">
        <f t="shared" si="1"/>
        <v>#DIV/0!</v>
      </c>
      <c r="M652" s="18" t="str">
        <f t="shared" si="2"/>
        <v>#DIV/0!</v>
      </c>
      <c r="N652" s="12" t="str">
        <f t="shared" si="4"/>
        <v/>
      </c>
      <c r="O652" s="18" t="str">
        <f t="shared" si="3"/>
        <v>#DIV/0!</v>
      </c>
      <c r="P652" s="12"/>
    </row>
    <row r="653">
      <c r="C653" s="25"/>
      <c r="D653" s="31"/>
      <c r="E653" s="31"/>
      <c r="F653" s="31"/>
      <c r="G653" s="29"/>
      <c r="H653" s="12"/>
      <c r="I653" s="12"/>
      <c r="J653" s="12"/>
      <c r="K653" s="12"/>
      <c r="L653" s="18" t="str">
        <f t="shared" si="1"/>
        <v>#DIV/0!</v>
      </c>
      <c r="M653" s="18" t="str">
        <f t="shared" si="2"/>
        <v>#DIV/0!</v>
      </c>
      <c r="N653" s="12" t="str">
        <f t="shared" si="4"/>
        <v/>
      </c>
      <c r="O653" s="18" t="str">
        <f t="shared" si="3"/>
        <v>#DIV/0!</v>
      </c>
      <c r="P653" s="12"/>
    </row>
    <row r="654">
      <c r="C654" s="25"/>
      <c r="D654" s="31"/>
      <c r="E654" s="31"/>
      <c r="F654" s="31"/>
      <c r="G654" s="29"/>
      <c r="H654" s="12"/>
      <c r="I654" s="12"/>
      <c r="J654" s="12"/>
      <c r="K654" s="12"/>
      <c r="L654" s="18" t="str">
        <f t="shared" si="1"/>
        <v>#DIV/0!</v>
      </c>
      <c r="M654" s="18" t="str">
        <f t="shared" si="2"/>
        <v>#DIV/0!</v>
      </c>
      <c r="N654" s="12" t="str">
        <f t="shared" si="4"/>
        <v/>
      </c>
      <c r="O654" s="18" t="str">
        <f t="shared" si="3"/>
        <v>#DIV/0!</v>
      </c>
      <c r="P654" s="12"/>
    </row>
    <row r="655">
      <c r="C655" s="25"/>
      <c r="D655" s="31"/>
      <c r="E655" s="31"/>
      <c r="F655" s="31"/>
      <c r="G655" s="29"/>
      <c r="H655" s="12"/>
      <c r="I655" s="12"/>
      <c r="J655" s="12"/>
      <c r="K655" s="12"/>
      <c r="L655" s="18" t="str">
        <f t="shared" si="1"/>
        <v>#DIV/0!</v>
      </c>
      <c r="M655" s="18" t="str">
        <f t="shared" si="2"/>
        <v>#DIV/0!</v>
      </c>
      <c r="N655" s="12" t="str">
        <f t="shared" si="4"/>
        <v/>
      </c>
      <c r="O655" s="18" t="str">
        <f t="shared" si="3"/>
        <v>#DIV/0!</v>
      </c>
      <c r="P655" s="12"/>
    </row>
    <row r="656">
      <c r="C656" s="25"/>
      <c r="D656" s="31"/>
      <c r="E656" s="31"/>
      <c r="F656" s="31"/>
      <c r="G656" s="29"/>
      <c r="H656" s="12"/>
      <c r="I656" s="12"/>
      <c r="J656" s="12"/>
      <c r="K656" s="12"/>
      <c r="L656" s="18" t="str">
        <f t="shared" si="1"/>
        <v>#DIV/0!</v>
      </c>
      <c r="M656" s="18" t="str">
        <f t="shared" si="2"/>
        <v>#DIV/0!</v>
      </c>
      <c r="N656" s="12" t="str">
        <f t="shared" si="4"/>
        <v/>
      </c>
      <c r="O656" s="18" t="str">
        <f t="shared" si="3"/>
        <v>#DIV/0!</v>
      </c>
      <c r="P656" s="12"/>
    </row>
    <row r="657">
      <c r="C657" s="25"/>
      <c r="D657" s="31"/>
      <c r="E657" s="31"/>
      <c r="F657" s="31"/>
      <c r="G657" s="29"/>
      <c r="H657" s="12"/>
      <c r="I657" s="12"/>
      <c r="J657" s="12"/>
      <c r="K657" s="12"/>
      <c r="L657" s="18" t="str">
        <f t="shared" si="1"/>
        <v>#DIV/0!</v>
      </c>
      <c r="M657" s="18" t="str">
        <f t="shared" si="2"/>
        <v>#DIV/0!</v>
      </c>
      <c r="N657" s="12" t="str">
        <f t="shared" si="4"/>
        <v/>
      </c>
      <c r="O657" s="18" t="str">
        <f t="shared" si="3"/>
        <v>#DIV/0!</v>
      </c>
      <c r="P657" s="12"/>
    </row>
    <row r="658">
      <c r="C658" s="25"/>
      <c r="D658" s="31"/>
      <c r="E658" s="31"/>
      <c r="F658" s="31"/>
      <c r="G658" s="29"/>
      <c r="H658" s="12"/>
      <c r="I658" s="12"/>
      <c r="J658" s="12"/>
      <c r="K658" s="12"/>
      <c r="L658" s="18" t="str">
        <f t="shared" si="1"/>
        <v>#DIV/0!</v>
      </c>
      <c r="M658" s="18" t="str">
        <f t="shared" si="2"/>
        <v>#DIV/0!</v>
      </c>
      <c r="N658" s="12" t="str">
        <f t="shared" si="4"/>
        <v/>
      </c>
      <c r="O658" s="18" t="str">
        <f t="shared" si="3"/>
        <v>#DIV/0!</v>
      </c>
      <c r="P658" s="12"/>
    </row>
    <row r="659">
      <c r="C659" s="25"/>
      <c r="D659" s="31"/>
      <c r="E659" s="31"/>
      <c r="F659" s="31"/>
      <c r="G659" s="29"/>
      <c r="H659" s="12"/>
      <c r="I659" s="12"/>
      <c r="J659" s="12"/>
      <c r="K659" s="12"/>
      <c r="L659" s="18" t="str">
        <f t="shared" si="1"/>
        <v>#DIV/0!</v>
      </c>
      <c r="M659" s="18" t="str">
        <f t="shared" si="2"/>
        <v>#DIV/0!</v>
      </c>
      <c r="N659" s="12" t="str">
        <f t="shared" si="4"/>
        <v/>
      </c>
      <c r="O659" s="18" t="str">
        <f t="shared" si="3"/>
        <v>#DIV/0!</v>
      </c>
      <c r="P659" s="12"/>
    </row>
    <row r="660">
      <c r="C660" s="25"/>
      <c r="D660" s="31"/>
      <c r="E660" s="31"/>
      <c r="F660" s="31"/>
      <c r="G660" s="29"/>
      <c r="H660" s="12"/>
      <c r="I660" s="12"/>
      <c r="J660" s="12"/>
      <c r="K660" s="12"/>
      <c r="L660" s="18" t="str">
        <f t="shared" si="1"/>
        <v>#DIV/0!</v>
      </c>
      <c r="M660" s="18" t="str">
        <f t="shared" si="2"/>
        <v>#DIV/0!</v>
      </c>
      <c r="N660" s="12" t="str">
        <f t="shared" si="4"/>
        <v/>
      </c>
      <c r="O660" s="18" t="str">
        <f t="shared" si="3"/>
        <v>#DIV/0!</v>
      </c>
      <c r="P660" s="12"/>
    </row>
    <row r="661">
      <c r="C661" s="25"/>
      <c r="D661" s="31"/>
      <c r="E661" s="31"/>
      <c r="F661" s="31"/>
      <c r="G661" s="29"/>
      <c r="H661" s="12"/>
      <c r="I661" s="12"/>
      <c r="J661" s="12"/>
      <c r="K661" s="12"/>
      <c r="L661" s="18" t="str">
        <f t="shared" si="1"/>
        <v>#DIV/0!</v>
      </c>
      <c r="M661" s="18" t="str">
        <f t="shared" si="2"/>
        <v>#DIV/0!</v>
      </c>
      <c r="N661" s="12" t="str">
        <f t="shared" si="4"/>
        <v/>
      </c>
      <c r="O661" s="18" t="str">
        <f t="shared" si="3"/>
        <v>#DIV/0!</v>
      </c>
      <c r="P661" s="12"/>
    </row>
    <row r="662">
      <c r="C662" s="25"/>
      <c r="D662" s="31"/>
      <c r="E662" s="31"/>
      <c r="F662" s="31"/>
      <c r="G662" s="29"/>
      <c r="H662" s="12"/>
      <c r="I662" s="12"/>
      <c r="J662" s="12"/>
      <c r="K662" s="12"/>
      <c r="L662" s="18" t="str">
        <f t="shared" si="1"/>
        <v>#DIV/0!</v>
      </c>
      <c r="M662" s="18" t="str">
        <f t="shared" si="2"/>
        <v>#DIV/0!</v>
      </c>
      <c r="N662" s="12" t="str">
        <f t="shared" si="4"/>
        <v/>
      </c>
      <c r="O662" s="18" t="str">
        <f t="shared" si="3"/>
        <v>#DIV/0!</v>
      </c>
      <c r="P662" s="12"/>
    </row>
    <row r="663">
      <c r="C663" s="25"/>
      <c r="D663" s="31"/>
      <c r="E663" s="31"/>
      <c r="F663" s="31"/>
      <c r="G663" s="29"/>
      <c r="H663" s="12"/>
      <c r="I663" s="12"/>
      <c r="J663" s="12"/>
      <c r="K663" s="12"/>
      <c r="L663" s="18" t="str">
        <f t="shared" si="1"/>
        <v>#DIV/0!</v>
      </c>
      <c r="M663" s="18" t="str">
        <f t="shared" si="2"/>
        <v>#DIV/0!</v>
      </c>
      <c r="N663" s="12" t="str">
        <f t="shared" si="4"/>
        <v/>
      </c>
      <c r="O663" s="18" t="str">
        <f t="shared" si="3"/>
        <v>#DIV/0!</v>
      </c>
      <c r="P663" s="12"/>
    </row>
    <row r="664">
      <c r="C664" s="25"/>
      <c r="D664" s="31"/>
      <c r="E664" s="31"/>
      <c r="F664" s="31"/>
      <c r="G664" s="29"/>
      <c r="H664" s="12"/>
      <c r="I664" s="12"/>
      <c r="J664" s="12"/>
      <c r="K664" s="12"/>
      <c r="L664" s="18" t="str">
        <f t="shared" si="1"/>
        <v>#DIV/0!</v>
      </c>
      <c r="M664" s="18" t="str">
        <f t="shared" si="2"/>
        <v>#DIV/0!</v>
      </c>
      <c r="N664" s="12" t="str">
        <f t="shared" si="4"/>
        <v/>
      </c>
      <c r="O664" s="18" t="str">
        <f t="shared" si="3"/>
        <v>#DIV/0!</v>
      </c>
      <c r="P664" s="12"/>
    </row>
    <row r="665">
      <c r="C665" s="25"/>
      <c r="D665" s="31"/>
      <c r="E665" s="31"/>
      <c r="F665" s="31"/>
      <c r="G665" s="29"/>
      <c r="H665" s="12"/>
      <c r="I665" s="12"/>
      <c r="J665" s="12"/>
      <c r="K665" s="12"/>
      <c r="L665" s="18" t="str">
        <f t="shared" si="1"/>
        <v>#DIV/0!</v>
      </c>
      <c r="M665" s="18" t="str">
        <f t="shared" si="2"/>
        <v>#DIV/0!</v>
      </c>
      <c r="N665" s="12" t="str">
        <f t="shared" si="4"/>
        <v/>
      </c>
      <c r="O665" s="18" t="str">
        <f t="shared" si="3"/>
        <v>#DIV/0!</v>
      </c>
      <c r="P665" s="12"/>
    </row>
    <row r="666">
      <c r="C666" s="25"/>
      <c r="D666" s="31"/>
      <c r="E666" s="31"/>
      <c r="F666" s="31"/>
      <c r="G666" s="29"/>
      <c r="H666" s="12"/>
      <c r="I666" s="12"/>
      <c r="J666" s="12"/>
      <c r="K666" s="12"/>
      <c r="L666" s="18" t="str">
        <f t="shared" si="1"/>
        <v>#DIV/0!</v>
      </c>
      <c r="M666" s="18" t="str">
        <f t="shared" si="2"/>
        <v>#DIV/0!</v>
      </c>
      <c r="N666" s="12" t="str">
        <f t="shared" si="4"/>
        <v/>
      </c>
      <c r="O666" s="18" t="str">
        <f t="shared" si="3"/>
        <v>#DIV/0!</v>
      </c>
      <c r="P666" s="12"/>
    </row>
    <row r="667">
      <c r="C667" s="25"/>
      <c r="D667" s="31"/>
      <c r="E667" s="31"/>
      <c r="F667" s="31"/>
      <c r="G667" s="29"/>
      <c r="H667" s="12"/>
      <c r="I667" s="12"/>
      <c r="J667" s="12"/>
      <c r="K667" s="12"/>
      <c r="L667" s="18" t="str">
        <f t="shared" si="1"/>
        <v>#DIV/0!</v>
      </c>
      <c r="M667" s="18" t="str">
        <f t="shared" si="2"/>
        <v>#DIV/0!</v>
      </c>
      <c r="N667" s="12" t="str">
        <f t="shared" si="4"/>
        <v/>
      </c>
      <c r="O667" s="18" t="str">
        <f t="shared" si="3"/>
        <v>#DIV/0!</v>
      </c>
      <c r="P667" s="12"/>
    </row>
    <row r="668">
      <c r="C668" s="25"/>
      <c r="D668" s="31"/>
      <c r="E668" s="31"/>
      <c r="F668" s="31"/>
      <c r="G668" s="29"/>
      <c r="H668" s="12"/>
      <c r="I668" s="12"/>
      <c r="J668" s="12"/>
      <c r="K668" s="12"/>
      <c r="L668" s="18" t="str">
        <f t="shared" si="1"/>
        <v>#DIV/0!</v>
      </c>
      <c r="M668" s="18" t="str">
        <f t="shared" si="2"/>
        <v>#DIV/0!</v>
      </c>
      <c r="N668" s="12" t="str">
        <f t="shared" si="4"/>
        <v/>
      </c>
      <c r="O668" s="18" t="str">
        <f t="shared" si="3"/>
        <v>#DIV/0!</v>
      </c>
      <c r="P668" s="12"/>
    </row>
    <row r="669">
      <c r="C669" s="25"/>
      <c r="D669" s="31"/>
      <c r="E669" s="31"/>
      <c r="F669" s="31"/>
      <c r="G669" s="29"/>
      <c r="H669" s="12"/>
      <c r="I669" s="12"/>
      <c r="J669" s="12"/>
      <c r="K669" s="12"/>
      <c r="L669" s="18" t="str">
        <f t="shared" si="1"/>
        <v>#DIV/0!</v>
      </c>
      <c r="M669" s="18" t="str">
        <f t="shared" si="2"/>
        <v>#DIV/0!</v>
      </c>
      <c r="N669" s="12" t="str">
        <f t="shared" si="4"/>
        <v/>
      </c>
      <c r="O669" s="18" t="str">
        <f t="shared" si="3"/>
        <v>#DIV/0!</v>
      </c>
      <c r="P669" s="12"/>
    </row>
    <row r="670">
      <c r="C670" s="25"/>
      <c r="D670" s="31"/>
      <c r="E670" s="31"/>
      <c r="F670" s="31"/>
      <c r="G670" s="29"/>
      <c r="H670" s="12"/>
      <c r="I670" s="12"/>
      <c r="J670" s="12"/>
      <c r="K670" s="12"/>
      <c r="L670" s="18" t="str">
        <f t="shared" si="1"/>
        <v>#DIV/0!</v>
      </c>
      <c r="M670" s="18" t="str">
        <f t="shared" si="2"/>
        <v>#DIV/0!</v>
      </c>
      <c r="N670" s="12" t="str">
        <f t="shared" si="4"/>
        <v/>
      </c>
      <c r="O670" s="18" t="str">
        <f t="shared" si="3"/>
        <v>#DIV/0!</v>
      </c>
      <c r="P670" s="12"/>
    </row>
    <row r="671">
      <c r="C671" s="25"/>
      <c r="D671" s="31"/>
      <c r="E671" s="31"/>
      <c r="F671" s="31"/>
      <c r="G671" s="29"/>
      <c r="H671" s="12"/>
      <c r="I671" s="12"/>
      <c r="J671" s="12"/>
      <c r="K671" s="12"/>
      <c r="L671" s="18" t="str">
        <f t="shared" si="1"/>
        <v>#DIV/0!</v>
      </c>
      <c r="M671" s="18" t="str">
        <f t="shared" si="2"/>
        <v>#DIV/0!</v>
      </c>
      <c r="N671" s="12" t="str">
        <f t="shared" si="4"/>
        <v/>
      </c>
      <c r="O671" s="18" t="str">
        <f t="shared" si="3"/>
        <v>#DIV/0!</v>
      </c>
      <c r="P671" s="12"/>
    </row>
    <row r="672">
      <c r="C672" s="25"/>
      <c r="D672" s="31"/>
      <c r="E672" s="31"/>
      <c r="F672" s="31"/>
      <c r="G672" s="29"/>
      <c r="H672" s="12"/>
      <c r="I672" s="12"/>
      <c r="J672" s="12"/>
      <c r="K672" s="12"/>
      <c r="L672" s="18" t="str">
        <f t="shared" si="1"/>
        <v>#DIV/0!</v>
      </c>
      <c r="M672" s="18" t="str">
        <f t="shared" si="2"/>
        <v>#DIV/0!</v>
      </c>
      <c r="N672" s="12" t="str">
        <f t="shared" si="4"/>
        <v/>
      </c>
      <c r="O672" s="18" t="str">
        <f t="shared" si="3"/>
        <v>#DIV/0!</v>
      </c>
      <c r="P672" s="12"/>
    </row>
    <row r="673">
      <c r="C673" s="25"/>
      <c r="D673" s="31"/>
      <c r="E673" s="31"/>
      <c r="F673" s="31"/>
      <c r="G673" s="29"/>
      <c r="H673" s="12"/>
      <c r="I673" s="12"/>
      <c r="J673" s="12"/>
      <c r="K673" s="12"/>
      <c r="L673" s="18" t="str">
        <f t="shared" si="1"/>
        <v>#DIV/0!</v>
      </c>
      <c r="M673" s="18" t="str">
        <f t="shared" si="2"/>
        <v>#DIV/0!</v>
      </c>
      <c r="N673" s="12" t="str">
        <f t="shared" si="4"/>
        <v/>
      </c>
      <c r="O673" s="18" t="str">
        <f t="shared" si="3"/>
        <v>#DIV/0!</v>
      </c>
      <c r="P673" s="12"/>
    </row>
    <row r="674">
      <c r="C674" s="25"/>
      <c r="D674" s="31"/>
      <c r="E674" s="31"/>
      <c r="F674" s="31"/>
      <c r="G674" s="29"/>
      <c r="H674" s="12"/>
      <c r="I674" s="12"/>
      <c r="J674" s="12"/>
      <c r="K674" s="12"/>
      <c r="L674" s="18" t="str">
        <f t="shared" si="1"/>
        <v>#DIV/0!</v>
      </c>
      <c r="M674" s="18" t="str">
        <f t="shared" si="2"/>
        <v>#DIV/0!</v>
      </c>
      <c r="N674" s="12" t="str">
        <f t="shared" si="4"/>
        <v/>
      </c>
      <c r="O674" s="18" t="str">
        <f t="shared" si="3"/>
        <v>#DIV/0!</v>
      </c>
      <c r="P674" s="12"/>
    </row>
    <row r="675">
      <c r="C675" s="25"/>
      <c r="D675" s="31"/>
      <c r="E675" s="31"/>
      <c r="F675" s="31"/>
      <c r="G675" s="29"/>
      <c r="H675" s="12"/>
      <c r="I675" s="12"/>
      <c r="J675" s="12"/>
      <c r="K675" s="12"/>
      <c r="L675" s="18" t="str">
        <f t="shared" si="1"/>
        <v>#DIV/0!</v>
      </c>
      <c r="M675" s="18" t="str">
        <f t="shared" si="2"/>
        <v>#DIV/0!</v>
      </c>
      <c r="N675" s="12" t="str">
        <f t="shared" si="4"/>
        <v/>
      </c>
      <c r="O675" s="18" t="str">
        <f t="shared" si="3"/>
        <v>#DIV/0!</v>
      </c>
      <c r="P675" s="12"/>
    </row>
    <row r="676">
      <c r="C676" s="25"/>
      <c r="D676" s="31"/>
      <c r="E676" s="31"/>
      <c r="F676" s="31"/>
      <c r="G676" s="29"/>
      <c r="H676" s="12"/>
      <c r="I676" s="12"/>
      <c r="J676" s="12"/>
      <c r="K676" s="12"/>
      <c r="L676" s="18" t="str">
        <f t="shared" si="1"/>
        <v>#DIV/0!</v>
      </c>
      <c r="M676" s="18" t="str">
        <f t="shared" si="2"/>
        <v>#DIV/0!</v>
      </c>
      <c r="N676" s="12" t="str">
        <f t="shared" si="4"/>
        <v/>
      </c>
      <c r="O676" s="18" t="str">
        <f t="shared" si="3"/>
        <v>#DIV/0!</v>
      </c>
      <c r="P676" s="12"/>
    </row>
    <row r="677">
      <c r="C677" s="25"/>
      <c r="D677" s="31"/>
      <c r="E677" s="31"/>
      <c r="F677" s="31"/>
      <c r="G677" s="29"/>
      <c r="H677" s="12"/>
      <c r="I677" s="12"/>
      <c r="J677" s="12"/>
      <c r="K677" s="12"/>
      <c r="L677" s="18" t="str">
        <f t="shared" si="1"/>
        <v>#DIV/0!</v>
      </c>
      <c r="M677" s="18" t="str">
        <f t="shared" si="2"/>
        <v>#DIV/0!</v>
      </c>
      <c r="N677" s="12" t="str">
        <f t="shared" si="4"/>
        <v/>
      </c>
      <c r="O677" s="18" t="str">
        <f t="shared" si="3"/>
        <v>#DIV/0!</v>
      </c>
      <c r="P677" s="12"/>
    </row>
    <row r="678">
      <c r="C678" s="25"/>
      <c r="D678" s="31"/>
      <c r="E678" s="31"/>
      <c r="F678" s="31"/>
      <c r="G678" s="29"/>
      <c r="H678" s="12"/>
      <c r="I678" s="12"/>
      <c r="J678" s="12"/>
      <c r="K678" s="12"/>
      <c r="L678" s="18" t="str">
        <f t="shared" si="1"/>
        <v>#DIV/0!</v>
      </c>
      <c r="M678" s="18" t="str">
        <f t="shared" si="2"/>
        <v>#DIV/0!</v>
      </c>
      <c r="N678" s="12" t="str">
        <f t="shared" si="4"/>
        <v/>
      </c>
      <c r="O678" s="18" t="str">
        <f t="shared" si="3"/>
        <v>#DIV/0!</v>
      </c>
      <c r="P678" s="12"/>
    </row>
    <row r="679">
      <c r="C679" s="25"/>
      <c r="D679" s="31"/>
      <c r="E679" s="31"/>
      <c r="F679" s="31"/>
      <c r="G679" s="29"/>
      <c r="H679" s="12"/>
      <c r="I679" s="12"/>
      <c r="J679" s="12"/>
      <c r="K679" s="12"/>
      <c r="L679" s="18" t="str">
        <f t="shared" si="1"/>
        <v>#DIV/0!</v>
      </c>
      <c r="M679" s="18" t="str">
        <f t="shared" si="2"/>
        <v>#DIV/0!</v>
      </c>
      <c r="N679" s="12" t="str">
        <f t="shared" si="4"/>
        <v/>
      </c>
      <c r="O679" s="18" t="str">
        <f t="shared" si="3"/>
        <v>#DIV/0!</v>
      </c>
      <c r="P679" s="12"/>
    </row>
    <row r="680">
      <c r="C680" s="25"/>
      <c r="D680" s="31"/>
      <c r="E680" s="31"/>
      <c r="F680" s="31"/>
      <c r="G680" s="29"/>
      <c r="H680" s="12"/>
      <c r="I680" s="12"/>
      <c r="J680" s="12"/>
      <c r="K680" s="12"/>
      <c r="L680" s="18" t="str">
        <f t="shared" si="1"/>
        <v>#DIV/0!</v>
      </c>
      <c r="M680" s="18" t="str">
        <f t="shared" si="2"/>
        <v>#DIV/0!</v>
      </c>
      <c r="N680" s="12" t="str">
        <f t="shared" si="4"/>
        <v/>
      </c>
      <c r="O680" s="18" t="str">
        <f t="shared" si="3"/>
        <v>#DIV/0!</v>
      </c>
      <c r="P680" s="12"/>
    </row>
    <row r="681">
      <c r="C681" s="25"/>
      <c r="D681" s="31"/>
      <c r="E681" s="31"/>
      <c r="F681" s="31"/>
      <c r="G681" s="29"/>
      <c r="H681" s="12"/>
      <c r="I681" s="12"/>
      <c r="J681" s="12"/>
      <c r="K681" s="12"/>
      <c r="L681" s="18" t="str">
        <f t="shared" si="1"/>
        <v>#DIV/0!</v>
      </c>
      <c r="M681" s="18" t="str">
        <f t="shared" si="2"/>
        <v>#DIV/0!</v>
      </c>
      <c r="N681" s="12" t="str">
        <f t="shared" si="4"/>
        <v/>
      </c>
      <c r="O681" s="18" t="str">
        <f t="shared" si="3"/>
        <v>#DIV/0!</v>
      </c>
      <c r="P681" s="12"/>
    </row>
    <row r="682">
      <c r="C682" s="25"/>
      <c r="D682" s="31"/>
      <c r="E682" s="31"/>
      <c r="F682" s="31"/>
      <c r="G682" s="29"/>
      <c r="H682" s="12"/>
      <c r="I682" s="12"/>
      <c r="J682" s="12"/>
      <c r="K682" s="12"/>
      <c r="L682" s="18" t="str">
        <f t="shared" si="1"/>
        <v>#DIV/0!</v>
      </c>
      <c r="M682" s="18" t="str">
        <f t="shared" si="2"/>
        <v>#DIV/0!</v>
      </c>
      <c r="N682" s="12" t="str">
        <f t="shared" si="4"/>
        <v/>
      </c>
      <c r="O682" s="18" t="str">
        <f t="shared" si="3"/>
        <v>#DIV/0!</v>
      </c>
      <c r="P682" s="12"/>
    </row>
    <row r="683">
      <c r="C683" s="25"/>
      <c r="D683" s="31"/>
      <c r="E683" s="31"/>
      <c r="F683" s="31"/>
      <c r="G683" s="29"/>
      <c r="H683" s="12"/>
      <c r="I683" s="12"/>
      <c r="J683" s="12"/>
      <c r="K683" s="12"/>
      <c r="L683" s="18" t="str">
        <f t="shared" si="1"/>
        <v>#DIV/0!</v>
      </c>
      <c r="M683" s="18" t="str">
        <f t="shared" si="2"/>
        <v>#DIV/0!</v>
      </c>
      <c r="N683" s="12" t="str">
        <f t="shared" si="4"/>
        <v/>
      </c>
      <c r="O683" s="18" t="str">
        <f t="shared" si="3"/>
        <v>#DIV/0!</v>
      </c>
      <c r="P683" s="12"/>
    </row>
    <row r="684">
      <c r="C684" s="25"/>
      <c r="D684" s="31"/>
      <c r="E684" s="31"/>
      <c r="F684" s="31"/>
      <c r="G684" s="29"/>
      <c r="H684" s="12"/>
      <c r="I684" s="12"/>
      <c r="J684" s="12"/>
      <c r="K684" s="12"/>
      <c r="L684" s="18" t="str">
        <f t="shared" si="1"/>
        <v>#DIV/0!</v>
      </c>
      <c r="M684" s="18" t="str">
        <f t="shared" si="2"/>
        <v>#DIV/0!</v>
      </c>
      <c r="N684" s="12" t="str">
        <f t="shared" si="4"/>
        <v/>
      </c>
      <c r="O684" s="18" t="str">
        <f t="shared" si="3"/>
        <v>#DIV/0!</v>
      </c>
      <c r="P684" s="12"/>
    </row>
    <row r="685">
      <c r="C685" s="25"/>
      <c r="D685" s="31"/>
      <c r="E685" s="31"/>
      <c r="F685" s="31"/>
      <c r="G685" s="29"/>
      <c r="H685" s="12"/>
      <c r="I685" s="12"/>
      <c r="J685" s="12"/>
      <c r="K685" s="12"/>
      <c r="L685" s="18" t="str">
        <f t="shared" si="1"/>
        <v>#DIV/0!</v>
      </c>
      <c r="M685" s="18" t="str">
        <f t="shared" si="2"/>
        <v>#DIV/0!</v>
      </c>
      <c r="N685" s="12" t="str">
        <f t="shared" si="4"/>
        <v/>
      </c>
      <c r="O685" s="18" t="str">
        <f t="shared" si="3"/>
        <v>#DIV/0!</v>
      </c>
      <c r="P685" s="12"/>
    </row>
    <row r="686">
      <c r="C686" s="25"/>
      <c r="D686" s="31"/>
      <c r="E686" s="31"/>
      <c r="F686" s="31"/>
      <c r="G686" s="29"/>
      <c r="H686" s="12"/>
      <c r="I686" s="12"/>
      <c r="J686" s="12"/>
      <c r="K686" s="12"/>
      <c r="L686" s="18" t="str">
        <f t="shared" si="1"/>
        <v>#DIV/0!</v>
      </c>
      <c r="M686" s="18" t="str">
        <f t="shared" si="2"/>
        <v>#DIV/0!</v>
      </c>
      <c r="N686" s="12" t="str">
        <f t="shared" si="4"/>
        <v/>
      </c>
      <c r="O686" s="18" t="str">
        <f t="shared" si="3"/>
        <v>#DIV/0!</v>
      </c>
      <c r="P686" s="12"/>
    </row>
    <row r="687">
      <c r="C687" s="25"/>
      <c r="D687" s="31"/>
      <c r="E687" s="31"/>
      <c r="F687" s="31"/>
      <c r="G687" s="29"/>
      <c r="H687" s="12"/>
      <c r="I687" s="12"/>
      <c r="J687" s="12"/>
      <c r="K687" s="12"/>
      <c r="L687" s="18" t="str">
        <f t="shared" si="1"/>
        <v>#DIV/0!</v>
      </c>
      <c r="M687" s="18" t="str">
        <f t="shared" si="2"/>
        <v>#DIV/0!</v>
      </c>
      <c r="N687" s="12" t="str">
        <f t="shared" si="4"/>
        <v/>
      </c>
      <c r="O687" s="18" t="str">
        <f t="shared" si="3"/>
        <v>#DIV/0!</v>
      </c>
      <c r="P687" s="12"/>
    </row>
    <row r="688">
      <c r="C688" s="25"/>
      <c r="D688" s="31"/>
      <c r="E688" s="31"/>
      <c r="F688" s="31"/>
      <c r="G688" s="29"/>
      <c r="H688" s="12"/>
      <c r="I688" s="12"/>
      <c r="J688" s="12"/>
      <c r="K688" s="12"/>
      <c r="L688" s="18" t="str">
        <f t="shared" si="1"/>
        <v>#DIV/0!</v>
      </c>
      <c r="M688" s="18" t="str">
        <f t="shared" si="2"/>
        <v>#DIV/0!</v>
      </c>
      <c r="N688" s="12" t="str">
        <f t="shared" si="4"/>
        <v/>
      </c>
      <c r="O688" s="18" t="str">
        <f t="shared" si="3"/>
        <v>#DIV/0!</v>
      </c>
      <c r="P688" s="12"/>
    </row>
    <row r="689">
      <c r="C689" s="25"/>
      <c r="D689" s="31"/>
      <c r="E689" s="31"/>
      <c r="F689" s="31"/>
      <c r="G689" s="29"/>
      <c r="H689" s="12"/>
      <c r="I689" s="12"/>
      <c r="J689" s="12"/>
      <c r="K689" s="12"/>
      <c r="L689" s="18" t="str">
        <f t="shared" si="1"/>
        <v>#DIV/0!</v>
      </c>
      <c r="M689" s="18" t="str">
        <f t="shared" si="2"/>
        <v>#DIV/0!</v>
      </c>
      <c r="N689" s="12" t="str">
        <f t="shared" si="4"/>
        <v/>
      </c>
      <c r="O689" s="18" t="str">
        <f t="shared" si="3"/>
        <v>#DIV/0!</v>
      </c>
      <c r="P689" s="12"/>
    </row>
    <row r="690">
      <c r="C690" s="25"/>
      <c r="D690" s="31"/>
      <c r="E690" s="31"/>
      <c r="F690" s="31"/>
      <c r="G690" s="29"/>
      <c r="H690" s="12"/>
      <c r="I690" s="12"/>
      <c r="J690" s="12"/>
      <c r="K690" s="12"/>
      <c r="L690" s="18" t="str">
        <f t="shared" si="1"/>
        <v>#DIV/0!</v>
      </c>
      <c r="M690" s="18" t="str">
        <f t="shared" si="2"/>
        <v>#DIV/0!</v>
      </c>
      <c r="N690" s="12" t="str">
        <f t="shared" si="4"/>
        <v/>
      </c>
      <c r="O690" s="18" t="str">
        <f t="shared" si="3"/>
        <v>#DIV/0!</v>
      </c>
      <c r="P690" s="12"/>
    </row>
    <row r="691">
      <c r="C691" s="25"/>
      <c r="D691" s="31"/>
      <c r="E691" s="31"/>
      <c r="F691" s="31"/>
      <c r="G691" s="29"/>
      <c r="H691" s="12"/>
      <c r="I691" s="12"/>
      <c r="J691" s="12"/>
      <c r="K691" s="12"/>
      <c r="L691" s="18" t="str">
        <f t="shared" si="1"/>
        <v>#DIV/0!</v>
      </c>
      <c r="M691" s="18" t="str">
        <f t="shared" si="2"/>
        <v>#DIV/0!</v>
      </c>
      <c r="N691" s="12" t="str">
        <f t="shared" si="4"/>
        <v/>
      </c>
      <c r="O691" s="18" t="str">
        <f t="shared" si="3"/>
        <v>#DIV/0!</v>
      </c>
      <c r="P691" s="12"/>
    </row>
    <row r="692">
      <c r="C692" s="25"/>
      <c r="D692" s="31"/>
      <c r="E692" s="31"/>
      <c r="F692" s="31"/>
      <c r="G692" s="29"/>
      <c r="H692" s="12"/>
      <c r="I692" s="12"/>
      <c r="J692" s="12"/>
      <c r="K692" s="12"/>
      <c r="L692" s="18" t="str">
        <f t="shared" si="1"/>
        <v>#DIV/0!</v>
      </c>
      <c r="M692" s="18" t="str">
        <f t="shared" si="2"/>
        <v>#DIV/0!</v>
      </c>
      <c r="N692" s="12" t="str">
        <f t="shared" si="4"/>
        <v/>
      </c>
      <c r="O692" s="18" t="str">
        <f t="shared" si="3"/>
        <v>#DIV/0!</v>
      </c>
      <c r="P692" s="12"/>
    </row>
    <row r="693">
      <c r="C693" s="25"/>
      <c r="D693" s="31"/>
      <c r="E693" s="31"/>
      <c r="F693" s="31"/>
      <c r="G693" s="29"/>
      <c r="H693" s="12"/>
      <c r="I693" s="12"/>
      <c r="J693" s="12"/>
      <c r="K693" s="12"/>
      <c r="L693" s="18" t="str">
        <f t="shared" si="1"/>
        <v>#DIV/0!</v>
      </c>
      <c r="M693" s="18" t="str">
        <f t="shared" si="2"/>
        <v>#DIV/0!</v>
      </c>
      <c r="N693" s="12" t="str">
        <f t="shared" si="4"/>
        <v/>
      </c>
      <c r="O693" s="18" t="str">
        <f t="shared" si="3"/>
        <v>#DIV/0!</v>
      </c>
      <c r="P693" s="12"/>
    </row>
    <row r="694">
      <c r="C694" s="25"/>
      <c r="D694" s="31"/>
      <c r="E694" s="31"/>
      <c r="F694" s="31"/>
      <c r="G694" s="29"/>
      <c r="H694" s="12"/>
      <c r="I694" s="12"/>
      <c r="J694" s="12"/>
      <c r="K694" s="12"/>
      <c r="L694" s="18" t="str">
        <f t="shared" si="1"/>
        <v>#DIV/0!</v>
      </c>
      <c r="M694" s="18" t="str">
        <f t="shared" si="2"/>
        <v>#DIV/0!</v>
      </c>
      <c r="N694" s="12" t="str">
        <f t="shared" si="4"/>
        <v/>
      </c>
      <c r="O694" s="18" t="str">
        <f t="shared" si="3"/>
        <v>#DIV/0!</v>
      </c>
      <c r="P694" s="12"/>
    </row>
    <row r="695">
      <c r="C695" s="25"/>
      <c r="D695" s="31"/>
      <c r="E695" s="31"/>
      <c r="F695" s="31"/>
      <c r="G695" s="29"/>
      <c r="H695" s="12"/>
      <c r="I695" s="12"/>
      <c r="J695" s="12"/>
      <c r="K695" s="12"/>
      <c r="L695" s="18" t="str">
        <f t="shared" si="1"/>
        <v>#DIV/0!</v>
      </c>
      <c r="M695" s="18" t="str">
        <f t="shared" si="2"/>
        <v>#DIV/0!</v>
      </c>
      <c r="N695" s="12" t="str">
        <f t="shared" si="4"/>
        <v/>
      </c>
      <c r="O695" s="18" t="str">
        <f t="shared" si="3"/>
        <v>#DIV/0!</v>
      </c>
      <c r="P695" s="12"/>
    </row>
    <row r="696">
      <c r="C696" s="25"/>
      <c r="D696" s="31"/>
      <c r="E696" s="31"/>
      <c r="F696" s="31"/>
      <c r="G696" s="29"/>
      <c r="H696" s="12"/>
      <c r="I696" s="12"/>
      <c r="J696" s="12"/>
      <c r="K696" s="12"/>
      <c r="L696" s="18" t="str">
        <f t="shared" si="1"/>
        <v>#DIV/0!</v>
      </c>
      <c r="M696" s="18" t="str">
        <f t="shared" si="2"/>
        <v>#DIV/0!</v>
      </c>
      <c r="N696" s="12" t="str">
        <f t="shared" si="4"/>
        <v/>
      </c>
      <c r="O696" s="18" t="str">
        <f t="shared" si="3"/>
        <v>#DIV/0!</v>
      </c>
      <c r="P696" s="12"/>
    </row>
    <row r="697">
      <c r="C697" s="25"/>
      <c r="D697" s="31"/>
      <c r="E697" s="31"/>
      <c r="F697" s="31"/>
      <c r="G697" s="29"/>
      <c r="H697" s="12"/>
      <c r="I697" s="12"/>
      <c r="J697" s="12"/>
      <c r="K697" s="12"/>
      <c r="L697" s="18" t="str">
        <f t="shared" si="1"/>
        <v>#DIV/0!</v>
      </c>
      <c r="M697" s="18" t="str">
        <f t="shared" si="2"/>
        <v>#DIV/0!</v>
      </c>
      <c r="N697" s="12" t="str">
        <f t="shared" si="4"/>
        <v/>
      </c>
      <c r="O697" s="18" t="str">
        <f t="shared" si="3"/>
        <v>#DIV/0!</v>
      </c>
      <c r="P697" s="12"/>
    </row>
    <row r="698">
      <c r="C698" s="25"/>
      <c r="D698" s="31"/>
      <c r="E698" s="31"/>
      <c r="F698" s="31"/>
      <c r="G698" s="29"/>
      <c r="H698" s="12"/>
      <c r="I698" s="12"/>
      <c r="J698" s="12"/>
      <c r="K698" s="12"/>
      <c r="L698" s="18" t="str">
        <f t="shared" si="1"/>
        <v>#DIV/0!</v>
      </c>
      <c r="M698" s="18" t="str">
        <f t="shared" si="2"/>
        <v>#DIV/0!</v>
      </c>
      <c r="N698" s="12" t="str">
        <f t="shared" si="4"/>
        <v/>
      </c>
      <c r="O698" s="18" t="str">
        <f t="shared" si="3"/>
        <v>#DIV/0!</v>
      </c>
      <c r="P698" s="12"/>
    </row>
    <row r="699">
      <c r="C699" s="25"/>
      <c r="D699" s="31"/>
      <c r="E699" s="31"/>
      <c r="F699" s="31"/>
      <c r="G699" s="29"/>
      <c r="H699" s="12"/>
      <c r="I699" s="12"/>
      <c r="J699" s="12"/>
      <c r="K699" s="12"/>
      <c r="L699" s="18" t="str">
        <f t="shared" si="1"/>
        <v>#DIV/0!</v>
      </c>
      <c r="M699" s="18" t="str">
        <f t="shared" si="2"/>
        <v>#DIV/0!</v>
      </c>
      <c r="N699" s="12" t="str">
        <f t="shared" si="4"/>
        <v/>
      </c>
      <c r="O699" s="18" t="str">
        <f t="shared" si="3"/>
        <v>#DIV/0!</v>
      </c>
      <c r="P699" s="12"/>
    </row>
    <row r="700">
      <c r="C700" s="25"/>
      <c r="D700" s="31"/>
      <c r="E700" s="31"/>
      <c r="F700" s="31"/>
      <c r="G700" s="29"/>
      <c r="H700" s="12"/>
      <c r="I700" s="12"/>
      <c r="J700" s="12"/>
      <c r="K700" s="12"/>
      <c r="L700" s="18" t="str">
        <f t="shared" si="1"/>
        <v>#DIV/0!</v>
      </c>
      <c r="M700" s="18" t="str">
        <f t="shared" si="2"/>
        <v>#DIV/0!</v>
      </c>
      <c r="N700" s="12" t="str">
        <f t="shared" si="4"/>
        <v/>
      </c>
      <c r="O700" s="18" t="str">
        <f t="shared" si="3"/>
        <v>#DIV/0!</v>
      </c>
      <c r="P700" s="12"/>
    </row>
    <row r="701">
      <c r="C701" s="25"/>
      <c r="D701" s="31"/>
      <c r="E701" s="31"/>
      <c r="F701" s="31"/>
      <c r="G701" s="29"/>
      <c r="H701" s="12"/>
      <c r="I701" s="12"/>
      <c r="J701" s="12"/>
      <c r="K701" s="12"/>
      <c r="L701" s="18" t="str">
        <f t="shared" si="1"/>
        <v>#DIV/0!</v>
      </c>
      <c r="M701" s="18" t="str">
        <f t="shared" si="2"/>
        <v>#DIV/0!</v>
      </c>
      <c r="N701" s="12" t="str">
        <f t="shared" si="4"/>
        <v/>
      </c>
      <c r="O701" s="18" t="str">
        <f t="shared" si="3"/>
        <v>#DIV/0!</v>
      </c>
      <c r="P701" s="12"/>
    </row>
    <row r="702">
      <c r="C702" s="25"/>
      <c r="D702" s="31"/>
      <c r="E702" s="31"/>
      <c r="F702" s="31"/>
      <c r="G702" s="29"/>
      <c r="H702" s="12"/>
      <c r="I702" s="12"/>
      <c r="J702" s="12"/>
      <c r="K702" s="12"/>
      <c r="L702" s="18" t="str">
        <f t="shared" si="1"/>
        <v>#DIV/0!</v>
      </c>
      <c r="M702" s="18" t="str">
        <f t="shared" si="2"/>
        <v>#DIV/0!</v>
      </c>
      <c r="N702" s="12" t="str">
        <f t="shared" si="4"/>
        <v/>
      </c>
      <c r="O702" s="18" t="str">
        <f t="shared" si="3"/>
        <v>#DIV/0!</v>
      </c>
      <c r="P702" s="12"/>
    </row>
    <row r="703">
      <c r="C703" s="25"/>
      <c r="D703" s="31"/>
      <c r="E703" s="31"/>
      <c r="F703" s="31"/>
      <c r="G703" s="29"/>
      <c r="H703" s="12"/>
      <c r="I703" s="12"/>
      <c r="J703" s="12"/>
      <c r="K703" s="12"/>
      <c r="L703" s="18" t="str">
        <f t="shared" si="1"/>
        <v>#DIV/0!</v>
      </c>
      <c r="M703" s="18" t="str">
        <f t="shared" si="2"/>
        <v>#DIV/0!</v>
      </c>
      <c r="N703" s="12" t="str">
        <f t="shared" si="4"/>
        <v/>
      </c>
      <c r="O703" s="18" t="str">
        <f t="shared" si="3"/>
        <v>#DIV/0!</v>
      </c>
      <c r="P703" s="12"/>
    </row>
    <row r="704">
      <c r="C704" s="25"/>
      <c r="D704" s="31"/>
      <c r="E704" s="31"/>
      <c r="F704" s="31"/>
      <c r="G704" s="29"/>
      <c r="H704" s="12"/>
      <c r="I704" s="12"/>
      <c r="J704" s="12"/>
      <c r="K704" s="12"/>
      <c r="L704" s="18" t="str">
        <f t="shared" si="1"/>
        <v>#DIV/0!</v>
      </c>
      <c r="M704" s="18" t="str">
        <f t="shared" si="2"/>
        <v>#DIV/0!</v>
      </c>
      <c r="N704" s="12" t="str">
        <f t="shared" si="4"/>
        <v/>
      </c>
      <c r="O704" s="18" t="str">
        <f t="shared" si="3"/>
        <v>#DIV/0!</v>
      </c>
      <c r="P704" s="12"/>
    </row>
    <row r="705">
      <c r="C705" s="25"/>
      <c r="D705" s="31"/>
      <c r="E705" s="31"/>
      <c r="F705" s="31"/>
      <c r="G705" s="29"/>
      <c r="H705" s="12"/>
      <c r="I705" s="12"/>
      <c r="J705" s="12"/>
      <c r="K705" s="12"/>
      <c r="L705" s="18" t="str">
        <f t="shared" si="1"/>
        <v>#DIV/0!</v>
      </c>
      <c r="M705" s="18" t="str">
        <f t="shared" si="2"/>
        <v>#DIV/0!</v>
      </c>
      <c r="N705" s="12" t="str">
        <f t="shared" si="4"/>
        <v/>
      </c>
      <c r="O705" s="18" t="str">
        <f t="shared" si="3"/>
        <v>#DIV/0!</v>
      </c>
      <c r="P705" s="12"/>
    </row>
    <row r="706">
      <c r="C706" s="25"/>
      <c r="D706" s="31"/>
      <c r="E706" s="31"/>
      <c r="F706" s="31"/>
      <c r="G706" s="29"/>
      <c r="H706" s="12"/>
      <c r="I706" s="12"/>
      <c r="J706" s="12"/>
      <c r="K706" s="12"/>
      <c r="L706" s="18" t="str">
        <f t="shared" si="1"/>
        <v>#DIV/0!</v>
      </c>
      <c r="M706" s="18" t="str">
        <f t="shared" si="2"/>
        <v>#DIV/0!</v>
      </c>
      <c r="N706" s="12" t="str">
        <f t="shared" si="4"/>
        <v/>
      </c>
      <c r="O706" s="18" t="str">
        <f t="shared" si="3"/>
        <v>#DIV/0!</v>
      </c>
      <c r="P706" s="12"/>
    </row>
    <row r="707">
      <c r="C707" s="25"/>
      <c r="D707" s="31"/>
      <c r="E707" s="31"/>
      <c r="F707" s="31"/>
      <c r="G707" s="29"/>
      <c r="H707" s="12"/>
      <c r="I707" s="12"/>
      <c r="J707" s="12"/>
      <c r="K707" s="12"/>
      <c r="L707" s="18" t="str">
        <f t="shared" si="1"/>
        <v>#DIV/0!</v>
      </c>
      <c r="M707" s="18" t="str">
        <f t="shared" si="2"/>
        <v>#DIV/0!</v>
      </c>
      <c r="N707" s="12" t="str">
        <f t="shared" si="4"/>
        <v/>
      </c>
      <c r="O707" s="18" t="str">
        <f t="shared" si="3"/>
        <v>#DIV/0!</v>
      </c>
      <c r="P707" s="12"/>
    </row>
    <row r="708">
      <c r="C708" s="25"/>
      <c r="D708" s="31"/>
      <c r="E708" s="31"/>
      <c r="F708" s="31"/>
      <c r="G708" s="29"/>
      <c r="H708" s="12"/>
      <c r="I708" s="12"/>
      <c r="J708" s="12"/>
      <c r="K708" s="12"/>
      <c r="L708" s="18" t="str">
        <f t="shared" si="1"/>
        <v>#DIV/0!</v>
      </c>
      <c r="M708" s="18" t="str">
        <f t="shared" si="2"/>
        <v>#DIV/0!</v>
      </c>
      <c r="N708" s="12" t="str">
        <f t="shared" si="4"/>
        <v/>
      </c>
      <c r="O708" s="18" t="str">
        <f t="shared" si="3"/>
        <v>#DIV/0!</v>
      </c>
      <c r="P708" s="12"/>
    </row>
    <row r="709">
      <c r="C709" s="25"/>
      <c r="D709" s="31"/>
      <c r="E709" s="31"/>
      <c r="F709" s="31"/>
      <c r="G709" s="29"/>
      <c r="H709" s="12"/>
      <c r="I709" s="12"/>
      <c r="J709" s="12"/>
      <c r="K709" s="12"/>
      <c r="L709" s="18" t="str">
        <f t="shared" si="1"/>
        <v>#DIV/0!</v>
      </c>
      <c r="M709" s="18" t="str">
        <f t="shared" si="2"/>
        <v>#DIV/0!</v>
      </c>
      <c r="N709" s="12" t="str">
        <f t="shared" si="4"/>
        <v/>
      </c>
      <c r="O709" s="18" t="str">
        <f t="shared" si="3"/>
        <v>#DIV/0!</v>
      </c>
      <c r="P709" s="12"/>
    </row>
    <row r="710">
      <c r="C710" s="25"/>
      <c r="D710" s="31"/>
      <c r="E710" s="31"/>
      <c r="F710" s="31"/>
      <c r="G710" s="29"/>
      <c r="H710" s="12"/>
      <c r="I710" s="12"/>
      <c r="J710" s="12"/>
      <c r="K710" s="12"/>
      <c r="L710" s="18" t="str">
        <f t="shared" si="1"/>
        <v>#DIV/0!</v>
      </c>
      <c r="M710" s="18" t="str">
        <f t="shared" si="2"/>
        <v>#DIV/0!</v>
      </c>
      <c r="N710" s="12" t="str">
        <f t="shared" si="4"/>
        <v/>
      </c>
      <c r="O710" s="18" t="str">
        <f t="shared" si="3"/>
        <v>#DIV/0!</v>
      </c>
      <c r="P710" s="12"/>
    </row>
    <row r="711">
      <c r="C711" s="25"/>
      <c r="D711" s="31"/>
      <c r="E711" s="31"/>
      <c r="F711" s="31"/>
      <c r="G711" s="29"/>
      <c r="H711" s="12"/>
      <c r="I711" s="12"/>
      <c r="J711" s="12"/>
      <c r="K711" s="12"/>
      <c r="L711" s="18" t="str">
        <f t="shared" si="1"/>
        <v>#DIV/0!</v>
      </c>
      <c r="M711" s="18" t="str">
        <f t="shared" si="2"/>
        <v>#DIV/0!</v>
      </c>
      <c r="N711" s="12" t="str">
        <f t="shared" si="4"/>
        <v/>
      </c>
      <c r="O711" s="18" t="str">
        <f t="shared" si="3"/>
        <v>#DIV/0!</v>
      </c>
      <c r="P711" s="12"/>
    </row>
    <row r="712">
      <c r="C712" s="25"/>
      <c r="D712" s="31"/>
      <c r="E712" s="31"/>
      <c r="F712" s="31"/>
      <c r="G712" s="29"/>
      <c r="H712" s="12"/>
      <c r="I712" s="12"/>
      <c r="J712" s="12"/>
      <c r="K712" s="12"/>
      <c r="L712" s="18" t="str">
        <f t="shared" si="1"/>
        <v>#DIV/0!</v>
      </c>
      <c r="M712" s="18" t="str">
        <f t="shared" si="2"/>
        <v>#DIV/0!</v>
      </c>
      <c r="N712" s="12" t="str">
        <f t="shared" si="4"/>
        <v/>
      </c>
      <c r="O712" s="18" t="str">
        <f t="shared" si="3"/>
        <v>#DIV/0!</v>
      </c>
      <c r="P712" s="12"/>
    </row>
    <row r="713">
      <c r="C713" s="25"/>
      <c r="D713" s="31"/>
      <c r="E713" s="31"/>
      <c r="F713" s="31"/>
      <c r="G713" s="29"/>
      <c r="H713" s="12"/>
      <c r="I713" s="12"/>
      <c r="J713" s="12"/>
      <c r="K713" s="12"/>
      <c r="L713" s="18" t="str">
        <f t="shared" si="1"/>
        <v>#DIV/0!</v>
      </c>
      <c r="M713" s="18" t="str">
        <f t="shared" si="2"/>
        <v>#DIV/0!</v>
      </c>
      <c r="N713" s="12" t="str">
        <f t="shared" si="4"/>
        <v/>
      </c>
      <c r="O713" s="18" t="str">
        <f t="shared" si="3"/>
        <v>#DIV/0!</v>
      </c>
      <c r="P713" s="12"/>
    </row>
    <row r="714">
      <c r="C714" s="25"/>
      <c r="D714" s="31"/>
      <c r="E714" s="31"/>
      <c r="F714" s="31"/>
      <c r="G714" s="29"/>
      <c r="H714" s="12"/>
      <c r="I714" s="12"/>
      <c r="J714" s="12"/>
      <c r="K714" s="12"/>
      <c r="L714" s="18" t="str">
        <f t="shared" si="1"/>
        <v>#DIV/0!</v>
      </c>
      <c r="M714" s="18" t="str">
        <f t="shared" si="2"/>
        <v>#DIV/0!</v>
      </c>
      <c r="N714" s="12" t="str">
        <f t="shared" si="4"/>
        <v/>
      </c>
      <c r="O714" s="18" t="str">
        <f t="shared" si="3"/>
        <v>#DIV/0!</v>
      </c>
      <c r="P714" s="12"/>
    </row>
    <row r="715">
      <c r="C715" s="25"/>
      <c r="D715" s="31"/>
      <c r="E715" s="31"/>
      <c r="F715" s="31"/>
      <c r="G715" s="29"/>
      <c r="H715" s="12"/>
      <c r="I715" s="12"/>
      <c r="J715" s="12"/>
      <c r="K715" s="12"/>
      <c r="L715" s="18" t="str">
        <f t="shared" si="1"/>
        <v>#DIV/0!</v>
      </c>
      <c r="M715" s="18" t="str">
        <f t="shared" si="2"/>
        <v>#DIV/0!</v>
      </c>
      <c r="N715" s="12" t="str">
        <f t="shared" si="4"/>
        <v/>
      </c>
      <c r="O715" s="18" t="str">
        <f t="shared" si="3"/>
        <v>#DIV/0!</v>
      </c>
      <c r="P715" s="12"/>
    </row>
    <row r="716">
      <c r="C716" s="25"/>
      <c r="D716" s="31"/>
      <c r="E716" s="31"/>
      <c r="F716" s="31"/>
      <c r="G716" s="29"/>
      <c r="H716" s="12"/>
      <c r="I716" s="12"/>
      <c r="J716" s="12"/>
      <c r="K716" s="12"/>
      <c r="L716" s="18" t="str">
        <f t="shared" si="1"/>
        <v>#DIV/0!</v>
      </c>
      <c r="M716" s="18" t="str">
        <f t="shared" si="2"/>
        <v>#DIV/0!</v>
      </c>
      <c r="N716" s="12" t="str">
        <f t="shared" si="4"/>
        <v/>
      </c>
      <c r="O716" s="18" t="str">
        <f t="shared" si="3"/>
        <v>#DIV/0!</v>
      </c>
      <c r="P716" s="12"/>
    </row>
    <row r="717">
      <c r="C717" s="25"/>
      <c r="D717" s="31"/>
      <c r="E717" s="31"/>
      <c r="F717" s="31"/>
      <c r="G717" s="29"/>
      <c r="H717" s="12"/>
      <c r="I717" s="12"/>
      <c r="J717" s="12"/>
      <c r="K717" s="12"/>
      <c r="L717" s="18" t="str">
        <f t="shared" si="1"/>
        <v>#DIV/0!</v>
      </c>
      <c r="M717" s="18" t="str">
        <f t="shared" si="2"/>
        <v>#DIV/0!</v>
      </c>
      <c r="N717" s="12" t="str">
        <f t="shared" si="4"/>
        <v/>
      </c>
      <c r="O717" s="18" t="str">
        <f t="shared" si="3"/>
        <v>#DIV/0!</v>
      </c>
      <c r="P717" s="12"/>
    </row>
    <row r="718">
      <c r="C718" s="25"/>
      <c r="D718" s="31"/>
      <c r="E718" s="31"/>
      <c r="F718" s="31"/>
      <c r="G718" s="29"/>
      <c r="H718" s="12"/>
      <c r="I718" s="12"/>
      <c r="J718" s="12"/>
      <c r="K718" s="12"/>
      <c r="L718" s="18" t="str">
        <f t="shared" si="1"/>
        <v>#DIV/0!</v>
      </c>
      <c r="M718" s="18" t="str">
        <f t="shared" si="2"/>
        <v>#DIV/0!</v>
      </c>
      <c r="N718" s="12" t="str">
        <f t="shared" si="4"/>
        <v/>
      </c>
      <c r="O718" s="18" t="str">
        <f t="shared" si="3"/>
        <v>#DIV/0!</v>
      </c>
      <c r="P718" s="12"/>
    </row>
    <row r="719">
      <c r="C719" s="25"/>
      <c r="D719" s="31"/>
      <c r="E719" s="31"/>
      <c r="F719" s="31"/>
      <c r="G719" s="29"/>
      <c r="H719" s="12"/>
      <c r="I719" s="12"/>
      <c r="J719" s="12"/>
      <c r="K719" s="12"/>
      <c r="L719" s="18" t="str">
        <f t="shared" si="1"/>
        <v>#DIV/0!</v>
      </c>
      <c r="M719" s="18" t="str">
        <f t="shared" si="2"/>
        <v>#DIV/0!</v>
      </c>
      <c r="N719" s="12" t="str">
        <f t="shared" si="4"/>
        <v/>
      </c>
      <c r="O719" s="18" t="str">
        <f t="shared" si="3"/>
        <v>#DIV/0!</v>
      </c>
      <c r="P719" s="12"/>
    </row>
    <row r="720">
      <c r="C720" s="25"/>
      <c r="D720" s="31"/>
      <c r="E720" s="31"/>
      <c r="F720" s="31"/>
      <c r="G720" s="29"/>
      <c r="H720" s="12"/>
      <c r="I720" s="12"/>
      <c r="J720" s="12"/>
      <c r="K720" s="12"/>
      <c r="L720" s="18" t="str">
        <f t="shared" si="1"/>
        <v>#DIV/0!</v>
      </c>
      <c r="M720" s="18" t="str">
        <f t="shared" si="2"/>
        <v>#DIV/0!</v>
      </c>
      <c r="N720" s="12" t="str">
        <f t="shared" si="4"/>
        <v/>
      </c>
      <c r="O720" s="18" t="str">
        <f t="shared" si="3"/>
        <v>#DIV/0!</v>
      </c>
      <c r="P720" s="12"/>
    </row>
    <row r="721">
      <c r="C721" s="25"/>
      <c r="D721" s="31"/>
      <c r="E721" s="31"/>
      <c r="F721" s="31"/>
      <c r="G721" s="29"/>
      <c r="H721" s="12"/>
      <c r="I721" s="12"/>
      <c r="J721" s="12"/>
      <c r="K721" s="12"/>
      <c r="L721" s="18" t="str">
        <f t="shared" si="1"/>
        <v>#DIV/0!</v>
      </c>
      <c r="M721" s="18" t="str">
        <f t="shared" si="2"/>
        <v>#DIV/0!</v>
      </c>
      <c r="N721" s="12" t="str">
        <f t="shared" si="4"/>
        <v/>
      </c>
      <c r="O721" s="18" t="str">
        <f t="shared" si="3"/>
        <v>#DIV/0!</v>
      </c>
      <c r="P721" s="12"/>
    </row>
    <row r="722">
      <c r="C722" s="25"/>
      <c r="D722" s="31"/>
      <c r="E722" s="31"/>
      <c r="F722" s="31"/>
      <c r="G722" s="29"/>
      <c r="H722" s="12"/>
      <c r="I722" s="12"/>
      <c r="J722" s="12"/>
      <c r="K722" s="12"/>
      <c r="L722" s="18" t="str">
        <f t="shared" si="1"/>
        <v>#DIV/0!</v>
      </c>
      <c r="M722" s="18" t="str">
        <f t="shared" si="2"/>
        <v>#DIV/0!</v>
      </c>
      <c r="N722" s="12" t="str">
        <f t="shared" si="4"/>
        <v/>
      </c>
      <c r="O722" s="18" t="str">
        <f t="shared" si="3"/>
        <v>#DIV/0!</v>
      </c>
      <c r="P722" s="12"/>
    </row>
    <row r="723">
      <c r="C723" s="25"/>
      <c r="D723" s="31"/>
      <c r="E723" s="31"/>
      <c r="F723" s="31"/>
      <c r="G723" s="29"/>
      <c r="H723" s="12"/>
      <c r="I723" s="12"/>
      <c r="J723" s="12"/>
      <c r="K723" s="12"/>
      <c r="L723" s="18" t="str">
        <f t="shared" si="1"/>
        <v>#DIV/0!</v>
      </c>
      <c r="M723" s="18" t="str">
        <f t="shared" si="2"/>
        <v>#DIV/0!</v>
      </c>
      <c r="N723" s="12" t="str">
        <f t="shared" si="4"/>
        <v/>
      </c>
      <c r="O723" s="18" t="str">
        <f t="shared" si="3"/>
        <v>#DIV/0!</v>
      </c>
      <c r="P723" s="12"/>
    </row>
    <row r="724">
      <c r="C724" s="25"/>
      <c r="D724" s="31"/>
      <c r="E724" s="31"/>
      <c r="F724" s="31"/>
      <c r="G724" s="29"/>
      <c r="H724" s="12"/>
      <c r="I724" s="12"/>
      <c r="J724" s="12"/>
      <c r="K724" s="12"/>
      <c r="L724" s="18" t="str">
        <f t="shared" si="1"/>
        <v>#DIV/0!</v>
      </c>
      <c r="M724" s="18" t="str">
        <f t="shared" si="2"/>
        <v>#DIV/0!</v>
      </c>
      <c r="N724" s="12" t="str">
        <f t="shared" si="4"/>
        <v/>
      </c>
      <c r="O724" s="18" t="str">
        <f t="shared" si="3"/>
        <v>#DIV/0!</v>
      </c>
      <c r="P724" s="12"/>
    </row>
    <row r="725">
      <c r="C725" s="25"/>
      <c r="D725" s="31"/>
      <c r="E725" s="31"/>
      <c r="F725" s="31"/>
      <c r="G725" s="29"/>
      <c r="H725" s="12"/>
      <c r="I725" s="12"/>
      <c r="J725" s="12"/>
      <c r="K725" s="12"/>
      <c r="L725" s="18" t="str">
        <f t="shared" si="1"/>
        <v>#DIV/0!</v>
      </c>
      <c r="M725" s="18" t="str">
        <f t="shared" si="2"/>
        <v>#DIV/0!</v>
      </c>
      <c r="N725" s="12" t="str">
        <f t="shared" si="4"/>
        <v/>
      </c>
      <c r="O725" s="18" t="str">
        <f t="shared" si="3"/>
        <v>#DIV/0!</v>
      </c>
      <c r="P725" s="12"/>
    </row>
    <row r="726">
      <c r="C726" s="25"/>
      <c r="D726" s="31"/>
      <c r="E726" s="31"/>
      <c r="F726" s="31"/>
      <c r="G726" s="29"/>
      <c r="H726" s="12"/>
      <c r="I726" s="12"/>
      <c r="J726" s="12"/>
      <c r="K726" s="12"/>
      <c r="L726" s="18" t="str">
        <f t="shared" si="1"/>
        <v>#DIV/0!</v>
      </c>
      <c r="M726" s="18" t="str">
        <f t="shared" si="2"/>
        <v>#DIV/0!</v>
      </c>
      <c r="N726" s="12" t="str">
        <f t="shared" si="4"/>
        <v/>
      </c>
      <c r="O726" s="18" t="str">
        <f t="shared" si="3"/>
        <v>#DIV/0!</v>
      </c>
      <c r="P726" s="12"/>
    </row>
    <row r="727">
      <c r="C727" s="25"/>
      <c r="D727" s="31"/>
      <c r="E727" s="31"/>
      <c r="F727" s="31"/>
      <c r="G727" s="29"/>
      <c r="H727" s="12"/>
      <c r="I727" s="12"/>
      <c r="J727" s="12"/>
      <c r="K727" s="12"/>
      <c r="L727" s="18" t="str">
        <f t="shared" si="1"/>
        <v>#DIV/0!</v>
      </c>
      <c r="M727" s="18" t="str">
        <f t="shared" si="2"/>
        <v>#DIV/0!</v>
      </c>
      <c r="N727" s="12" t="str">
        <f t="shared" si="4"/>
        <v/>
      </c>
      <c r="O727" s="18" t="str">
        <f t="shared" si="3"/>
        <v>#DIV/0!</v>
      </c>
      <c r="P727" s="12"/>
    </row>
    <row r="728">
      <c r="C728" s="25"/>
      <c r="D728" s="31"/>
      <c r="E728" s="31"/>
      <c r="F728" s="31"/>
      <c r="G728" s="29"/>
      <c r="H728" s="12"/>
      <c r="I728" s="12"/>
      <c r="J728" s="12"/>
      <c r="K728" s="12"/>
      <c r="L728" s="18" t="str">
        <f t="shared" si="1"/>
        <v>#DIV/0!</v>
      </c>
      <c r="M728" s="18" t="str">
        <f t="shared" si="2"/>
        <v>#DIV/0!</v>
      </c>
      <c r="N728" s="12" t="str">
        <f t="shared" si="4"/>
        <v/>
      </c>
      <c r="O728" s="18" t="str">
        <f t="shared" si="3"/>
        <v>#DIV/0!</v>
      </c>
      <c r="P728" s="12"/>
    </row>
    <row r="729">
      <c r="C729" s="25"/>
      <c r="D729" s="31"/>
      <c r="E729" s="31"/>
      <c r="F729" s="31"/>
      <c r="G729" s="29"/>
      <c r="H729" s="12"/>
      <c r="I729" s="12"/>
      <c r="J729" s="12"/>
      <c r="K729" s="12"/>
      <c r="L729" s="18" t="str">
        <f t="shared" si="1"/>
        <v>#DIV/0!</v>
      </c>
      <c r="M729" s="18" t="str">
        <f t="shared" si="2"/>
        <v>#DIV/0!</v>
      </c>
      <c r="N729" s="12" t="str">
        <f t="shared" si="4"/>
        <v/>
      </c>
      <c r="O729" s="18" t="str">
        <f t="shared" si="3"/>
        <v>#DIV/0!</v>
      </c>
      <c r="P729" s="12"/>
    </row>
    <row r="730">
      <c r="C730" s="25"/>
      <c r="D730" s="31"/>
      <c r="E730" s="31"/>
      <c r="F730" s="31"/>
      <c r="G730" s="29"/>
      <c r="H730" s="12"/>
      <c r="I730" s="12"/>
      <c r="J730" s="12"/>
      <c r="K730" s="12"/>
      <c r="L730" s="18" t="str">
        <f t="shared" si="1"/>
        <v>#DIV/0!</v>
      </c>
      <c r="M730" s="18" t="str">
        <f t="shared" si="2"/>
        <v>#DIV/0!</v>
      </c>
      <c r="N730" s="12" t="str">
        <f t="shared" si="4"/>
        <v/>
      </c>
      <c r="O730" s="18" t="str">
        <f t="shared" si="3"/>
        <v>#DIV/0!</v>
      </c>
      <c r="P730" s="12"/>
    </row>
    <row r="731">
      <c r="C731" s="25"/>
      <c r="D731" s="31"/>
      <c r="E731" s="31"/>
      <c r="F731" s="31"/>
      <c r="G731" s="29"/>
      <c r="H731" s="12"/>
      <c r="I731" s="12"/>
      <c r="J731" s="12"/>
      <c r="K731" s="12"/>
      <c r="L731" s="18" t="str">
        <f t="shared" si="1"/>
        <v>#DIV/0!</v>
      </c>
      <c r="M731" s="18" t="str">
        <f t="shared" si="2"/>
        <v>#DIV/0!</v>
      </c>
      <c r="N731" s="12" t="str">
        <f t="shared" si="4"/>
        <v/>
      </c>
      <c r="O731" s="18" t="str">
        <f t="shared" si="3"/>
        <v>#DIV/0!</v>
      </c>
      <c r="P731" s="12"/>
    </row>
    <row r="732">
      <c r="C732" s="25"/>
      <c r="D732" s="31"/>
      <c r="E732" s="31"/>
      <c r="F732" s="31"/>
      <c r="G732" s="29"/>
      <c r="H732" s="12"/>
      <c r="I732" s="12"/>
      <c r="J732" s="12"/>
      <c r="K732" s="12"/>
      <c r="L732" s="18" t="str">
        <f t="shared" si="1"/>
        <v>#DIV/0!</v>
      </c>
      <c r="M732" s="18" t="str">
        <f t="shared" si="2"/>
        <v>#DIV/0!</v>
      </c>
      <c r="N732" s="12" t="str">
        <f t="shared" si="4"/>
        <v/>
      </c>
      <c r="O732" s="18" t="str">
        <f t="shared" si="3"/>
        <v>#DIV/0!</v>
      </c>
      <c r="P732" s="12"/>
    </row>
    <row r="733">
      <c r="C733" s="25"/>
      <c r="D733" s="31"/>
      <c r="E733" s="31"/>
      <c r="F733" s="31"/>
      <c r="G733" s="29"/>
      <c r="H733" s="12"/>
      <c r="I733" s="12"/>
      <c r="J733" s="12"/>
      <c r="K733" s="12"/>
      <c r="L733" s="18" t="str">
        <f t="shared" si="1"/>
        <v>#DIV/0!</v>
      </c>
      <c r="M733" s="18" t="str">
        <f t="shared" si="2"/>
        <v>#DIV/0!</v>
      </c>
      <c r="N733" s="12" t="str">
        <f t="shared" si="4"/>
        <v/>
      </c>
      <c r="O733" s="18" t="str">
        <f t="shared" si="3"/>
        <v>#DIV/0!</v>
      </c>
      <c r="P733" s="12"/>
    </row>
    <row r="734">
      <c r="C734" s="25"/>
      <c r="D734" s="31"/>
      <c r="E734" s="31"/>
      <c r="F734" s="31"/>
      <c r="G734" s="29"/>
      <c r="H734" s="12"/>
      <c r="I734" s="12"/>
      <c r="J734" s="12"/>
      <c r="K734" s="12"/>
      <c r="L734" s="18" t="str">
        <f t="shared" si="1"/>
        <v>#DIV/0!</v>
      </c>
      <c r="M734" s="18" t="str">
        <f t="shared" si="2"/>
        <v>#DIV/0!</v>
      </c>
      <c r="N734" s="12" t="str">
        <f t="shared" si="4"/>
        <v/>
      </c>
      <c r="O734" s="18" t="str">
        <f t="shared" si="3"/>
        <v>#DIV/0!</v>
      </c>
      <c r="P734" s="12"/>
    </row>
    <row r="735">
      <c r="C735" s="25"/>
      <c r="D735" s="31"/>
      <c r="E735" s="31"/>
      <c r="F735" s="31"/>
      <c r="G735" s="29"/>
      <c r="H735" s="12"/>
      <c r="I735" s="12"/>
      <c r="J735" s="12"/>
      <c r="K735" s="12"/>
      <c r="L735" s="18" t="str">
        <f t="shared" si="1"/>
        <v>#DIV/0!</v>
      </c>
      <c r="M735" s="18" t="str">
        <f t="shared" si="2"/>
        <v>#DIV/0!</v>
      </c>
      <c r="N735" s="12" t="str">
        <f t="shared" si="4"/>
        <v/>
      </c>
      <c r="O735" s="18" t="str">
        <f t="shared" si="3"/>
        <v>#DIV/0!</v>
      </c>
      <c r="P735" s="12"/>
    </row>
    <row r="736">
      <c r="C736" s="25"/>
      <c r="D736" s="31"/>
      <c r="E736" s="31"/>
      <c r="F736" s="31"/>
      <c r="G736" s="29"/>
      <c r="H736" s="12"/>
      <c r="I736" s="12"/>
      <c r="J736" s="12"/>
      <c r="K736" s="12"/>
      <c r="L736" s="18" t="str">
        <f t="shared" si="1"/>
        <v>#DIV/0!</v>
      </c>
      <c r="M736" s="18" t="str">
        <f t="shared" si="2"/>
        <v>#DIV/0!</v>
      </c>
      <c r="N736" s="12" t="str">
        <f t="shared" si="4"/>
        <v/>
      </c>
      <c r="O736" s="18" t="str">
        <f t="shared" si="3"/>
        <v>#DIV/0!</v>
      </c>
      <c r="P736" s="12"/>
    </row>
    <row r="737">
      <c r="C737" s="25"/>
      <c r="D737" s="31"/>
      <c r="E737" s="31"/>
      <c r="F737" s="31"/>
      <c r="G737" s="29"/>
      <c r="H737" s="12"/>
      <c r="I737" s="12"/>
      <c r="J737" s="12"/>
      <c r="K737" s="12"/>
      <c r="L737" s="18" t="str">
        <f t="shared" si="1"/>
        <v>#DIV/0!</v>
      </c>
      <c r="M737" s="18" t="str">
        <f t="shared" si="2"/>
        <v>#DIV/0!</v>
      </c>
      <c r="N737" s="12" t="str">
        <f t="shared" si="4"/>
        <v/>
      </c>
      <c r="O737" s="18" t="str">
        <f t="shared" si="3"/>
        <v>#DIV/0!</v>
      </c>
      <c r="P737" s="12"/>
    </row>
    <row r="738">
      <c r="C738" s="25"/>
      <c r="D738" s="31"/>
      <c r="E738" s="31"/>
      <c r="F738" s="31"/>
      <c r="G738" s="29"/>
      <c r="H738" s="12"/>
      <c r="I738" s="12"/>
      <c r="J738" s="12"/>
      <c r="K738" s="12"/>
      <c r="L738" s="18" t="str">
        <f t="shared" si="1"/>
        <v>#DIV/0!</v>
      </c>
      <c r="M738" s="18" t="str">
        <f t="shared" si="2"/>
        <v>#DIV/0!</v>
      </c>
      <c r="N738" s="12" t="str">
        <f t="shared" si="4"/>
        <v/>
      </c>
      <c r="O738" s="18" t="str">
        <f t="shared" si="3"/>
        <v>#DIV/0!</v>
      </c>
      <c r="P738" s="12"/>
    </row>
    <row r="739">
      <c r="C739" s="25"/>
      <c r="D739" s="31"/>
      <c r="E739" s="31"/>
      <c r="F739" s="31"/>
      <c r="G739" s="29"/>
      <c r="H739" s="12"/>
      <c r="I739" s="12"/>
      <c r="J739" s="12"/>
      <c r="K739" s="12"/>
      <c r="L739" s="18" t="str">
        <f t="shared" si="1"/>
        <v>#DIV/0!</v>
      </c>
      <c r="M739" s="18" t="str">
        <f t="shared" si="2"/>
        <v>#DIV/0!</v>
      </c>
      <c r="N739" s="12" t="str">
        <f t="shared" si="4"/>
        <v/>
      </c>
      <c r="O739" s="18" t="str">
        <f t="shared" si="3"/>
        <v>#DIV/0!</v>
      </c>
      <c r="P739" s="12"/>
    </row>
    <row r="740">
      <c r="C740" s="25"/>
      <c r="D740" s="31"/>
      <c r="E740" s="31"/>
      <c r="F740" s="31"/>
      <c r="G740" s="29"/>
      <c r="H740" s="12"/>
      <c r="I740" s="12"/>
      <c r="J740" s="12"/>
      <c r="K740" s="12"/>
      <c r="L740" s="18" t="str">
        <f t="shared" si="1"/>
        <v>#DIV/0!</v>
      </c>
      <c r="M740" s="18" t="str">
        <f t="shared" si="2"/>
        <v>#DIV/0!</v>
      </c>
      <c r="N740" s="12" t="str">
        <f t="shared" si="4"/>
        <v/>
      </c>
      <c r="O740" s="18" t="str">
        <f t="shared" si="3"/>
        <v>#DIV/0!</v>
      </c>
      <c r="P740" s="12"/>
    </row>
    <row r="741">
      <c r="C741" s="25"/>
      <c r="D741" s="31"/>
      <c r="E741" s="31"/>
      <c r="F741" s="31"/>
      <c r="G741" s="29"/>
      <c r="H741" s="12"/>
      <c r="I741" s="12"/>
      <c r="J741" s="12"/>
      <c r="K741" s="12"/>
      <c r="L741" s="18" t="str">
        <f t="shared" si="1"/>
        <v>#DIV/0!</v>
      </c>
      <c r="M741" s="18" t="str">
        <f t="shared" si="2"/>
        <v>#DIV/0!</v>
      </c>
      <c r="N741" s="12" t="str">
        <f t="shared" si="4"/>
        <v/>
      </c>
      <c r="O741" s="18" t="str">
        <f t="shared" si="3"/>
        <v>#DIV/0!</v>
      </c>
      <c r="P741" s="12"/>
    </row>
    <row r="742">
      <c r="C742" s="25"/>
      <c r="D742" s="31"/>
      <c r="E742" s="31"/>
      <c r="F742" s="31"/>
      <c r="G742" s="29"/>
      <c r="H742" s="12"/>
      <c r="I742" s="12"/>
      <c r="J742" s="12"/>
      <c r="K742" s="12"/>
      <c r="L742" s="18" t="str">
        <f t="shared" si="1"/>
        <v>#DIV/0!</v>
      </c>
      <c r="M742" s="18" t="str">
        <f t="shared" si="2"/>
        <v>#DIV/0!</v>
      </c>
      <c r="N742" s="12" t="str">
        <f t="shared" si="4"/>
        <v/>
      </c>
      <c r="O742" s="18" t="str">
        <f t="shared" si="3"/>
        <v>#DIV/0!</v>
      </c>
      <c r="P742" s="12"/>
    </row>
    <row r="743">
      <c r="C743" s="25"/>
      <c r="D743" s="31"/>
      <c r="E743" s="31"/>
      <c r="F743" s="31"/>
      <c r="G743" s="29"/>
      <c r="H743" s="12"/>
      <c r="I743" s="12"/>
      <c r="J743" s="12"/>
      <c r="K743" s="12"/>
      <c r="L743" s="18" t="str">
        <f t="shared" si="1"/>
        <v>#DIV/0!</v>
      </c>
      <c r="M743" s="18" t="str">
        <f t="shared" si="2"/>
        <v>#DIV/0!</v>
      </c>
      <c r="N743" s="12" t="str">
        <f t="shared" si="4"/>
        <v/>
      </c>
      <c r="O743" s="18" t="str">
        <f t="shared" si="3"/>
        <v>#DIV/0!</v>
      </c>
      <c r="P743" s="12"/>
    </row>
    <row r="744">
      <c r="C744" s="25"/>
      <c r="D744" s="31"/>
      <c r="E744" s="31"/>
      <c r="F744" s="31"/>
      <c r="G744" s="29"/>
      <c r="H744" s="12"/>
      <c r="I744" s="12"/>
      <c r="J744" s="12"/>
      <c r="K744" s="12"/>
      <c r="L744" s="18" t="str">
        <f t="shared" si="1"/>
        <v>#DIV/0!</v>
      </c>
      <c r="M744" s="18" t="str">
        <f t="shared" si="2"/>
        <v>#DIV/0!</v>
      </c>
      <c r="N744" s="12" t="str">
        <f t="shared" si="4"/>
        <v/>
      </c>
      <c r="O744" s="18" t="str">
        <f t="shared" si="3"/>
        <v>#DIV/0!</v>
      </c>
      <c r="P744" s="12"/>
    </row>
    <row r="745">
      <c r="C745" s="25"/>
      <c r="D745" s="31"/>
      <c r="E745" s="31"/>
      <c r="F745" s="31"/>
      <c r="G745" s="29"/>
      <c r="H745" s="12"/>
      <c r="I745" s="12"/>
      <c r="J745" s="12"/>
      <c r="K745" s="12"/>
      <c r="L745" s="18" t="str">
        <f t="shared" si="1"/>
        <v>#DIV/0!</v>
      </c>
      <c r="M745" s="18" t="str">
        <f t="shared" si="2"/>
        <v>#DIV/0!</v>
      </c>
      <c r="N745" s="12" t="str">
        <f t="shared" si="4"/>
        <v/>
      </c>
      <c r="O745" s="18" t="str">
        <f t="shared" si="3"/>
        <v>#DIV/0!</v>
      </c>
      <c r="P745" s="12"/>
    </row>
    <row r="746">
      <c r="C746" s="25"/>
      <c r="D746" s="31"/>
      <c r="E746" s="31"/>
      <c r="F746" s="31"/>
      <c r="G746" s="29"/>
      <c r="H746" s="12"/>
      <c r="I746" s="12"/>
      <c r="J746" s="12"/>
      <c r="K746" s="12"/>
      <c r="L746" s="18" t="str">
        <f t="shared" si="1"/>
        <v>#DIV/0!</v>
      </c>
      <c r="M746" s="18" t="str">
        <f t="shared" si="2"/>
        <v>#DIV/0!</v>
      </c>
      <c r="N746" s="12" t="str">
        <f t="shared" si="4"/>
        <v/>
      </c>
      <c r="O746" s="18" t="str">
        <f t="shared" si="3"/>
        <v>#DIV/0!</v>
      </c>
      <c r="P746" s="12"/>
    </row>
    <row r="747">
      <c r="C747" s="25"/>
      <c r="D747" s="31"/>
      <c r="E747" s="31"/>
      <c r="F747" s="31"/>
      <c r="G747" s="29"/>
      <c r="H747" s="12"/>
      <c r="I747" s="12"/>
      <c r="J747" s="12"/>
      <c r="K747" s="12"/>
      <c r="L747" s="18" t="str">
        <f t="shared" si="1"/>
        <v>#DIV/0!</v>
      </c>
      <c r="M747" s="18" t="str">
        <f t="shared" si="2"/>
        <v>#DIV/0!</v>
      </c>
      <c r="N747" s="12" t="str">
        <f t="shared" si="4"/>
        <v/>
      </c>
      <c r="O747" s="18" t="str">
        <f t="shared" si="3"/>
        <v>#DIV/0!</v>
      </c>
      <c r="P747" s="12"/>
    </row>
    <row r="748">
      <c r="C748" s="25"/>
      <c r="D748" s="31"/>
      <c r="E748" s="31"/>
      <c r="F748" s="31"/>
      <c r="G748" s="29"/>
      <c r="H748" s="12"/>
      <c r="I748" s="12"/>
      <c r="J748" s="12"/>
      <c r="K748" s="12"/>
      <c r="L748" s="18" t="str">
        <f t="shared" si="1"/>
        <v>#DIV/0!</v>
      </c>
      <c r="M748" s="18" t="str">
        <f t="shared" si="2"/>
        <v>#DIV/0!</v>
      </c>
      <c r="N748" s="12" t="str">
        <f t="shared" si="4"/>
        <v/>
      </c>
      <c r="O748" s="18" t="str">
        <f t="shared" si="3"/>
        <v>#DIV/0!</v>
      </c>
      <c r="P748" s="12"/>
    </row>
    <row r="749">
      <c r="C749" s="25"/>
      <c r="D749" s="31"/>
      <c r="E749" s="31"/>
      <c r="F749" s="31"/>
      <c r="G749" s="29"/>
      <c r="H749" s="12"/>
      <c r="I749" s="12"/>
      <c r="J749" s="12"/>
      <c r="K749" s="12"/>
      <c r="L749" s="18" t="str">
        <f t="shared" si="1"/>
        <v>#DIV/0!</v>
      </c>
      <c r="M749" s="18" t="str">
        <f t="shared" si="2"/>
        <v>#DIV/0!</v>
      </c>
      <c r="N749" s="12" t="str">
        <f t="shared" si="4"/>
        <v/>
      </c>
      <c r="O749" s="18" t="str">
        <f t="shared" si="3"/>
        <v>#DIV/0!</v>
      </c>
      <c r="P749" s="12"/>
    </row>
    <row r="750">
      <c r="C750" s="25"/>
      <c r="D750" s="31"/>
      <c r="E750" s="31"/>
      <c r="F750" s="31"/>
      <c r="G750" s="29"/>
      <c r="H750" s="12"/>
      <c r="I750" s="12"/>
      <c r="J750" s="12"/>
      <c r="K750" s="12"/>
      <c r="L750" s="18" t="str">
        <f t="shared" si="1"/>
        <v>#DIV/0!</v>
      </c>
      <c r="M750" s="18" t="str">
        <f t="shared" si="2"/>
        <v>#DIV/0!</v>
      </c>
      <c r="N750" s="12" t="str">
        <f t="shared" si="4"/>
        <v/>
      </c>
      <c r="O750" s="18" t="str">
        <f t="shared" si="3"/>
        <v>#DIV/0!</v>
      </c>
      <c r="P750" s="12"/>
    </row>
    <row r="751">
      <c r="C751" s="25"/>
      <c r="D751" s="31"/>
      <c r="E751" s="31"/>
      <c r="F751" s="31"/>
      <c r="G751" s="29"/>
      <c r="H751" s="12"/>
      <c r="I751" s="12"/>
      <c r="J751" s="12"/>
      <c r="K751" s="12"/>
      <c r="L751" s="18" t="str">
        <f t="shared" si="1"/>
        <v>#DIV/0!</v>
      </c>
      <c r="M751" s="18" t="str">
        <f t="shared" si="2"/>
        <v>#DIV/0!</v>
      </c>
      <c r="N751" s="12" t="str">
        <f t="shared" si="4"/>
        <v/>
      </c>
      <c r="O751" s="18" t="str">
        <f t="shared" si="3"/>
        <v>#DIV/0!</v>
      </c>
      <c r="P751" s="12"/>
    </row>
    <row r="752">
      <c r="C752" s="25"/>
      <c r="D752" s="31"/>
      <c r="E752" s="31"/>
      <c r="F752" s="31"/>
      <c r="G752" s="29"/>
      <c r="H752" s="12"/>
      <c r="I752" s="12"/>
      <c r="J752" s="12"/>
      <c r="K752" s="12"/>
      <c r="L752" s="18" t="str">
        <f t="shared" si="1"/>
        <v>#DIV/0!</v>
      </c>
      <c r="M752" s="18" t="str">
        <f t="shared" si="2"/>
        <v>#DIV/0!</v>
      </c>
      <c r="N752" s="12" t="str">
        <f t="shared" si="4"/>
        <v/>
      </c>
      <c r="O752" s="18" t="str">
        <f t="shared" si="3"/>
        <v>#DIV/0!</v>
      </c>
      <c r="P752" s="12"/>
    </row>
    <row r="753">
      <c r="C753" s="25"/>
      <c r="D753" s="31"/>
      <c r="E753" s="31"/>
      <c r="F753" s="31"/>
      <c r="G753" s="29"/>
      <c r="H753" s="12"/>
      <c r="I753" s="12"/>
      <c r="J753" s="12"/>
      <c r="K753" s="12"/>
      <c r="L753" s="18" t="str">
        <f t="shared" si="1"/>
        <v>#DIV/0!</v>
      </c>
      <c r="M753" s="18" t="str">
        <f t="shared" si="2"/>
        <v>#DIV/0!</v>
      </c>
      <c r="N753" s="12" t="str">
        <f t="shared" si="4"/>
        <v/>
      </c>
      <c r="O753" s="18" t="str">
        <f t="shared" si="3"/>
        <v>#DIV/0!</v>
      </c>
      <c r="P753" s="12"/>
    </row>
    <row r="754">
      <c r="C754" s="25"/>
      <c r="D754" s="31"/>
      <c r="E754" s="31"/>
      <c r="F754" s="31"/>
      <c r="G754" s="29"/>
      <c r="H754" s="12"/>
      <c r="I754" s="12"/>
      <c r="J754" s="12"/>
      <c r="K754" s="12"/>
      <c r="L754" s="18" t="str">
        <f t="shared" si="1"/>
        <v>#DIV/0!</v>
      </c>
      <c r="M754" s="18" t="str">
        <f t="shared" si="2"/>
        <v>#DIV/0!</v>
      </c>
      <c r="N754" s="12" t="str">
        <f t="shared" si="4"/>
        <v/>
      </c>
      <c r="O754" s="18" t="str">
        <f t="shared" si="3"/>
        <v>#DIV/0!</v>
      </c>
      <c r="P754" s="12"/>
    </row>
    <row r="755">
      <c r="C755" s="25"/>
      <c r="D755" s="31"/>
      <c r="E755" s="31"/>
      <c r="F755" s="31"/>
      <c r="G755" s="29"/>
      <c r="H755" s="12"/>
      <c r="I755" s="12"/>
      <c r="J755" s="12"/>
      <c r="K755" s="12"/>
      <c r="L755" s="18" t="str">
        <f t="shared" si="1"/>
        <v>#DIV/0!</v>
      </c>
      <c r="M755" s="18" t="str">
        <f t="shared" si="2"/>
        <v>#DIV/0!</v>
      </c>
      <c r="N755" s="12" t="str">
        <f t="shared" si="4"/>
        <v/>
      </c>
      <c r="O755" s="18" t="str">
        <f t="shared" si="3"/>
        <v>#DIV/0!</v>
      </c>
      <c r="P755" s="12"/>
    </row>
    <row r="756">
      <c r="C756" s="25"/>
      <c r="D756" s="31"/>
      <c r="E756" s="31"/>
      <c r="F756" s="31"/>
      <c r="G756" s="29"/>
      <c r="H756" s="12"/>
      <c r="I756" s="12"/>
      <c r="J756" s="12"/>
      <c r="K756" s="12"/>
      <c r="L756" s="18" t="str">
        <f t="shared" si="1"/>
        <v>#DIV/0!</v>
      </c>
      <c r="M756" s="18" t="str">
        <f t="shared" si="2"/>
        <v>#DIV/0!</v>
      </c>
      <c r="N756" s="12" t="str">
        <f t="shared" si="4"/>
        <v/>
      </c>
      <c r="O756" s="18" t="str">
        <f t="shared" si="3"/>
        <v>#DIV/0!</v>
      </c>
      <c r="P756" s="12"/>
    </row>
    <row r="757">
      <c r="C757" s="25"/>
      <c r="D757" s="31"/>
      <c r="E757" s="31"/>
      <c r="F757" s="31"/>
      <c r="G757" s="29"/>
      <c r="H757" s="12"/>
      <c r="I757" s="12"/>
      <c r="J757" s="12"/>
      <c r="K757" s="12"/>
      <c r="L757" s="18" t="str">
        <f t="shared" si="1"/>
        <v>#DIV/0!</v>
      </c>
      <c r="M757" s="18" t="str">
        <f t="shared" si="2"/>
        <v>#DIV/0!</v>
      </c>
      <c r="N757" s="12" t="str">
        <f t="shared" si="4"/>
        <v/>
      </c>
      <c r="O757" s="18" t="str">
        <f t="shared" si="3"/>
        <v>#DIV/0!</v>
      </c>
      <c r="P757" s="12"/>
    </row>
    <row r="758">
      <c r="C758" s="25"/>
      <c r="D758" s="31"/>
      <c r="E758" s="31"/>
      <c r="F758" s="31"/>
      <c r="G758" s="29"/>
      <c r="H758" s="12"/>
      <c r="I758" s="12"/>
      <c r="J758" s="12"/>
      <c r="K758" s="12"/>
      <c r="L758" s="18" t="str">
        <f t="shared" si="1"/>
        <v>#DIV/0!</v>
      </c>
      <c r="M758" s="18" t="str">
        <f t="shared" si="2"/>
        <v>#DIV/0!</v>
      </c>
      <c r="N758" s="12" t="str">
        <f t="shared" si="4"/>
        <v/>
      </c>
      <c r="O758" s="18" t="str">
        <f t="shared" si="3"/>
        <v>#DIV/0!</v>
      </c>
      <c r="P758" s="12"/>
    </row>
    <row r="759">
      <c r="C759" s="25"/>
      <c r="D759" s="31"/>
      <c r="E759" s="31"/>
      <c r="F759" s="31"/>
      <c r="G759" s="29"/>
      <c r="H759" s="12"/>
      <c r="I759" s="12"/>
      <c r="J759" s="12"/>
      <c r="K759" s="12"/>
      <c r="L759" s="18" t="str">
        <f t="shared" si="1"/>
        <v>#DIV/0!</v>
      </c>
      <c r="M759" s="18" t="str">
        <f t="shared" si="2"/>
        <v>#DIV/0!</v>
      </c>
      <c r="N759" s="12" t="str">
        <f t="shared" si="4"/>
        <v/>
      </c>
      <c r="O759" s="18" t="str">
        <f t="shared" si="3"/>
        <v>#DIV/0!</v>
      </c>
      <c r="P759" s="12"/>
    </row>
    <row r="760">
      <c r="C760" s="25"/>
      <c r="D760" s="31"/>
      <c r="E760" s="31"/>
      <c r="F760" s="31"/>
      <c r="G760" s="29"/>
      <c r="H760" s="12"/>
      <c r="I760" s="12"/>
      <c r="J760" s="12"/>
      <c r="K760" s="12"/>
      <c r="L760" s="18" t="str">
        <f t="shared" si="1"/>
        <v>#DIV/0!</v>
      </c>
      <c r="M760" s="18" t="str">
        <f t="shared" si="2"/>
        <v>#DIV/0!</v>
      </c>
      <c r="N760" s="12" t="str">
        <f t="shared" si="4"/>
        <v/>
      </c>
      <c r="O760" s="18" t="str">
        <f t="shared" si="3"/>
        <v>#DIV/0!</v>
      </c>
      <c r="P760" s="12"/>
    </row>
    <row r="761">
      <c r="C761" s="25"/>
      <c r="D761" s="31"/>
      <c r="E761" s="31"/>
      <c r="F761" s="31"/>
      <c r="G761" s="29"/>
      <c r="H761" s="12"/>
      <c r="I761" s="12"/>
      <c r="J761" s="12"/>
      <c r="K761" s="12"/>
      <c r="L761" s="18" t="str">
        <f t="shared" si="1"/>
        <v>#DIV/0!</v>
      </c>
      <c r="M761" s="18" t="str">
        <f t="shared" si="2"/>
        <v>#DIV/0!</v>
      </c>
      <c r="N761" s="12" t="str">
        <f t="shared" si="4"/>
        <v/>
      </c>
      <c r="O761" s="18" t="str">
        <f t="shared" si="3"/>
        <v>#DIV/0!</v>
      </c>
      <c r="P761" s="12"/>
    </row>
    <row r="762">
      <c r="C762" s="25"/>
      <c r="D762" s="31"/>
      <c r="E762" s="31"/>
      <c r="F762" s="31"/>
      <c r="G762" s="29"/>
      <c r="H762" s="12"/>
      <c r="I762" s="12"/>
      <c r="J762" s="12"/>
      <c r="K762" s="12"/>
      <c r="L762" s="18" t="str">
        <f t="shared" si="1"/>
        <v>#DIV/0!</v>
      </c>
      <c r="M762" s="18" t="str">
        <f t="shared" si="2"/>
        <v>#DIV/0!</v>
      </c>
      <c r="N762" s="12" t="str">
        <f t="shared" si="4"/>
        <v/>
      </c>
      <c r="O762" s="18" t="str">
        <f t="shared" si="3"/>
        <v>#DIV/0!</v>
      </c>
      <c r="P762" s="12"/>
    </row>
    <row r="763">
      <c r="C763" s="25"/>
      <c r="D763" s="31"/>
      <c r="E763" s="31"/>
      <c r="F763" s="31"/>
      <c r="G763" s="29"/>
      <c r="H763" s="12"/>
      <c r="I763" s="12"/>
      <c r="J763" s="12"/>
      <c r="K763" s="12"/>
      <c r="L763" s="18" t="str">
        <f t="shared" si="1"/>
        <v>#DIV/0!</v>
      </c>
      <c r="M763" s="18" t="str">
        <f t="shared" si="2"/>
        <v>#DIV/0!</v>
      </c>
      <c r="N763" s="12" t="str">
        <f t="shared" si="4"/>
        <v/>
      </c>
      <c r="O763" s="18" t="str">
        <f t="shared" si="3"/>
        <v>#DIV/0!</v>
      </c>
      <c r="P763" s="12"/>
    </row>
    <row r="764">
      <c r="C764" s="25"/>
      <c r="D764" s="31"/>
      <c r="E764" s="31"/>
      <c r="F764" s="31"/>
      <c r="G764" s="29"/>
      <c r="H764" s="12"/>
      <c r="I764" s="12"/>
      <c r="J764" s="12"/>
      <c r="K764" s="12"/>
      <c r="L764" s="18" t="str">
        <f t="shared" si="1"/>
        <v>#DIV/0!</v>
      </c>
      <c r="M764" s="18" t="str">
        <f t="shared" si="2"/>
        <v>#DIV/0!</v>
      </c>
      <c r="N764" s="12" t="str">
        <f t="shared" si="4"/>
        <v/>
      </c>
      <c r="O764" s="18" t="str">
        <f t="shared" si="3"/>
        <v>#DIV/0!</v>
      </c>
      <c r="P764" s="12"/>
    </row>
    <row r="765">
      <c r="C765" s="25"/>
      <c r="D765" s="31"/>
      <c r="E765" s="31"/>
      <c r="F765" s="31"/>
      <c r="G765" s="29"/>
      <c r="H765" s="12"/>
      <c r="I765" s="12"/>
      <c r="J765" s="12"/>
      <c r="K765" s="12"/>
      <c r="L765" s="18" t="str">
        <f t="shared" si="1"/>
        <v>#DIV/0!</v>
      </c>
      <c r="M765" s="18" t="str">
        <f t="shared" si="2"/>
        <v>#DIV/0!</v>
      </c>
      <c r="N765" s="12" t="str">
        <f t="shared" si="4"/>
        <v/>
      </c>
      <c r="O765" s="18" t="str">
        <f t="shared" si="3"/>
        <v>#DIV/0!</v>
      </c>
      <c r="P765" s="12"/>
    </row>
    <row r="766">
      <c r="C766" s="25"/>
      <c r="D766" s="31"/>
      <c r="E766" s="31"/>
      <c r="F766" s="31"/>
      <c r="G766" s="29"/>
      <c r="H766" s="12"/>
      <c r="I766" s="12"/>
      <c r="J766" s="12"/>
      <c r="K766" s="12"/>
      <c r="L766" s="18" t="str">
        <f t="shared" si="1"/>
        <v>#DIV/0!</v>
      </c>
      <c r="M766" s="18" t="str">
        <f t="shared" si="2"/>
        <v>#DIV/0!</v>
      </c>
      <c r="N766" s="12" t="str">
        <f t="shared" si="4"/>
        <v/>
      </c>
      <c r="O766" s="18" t="str">
        <f t="shared" si="3"/>
        <v>#DIV/0!</v>
      </c>
      <c r="P766" s="12"/>
    </row>
    <row r="767">
      <c r="C767" s="25"/>
      <c r="D767" s="31"/>
      <c r="E767" s="31"/>
      <c r="F767" s="31"/>
      <c r="G767" s="29"/>
      <c r="H767" s="12"/>
      <c r="I767" s="12"/>
      <c r="J767" s="12"/>
      <c r="K767" s="12"/>
      <c r="L767" s="18" t="str">
        <f t="shared" si="1"/>
        <v>#DIV/0!</v>
      </c>
      <c r="M767" s="18" t="str">
        <f t="shared" si="2"/>
        <v>#DIV/0!</v>
      </c>
      <c r="N767" s="12" t="str">
        <f t="shared" si="4"/>
        <v/>
      </c>
      <c r="O767" s="18" t="str">
        <f t="shared" si="3"/>
        <v>#DIV/0!</v>
      </c>
      <c r="P767" s="12"/>
    </row>
    <row r="768">
      <c r="C768" s="25"/>
      <c r="D768" s="31"/>
      <c r="E768" s="31"/>
      <c r="F768" s="31"/>
      <c r="G768" s="29"/>
      <c r="H768" s="12"/>
      <c r="I768" s="12"/>
      <c r="J768" s="12"/>
      <c r="K768" s="12"/>
      <c r="L768" s="18" t="str">
        <f t="shared" si="1"/>
        <v>#DIV/0!</v>
      </c>
      <c r="M768" s="18" t="str">
        <f t="shared" si="2"/>
        <v>#DIV/0!</v>
      </c>
      <c r="N768" s="12" t="str">
        <f t="shared" si="4"/>
        <v/>
      </c>
      <c r="O768" s="18" t="str">
        <f t="shared" si="3"/>
        <v>#DIV/0!</v>
      </c>
      <c r="P768" s="12"/>
    </row>
    <row r="769">
      <c r="C769" s="25"/>
      <c r="D769" s="31"/>
      <c r="E769" s="31"/>
      <c r="F769" s="31"/>
      <c r="G769" s="29"/>
      <c r="H769" s="12"/>
      <c r="I769" s="12"/>
      <c r="J769" s="12"/>
      <c r="K769" s="12"/>
      <c r="L769" s="18" t="str">
        <f t="shared" si="1"/>
        <v>#DIV/0!</v>
      </c>
      <c r="M769" s="18" t="str">
        <f t="shared" si="2"/>
        <v>#DIV/0!</v>
      </c>
      <c r="N769" s="12" t="str">
        <f t="shared" si="4"/>
        <v/>
      </c>
      <c r="O769" s="18" t="str">
        <f t="shared" si="3"/>
        <v>#DIV/0!</v>
      </c>
      <c r="P769" s="12"/>
    </row>
    <row r="770">
      <c r="C770" s="25"/>
      <c r="D770" s="31"/>
      <c r="E770" s="31"/>
      <c r="F770" s="31"/>
      <c r="G770" s="29"/>
      <c r="H770" s="12"/>
      <c r="I770" s="12"/>
      <c r="J770" s="12"/>
      <c r="K770" s="12"/>
      <c r="L770" s="18" t="str">
        <f t="shared" si="1"/>
        <v>#DIV/0!</v>
      </c>
      <c r="M770" s="18" t="str">
        <f t="shared" si="2"/>
        <v>#DIV/0!</v>
      </c>
      <c r="N770" s="12" t="str">
        <f t="shared" si="4"/>
        <v/>
      </c>
      <c r="O770" s="18" t="str">
        <f t="shared" si="3"/>
        <v>#DIV/0!</v>
      </c>
      <c r="P770" s="12"/>
    </row>
    <row r="771">
      <c r="C771" s="25"/>
      <c r="D771" s="31"/>
      <c r="E771" s="31"/>
      <c r="F771" s="31"/>
      <c r="G771" s="29"/>
      <c r="H771" s="12"/>
      <c r="I771" s="12"/>
      <c r="J771" s="12"/>
      <c r="K771" s="12"/>
      <c r="L771" s="18" t="str">
        <f t="shared" si="1"/>
        <v>#DIV/0!</v>
      </c>
      <c r="M771" s="18" t="str">
        <f t="shared" si="2"/>
        <v>#DIV/0!</v>
      </c>
      <c r="N771" s="12" t="str">
        <f t="shared" si="4"/>
        <v/>
      </c>
      <c r="O771" s="18" t="str">
        <f t="shared" si="3"/>
        <v>#DIV/0!</v>
      </c>
      <c r="P771" s="12"/>
    </row>
    <row r="772">
      <c r="C772" s="25"/>
      <c r="D772" s="31"/>
      <c r="E772" s="31"/>
      <c r="F772" s="31"/>
      <c r="G772" s="29"/>
      <c r="H772" s="12"/>
      <c r="I772" s="12"/>
      <c r="J772" s="12"/>
      <c r="K772" s="12"/>
      <c r="L772" s="18" t="str">
        <f t="shared" si="1"/>
        <v>#DIV/0!</v>
      </c>
      <c r="M772" s="18" t="str">
        <f t="shared" si="2"/>
        <v>#DIV/0!</v>
      </c>
      <c r="N772" s="12" t="str">
        <f t="shared" si="4"/>
        <v/>
      </c>
      <c r="O772" s="18" t="str">
        <f t="shared" si="3"/>
        <v>#DIV/0!</v>
      </c>
      <c r="P772" s="12"/>
    </row>
    <row r="773">
      <c r="C773" s="25"/>
      <c r="D773" s="31"/>
      <c r="E773" s="31"/>
      <c r="F773" s="31"/>
      <c r="G773" s="29"/>
      <c r="H773" s="12"/>
      <c r="I773" s="12"/>
      <c r="J773" s="12"/>
      <c r="K773" s="12"/>
      <c r="L773" s="18" t="str">
        <f t="shared" si="1"/>
        <v>#DIV/0!</v>
      </c>
      <c r="M773" s="18" t="str">
        <f t="shared" si="2"/>
        <v>#DIV/0!</v>
      </c>
      <c r="N773" s="12" t="str">
        <f t="shared" si="4"/>
        <v/>
      </c>
      <c r="O773" s="18" t="str">
        <f t="shared" si="3"/>
        <v>#DIV/0!</v>
      </c>
      <c r="P773" s="12"/>
    </row>
    <row r="774">
      <c r="C774" s="25"/>
      <c r="D774" s="31"/>
      <c r="E774" s="31"/>
      <c r="F774" s="31"/>
      <c r="G774" s="29"/>
      <c r="H774" s="12"/>
      <c r="I774" s="12"/>
      <c r="J774" s="12"/>
      <c r="K774" s="12"/>
      <c r="L774" s="18" t="str">
        <f t="shared" si="1"/>
        <v>#DIV/0!</v>
      </c>
      <c r="M774" s="18" t="str">
        <f t="shared" si="2"/>
        <v>#DIV/0!</v>
      </c>
      <c r="N774" s="12" t="str">
        <f t="shared" si="4"/>
        <v/>
      </c>
      <c r="O774" s="18" t="str">
        <f t="shared" si="3"/>
        <v>#DIV/0!</v>
      </c>
      <c r="P774" s="12"/>
    </row>
    <row r="775">
      <c r="C775" s="25"/>
      <c r="D775" s="31"/>
      <c r="E775" s="31"/>
      <c r="F775" s="31"/>
      <c r="G775" s="29"/>
      <c r="H775" s="12"/>
      <c r="I775" s="12"/>
      <c r="J775" s="12"/>
      <c r="K775" s="12"/>
      <c r="L775" s="18" t="str">
        <f t="shared" si="1"/>
        <v>#DIV/0!</v>
      </c>
      <c r="M775" s="18" t="str">
        <f t="shared" si="2"/>
        <v>#DIV/0!</v>
      </c>
      <c r="N775" s="12" t="str">
        <f t="shared" si="4"/>
        <v/>
      </c>
      <c r="O775" s="18" t="str">
        <f t="shared" si="3"/>
        <v>#DIV/0!</v>
      </c>
      <c r="P775" s="12"/>
    </row>
    <row r="776">
      <c r="C776" s="25"/>
      <c r="D776" s="31"/>
      <c r="E776" s="31"/>
      <c r="F776" s="31"/>
      <c r="G776" s="29"/>
      <c r="H776" s="12"/>
      <c r="I776" s="12"/>
      <c r="J776" s="12"/>
      <c r="K776" s="12"/>
      <c r="L776" s="18" t="str">
        <f t="shared" si="1"/>
        <v>#DIV/0!</v>
      </c>
      <c r="M776" s="18" t="str">
        <f t="shared" si="2"/>
        <v>#DIV/0!</v>
      </c>
      <c r="N776" s="12" t="str">
        <f t="shared" si="4"/>
        <v/>
      </c>
      <c r="O776" s="18" t="str">
        <f t="shared" si="3"/>
        <v>#DIV/0!</v>
      </c>
      <c r="P776" s="12"/>
    </row>
    <row r="777">
      <c r="C777" s="25"/>
      <c r="D777" s="31"/>
      <c r="E777" s="31"/>
      <c r="F777" s="31"/>
      <c r="G777" s="29"/>
      <c r="H777" s="12"/>
      <c r="I777" s="12"/>
      <c r="J777" s="12"/>
      <c r="K777" s="12"/>
      <c r="L777" s="18" t="str">
        <f t="shared" si="1"/>
        <v>#DIV/0!</v>
      </c>
      <c r="M777" s="18" t="str">
        <f t="shared" si="2"/>
        <v>#DIV/0!</v>
      </c>
      <c r="N777" s="12" t="str">
        <f t="shared" si="4"/>
        <v/>
      </c>
      <c r="O777" s="18" t="str">
        <f t="shared" si="3"/>
        <v>#DIV/0!</v>
      </c>
      <c r="P777" s="12"/>
    </row>
    <row r="778">
      <c r="C778" s="25"/>
      <c r="D778" s="31"/>
      <c r="E778" s="31"/>
      <c r="F778" s="31"/>
      <c r="G778" s="29"/>
      <c r="H778" s="12"/>
      <c r="I778" s="12"/>
      <c r="J778" s="12"/>
      <c r="K778" s="12"/>
      <c r="L778" s="18" t="str">
        <f t="shared" si="1"/>
        <v>#DIV/0!</v>
      </c>
      <c r="M778" s="18" t="str">
        <f t="shared" si="2"/>
        <v>#DIV/0!</v>
      </c>
      <c r="N778" s="12" t="str">
        <f t="shared" si="4"/>
        <v/>
      </c>
      <c r="O778" s="18" t="str">
        <f t="shared" si="3"/>
        <v>#DIV/0!</v>
      </c>
      <c r="P778" s="12"/>
    </row>
    <row r="779">
      <c r="C779" s="25"/>
      <c r="D779" s="31"/>
      <c r="E779" s="31"/>
      <c r="F779" s="31"/>
      <c r="G779" s="29"/>
      <c r="H779" s="12"/>
      <c r="I779" s="12"/>
      <c r="J779" s="12"/>
      <c r="K779" s="12"/>
      <c r="L779" s="18" t="str">
        <f t="shared" si="1"/>
        <v>#DIV/0!</v>
      </c>
      <c r="M779" s="18" t="str">
        <f t="shared" si="2"/>
        <v>#DIV/0!</v>
      </c>
      <c r="N779" s="12" t="str">
        <f t="shared" si="4"/>
        <v/>
      </c>
      <c r="O779" s="18" t="str">
        <f t="shared" si="3"/>
        <v>#DIV/0!</v>
      </c>
      <c r="P779" s="12"/>
    </row>
    <row r="780">
      <c r="C780" s="25"/>
      <c r="D780" s="31"/>
      <c r="E780" s="31"/>
      <c r="F780" s="31"/>
      <c r="G780" s="29"/>
      <c r="H780" s="12"/>
      <c r="I780" s="12"/>
      <c r="J780" s="12"/>
      <c r="K780" s="12"/>
      <c r="L780" s="18" t="str">
        <f t="shared" si="1"/>
        <v>#DIV/0!</v>
      </c>
      <c r="M780" s="18" t="str">
        <f t="shared" si="2"/>
        <v>#DIV/0!</v>
      </c>
      <c r="N780" s="12" t="str">
        <f t="shared" si="4"/>
        <v/>
      </c>
      <c r="O780" s="18" t="str">
        <f t="shared" si="3"/>
        <v>#DIV/0!</v>
      </c>
      <c r="P780" s="12"/>
    </row>
    <row r="781">
      <c r="C781" s="25"/>
      <c r="D781" s="31"/>
      <c r="E781" s="31"/>
      <c r="F781" s="31"/>
      <c r="G781" s="29"/>
      <c r="H781" s="12"/>
      <c r="I781" s="12"/>
      <c r="J781" s="12"/>
      <c r="K781" s="12"/>
      <c r="L781" s="18" t="str">
        <f t="shared" si="1"/>
        <v>#DIV/0!</v>
      </c>
      <c r="M781" s="18" t="str">
        <f t="shared" si="2"/>
        <v>#DIV/0!</v>
      </c>
      <c r="N781" s="12" t="str">
        <f t="shared" si="4"/>
        <v/>
      </c>
      <c r="O781" s="18" t="str">
        <f t="shared" si="3"/>
        <v>#DIV/0!</v>
      </c>
      <c r="P781" s="12"/>
    </row>
    <row r="782">
      <c r="C782" s="25"/>
      <c r="D782" s="31"/>
      <c r="E782" s="31"/>
      <c r="F782" s="31"/>
      <c r="G782" s="29"/>
      <c r="H782" s="12"/>
      <c r="I782" s="12"/>
      <c r="J782" s="12"/>
      <c r="K782" s="12"/>
      <c r="L782" s="18" t="str">
        <f t="shared" si="1"/>
        <v>#DIV/0!</v>
      </c>
      <c r="M782" s="18" t="str">
        <f t="shared" si="2"/>
        <v>#DIV/0!</v>
      </c>
      <c r="N782" s="12" t="str">
        <f t="shared" si="4"/>
        <v/>
      </c>
      <c r="O782" s="18" t="str">
        <f t="shared" si="3"/>
        <v>#DIV/0!</v>
      </c>
      <c r="P782" s="12"/>
    </row>
    <row r="783">
      <c r="C783" s="25"/>
      <c r="D783" s="31"/>
      <c r="E783" s="31"/>
      <c r="F783" s="31"/>
      <c r="G783" s="29"/>
      <c r="H783" s="12"/>
      <c r="I783" s="12"/>
      <c r="J783" s="12"/>
      <c r="K783" s="12"/>
      <c r="L783" s="18" t="str">
        <f t="shared" si="1"/>
        <v>#DIV/0!</v>
      </c>
      <c r="M783" s="18" t="str">
        <f t="shared" si="2"/>
        <v>#DIV/0!</v>
      </c>
      <c r="N783" s="12" t="str">
        <f t="shared" si="4"/>
        <v/>
      </c>
      <c r="O783" s="18" t="str">
        <f t="shared" si="3"/>
        <v>#DIV/0!</v>
      </c>
      <c r="P783" s="12"/>
    </row>
    <row r="784">
      <c r="C784" s="25"/>
      <c r="D784" s="31"/>
      <c r="E784" s="31"/>
      <c r="F784" s="31"/>
      <c r="G784" s="29"/>
      <c r="H784" s="12"/>
      <c r="I784" s="12"/>
      <c r="J784" s="12"/>
      <c r="K784" s="12"/>
      <c r="L784" s="18" t="str">
        <f t="shared" si="1"/>
        <v>#DIV/0!</v>
      </c>
      <c r="M784" s="18" t="str">
        <f t="shared" si="2"/>
        <v>#DIV/0!</v>
      </c>
      <c r="N784" s="12" t="str">
        <f t="shared" si="4"/>
        <v/>
      </c>
      <c r="O784" s="18" t="str">
        <f t="shared" si="3"/>
        <v>#DIV/0!</v>
      </c>
      <c r="P784" s="12"/>
    </row>
    <row r="785">
      <c r="C785" s="25"/>
      <c r="D785" s="31"/>
      <c r="E785" s="31"/>
      <c r="F785" s="31"/>
      <c r="G785" s="29"/>
      <c r="H785" s="12"/>
      <c r="I785" s="12"/>
      <c r="J785" s="12"/>
      <c r="K785" s="12"/>
      <c r="L785" s="18" t="str">
        <f t="shared" si="1"/>
        <v>#DIV/0!</v>
      </c>
      <c r="M785" s="18" t="str">
        <f t="shared" si="2"/>
        <v>#DIV/0!</v>
      </c>
      <c r="N785" s="12" t="str">
        <f t="shared" si="4"/>
        <v/>
      </c>
      <c r="O785" s="18" t="str">
        <f t="shared" si="3"/>
        <v>#DIV/0!</v>
      </c>
      <c r="P785" s="12"/>
    </row>
    <row r="786">
      <c r="C786" s="25"/>
      <c r="D786" s="31"/>
      <c r="E786" s="31"/>
      <c r="F786" s="31"/>
      <c r="G786" s="29"/>
      <c r="H786" s="12"/>
      <c r="I786" s="12"/>
      <c r="J786" s="12"/>
      <c r="K786" s="12"/>
      <c r="L786" s="18" t="str">
        <f t="shared" si="1"/>
        <v>#DIV/0!</v>
      </c>
      <c r="M786" s="18" t="str">
        <f t="shared" si="2"/>
        <v>#DIV/0!</v>
      </c>
      <c r="N786" s="12" t="str">
        <f t="shared" si="4"/>
        <v/>
      </c>
      <c r="O786" s="18" t="str">
        <f t="shared" si="3"/>
        <v>#DIV/0!</v>
      </c>
      <c r="P786" s="12"/>
    </row>
    <row r="787">
      <c r="C787" s="25"/>
      <c r="D787" s="31"/>
      <c r="E787" s="31"/>
      <c r="F787" s="31"/>
      <c r="G787" s="29"/>
      <c r="H787" s="12"/>
      <c r="I787" s="12"/>
      <c r="J787" s="12"/>
      <c r="K787" s="12"/>
      <c r="L787" s="18" t="str">
        <f t="shared" si="1"/>
        <v>#DIV/0!</v>
      </c>
      <c r="M787" s="18" t="str">
        <f t="shared" si="2"/>
        <v>#DIV/0!</v>
      </c>
      <c r="N787" s="12" t="str">
        <f t="shared" si="4"/>
        <v/>
      </c>
      <c r="O787" s="18" t="str">
        <f t="shared" si="3"/>
        <v>#DIV/0!</v>
      </c>
      <c r="P787" s="12"/>
    </row>
    <row r="788">
      <c r="C788" s="25"/>
      <c r="D788" s="31"/>
      <c r="E788" s="31"/>
      <c r="F788" s="31"/>
      <c r="G788" s="29"/>
      <c r="H788" s="12"/>
      <c r="I788" s="12"/>
      <c r="J788" s="12"/>
      <c r="K788" s="12"/>
      <c r="L788" s="18" t="str">
        <f t="shared" si="1"/>
        <v>#DIV/0!</v>
      </c>
      <c r="M788" s="18" t="str">
        <f t="shared" si="2"/>
        <v>#DIV/0!</v>
      </c>
      <c r="N788" s="12" t="str">
        <f t="shared" si="4"/>
        <v/>
      </c>
      <c r="O788" s="18" t="str">
        <f t="shared" si="3"/>
        <v>#DIV/0!</v>
      </c>
      <c r="P788" s="12"/>
    </row>
    <row r="789">
      <c r="C789" s="25"/>
      <c r="D789" s="31"/>
      <c r="E789" s="31"/>
      <c r="F789" s="31"/>
      <c r="G789" s="29"/>
      <c r="H789" s="12"/>
      <c r="I789" s="12"/>
      <c r="J789" s="12"/>
      <c r="K789" s="12"/>
      <c r="L789" s="18" t="str">
        <f t="shared" si="1"/>
        <v>#DIV/0!</v>
      </c>
      <c r="M789" s="18" t="str">
        <f t="shared" si="2"/>
        <v>#DIV/0!</v>
      </c>
      <c r="N789" s="12" t="str">
        <f t="shared" si="4"/>
        <v/>
      </c>
      <c r="O789" s="18" t="str">
        <f t="shared" si="3"/>
        <v>#DIV/0!</v>
      </c>
      <c r="P789" s="12"/>
    </row>
    <row r="790">
      <c r="C790" s="25"/>
      <c r="D790" s="31"/>
      <c r="E790" s="31"/>
      <c r="F790" s="31"/>
      <c r="G790" s="29"/>
      <c r="H790" s="12"/>
      <c r="I790" s="12"/>
      <c r="J790" s="12"/>
      <c r="K790" s="12"/>
      <c r="L790" s="18" t="str">
        <f t="shared" si="1"/>
        <v>#DIV/0!</v>
      </c>
      <c r="M790" s="18" t="str">
        <f t="shared" si="2"/>
        <v>#DIV/0!</v>
      </c>
      <c r="N790" s="12" t="str">
        <f t="shared" si="4"/>
        <v/>
      </c>
      <c r="O790" s="18" t="str">
        <f t="shared" si="3"/>
        <v>#DIV/0!</v>
      </c>
      <c r="P790" s="12"/>
    </row>
    <row r="791">
      <c r="C791" s="25"/>
      <c r="D791" s="31"/>
      <c r="E791" s="31"/>
      <c r="F791" s="31"/>
      <c r="G791" s="29"/>
      <c r="H791" s="12"/>
      <c r="I791" s="12"/>
      <c r="J791" s="12"/>
      <c r="K791" s="12"/>
      <c r="L791" s="18" t="str">
        <f t="shared" si="1"/>
        <v>#DIV/0!</v>
      </c>
      <c r="M791" s="18" t="str">
        <f t="shared" si="2"/>
        <v>#DIV/0!</v>
      </c>
      <c r="N791" s="12" t="str">
        <f t="shared" si="4"/>
        <v/>
      </c>
      <c r="O791" s="18" t="str">
        <f t="shared" si="3"/>
        <v>#DIV/0!</v>
      </c>
      <c r="P791" s="12"/>
    </row>
    <row r="792">
      <c r="C792" s="25"/>
      <c r="D792" s="31"/>
      <c r="E792" s="31"/>
      <c r="F792" s="31"/>
      <c r="G792" s="29"/>
      <c r="H792" s="12"/>
      <c r="I792" s="12"/>
      <c r="J792" s="12"/>
      <c r="K792" s="12"/>
      <c r="L792" s="18" t="str">
        <f t="shared" si="1"/>
        <v>#DIV/0!</v>
      </c>
      <c r="M792" s="18" t="str">
        <f t="shared" si="2"/>
        <v>#DIV/0!</v>
      </c>
      <c r="N792" s="12" t="str">
        <f t="shared" si="4"/>
        <v/>
      </c>
      <c r="O792" s="18" t="str">
        <f t="shared" si="3"/>
        <v>#DIV/0!</v>
      </c>
      <c r="P792" s="12"/>
    </row>
    <row r="793">
      <c r="C793" s="25"/>
      <c r="D793" s="31"/>
      <c r="E793" s="31"/>
      <c r="F793" s="31"/>
      <c r="G793" s="29"/>
      <c r="H793" s="12"/>
      <c r="I793" s="12"/>
      <c r="J793" s="12"/>
      <c r="K793" s="12"/>
      <c r="L793" s="18" t="str">
        <f t="shared" si="1"/>
        <v>#DIV/0!</v>
      </c>
      <c r="M793" s="18" t="str">
        <f t="shared" si="2"/>
        <v>#DIV/0!</v>
      </c>
      <c r="N793" s="12" t="str">
        <f t="shared" si="4"/>
        <v/>
      </c>
      <c r="O793" s="18" t="str">
        <f t="shared" si="3"/>
        <v>#DIV/0!</v>
      </c>
      <c r="P793" s="12"/>
    </row>
    <row r="794">
      <c r="C794" s="25"/>
      <c r="D794" s="31"/>
      <c r="E794" s="31"/>
      <c r="F794" s="31"/>
      <c r="G794" s="29"/>
      <c r="H794" s="12"/>
      <c r="I794" s="12"/>
      <c r="J794" s="12"/>
      <c r="K794" s="12"/>
      <c r="L794" s="18" t="str">
        <f t="shared" si="1"/>
        <v>#DIV/0!</v>
      </c>
      <c r="M794" s="18" t="str">
        <f t="shared" si="2"/>
        <v>#DIV/0!</v>
      </c>
      <c r="N794" s="12" t="str">
        <f t="shared" si="4"/>
        <v/>
      </c>
      <c r="O794" s="18" t="str">
        <f t="shared" si="3"/>
        <v>#DIV/0!</v>
      </c>
      <c r="P794" s="12"/>
    </row>
    <row r="795">
      <c r="C795" s="25"/>
      <c r="D795" s="31"/>
      <c r="E795" s="31"/>
      <c r="F795" s="31"/>
      <c r="G795" s="29"/>
      <c r="H795" s="12"/>
      <c r="I795" s="12"/>
      <c r="J795" s="12"/>
      <c r="K795" s="12"/>
      <c r="L795" s="18" t="str">
        <f t="shared" si="1"/>
        <v>#DIV/0!</v>
      </c>
      <c r="M795" s="18" t="str">
        <f t="shared" si="2"/>
        <v>#DIV/0!</v>
      </c>
      <c r="N795" s="12" t="str">
        <f t="shared" si="4"/>
        <v/>
      </c>
      <c r="O795" s="18" t="str">
        <f t="shared" si="3"/>
        <v>#DIV/0!</v>
      </c>
      <c r="P795" s="12"/>
    </row>
    <row r="796">
      <c r="C796" s="25"/>
      <c r="D796" s="31"/>
      <c r="E796" s="31"/>
      <c r="F796" s="31"/>
      <c r="G796" s="29"/>
      <c r="H796" s="12"/>
      <c r="I796" s="12"/>
      <c r="J796" s="12"/>
      <c r="K796" s="12"/>
      <c r="L796" s="18" t="str">
        <f t="shared" si="1"/>
        <v>#DIV/0!</v>
      </c>
      <c r="M796" s="18" t="str">
        <f t="shared" si="2"/>
        <v>#DIV/0!</v>
      </c>
      <c r="N796" s="12" t="str">
        <f t="shared" si="4"/>
        <v/>
      </c>
      <c r="O796" s="18" t="str">
        <f t="shared" si="3"/>
        <v>#DIV/0!</v>
      </c>
      <c r="P796" s="12"/>
    </row>
    <row r="797">
      <c r="C797" s="25"/>
      <c r="D797" s="31"/>
      <c r="E797" s="31"/>
      <c r="F797" s="31"/>
      <c r="G797" s="29"/>
      <c r="H797" s="12"/>
      <c r="I797" s="12"/>
      <c r="J797" s="12"/>
      <c r="K797" s="12"/>
      <c r="L797" s="18" t="str">
        <f t="shared" si="1"/>
        <v>#DIV/0!</v>
      </c>
      <c r="M797" s="18" t="str">
        <f t="shared" si="2"/>
        <v>#DIV/0!</v>
      </c>
      <c r="N797" s="12" t="str">
        <f t="shared" si="4"/>
        <v/>
      </c>
      <c r="O797" s="18" t="str">
        <f t="shared" si="3"/>
        <v>#DIV/0!</v>
      </c>
      <c r="P797" s="12"/>
    </row>
    <row r="798">
      <c r="C798" s="25"/>
      <c r="D798" s="31"/>
      <c r="E798" s="31"/>
      <c r="F798" s="31"/>
      <c r="G798" s="29"/>
      <c r="H798" s="12"/>
      <c r="I798" s="12"/>
      <c r="J798" s="12"/>
      <c r="K798" s="12"/>
      <c r="L798" s="18" t="str">
        <f t="shared" si="1"/>
        <v>#DIV/0!</v>
      </c>
      <c r="M798" s="18" t="str">
        <f t="shared" si="2"/>
        <v>#DIV/0!</v>
      </c>
      <c r="N798" s="12" t="str">
        <f t="shared" si="4"/>
        <v/>
      </c>
      <c r="O798" s="18" t="str">
        <f t="shared" si="3"/>
        <v>#DIV/0!</v>
      </c>
      <c r="P798" s="12"/>
    </row>
    <row r="799">
      <c r="C799" s="25"/>
      <c r="D799" s="31"/>
      <c r="E799" s="31"/>
      <c r="F799" s="31"/>
      <c r="G799" s="29"/>
      <c r="H799" s="12"/>
      <c r="I799" s="12"/>
      <c r="J799" s="12"/>
      <c r="K799" s="12"/>
      <c r="L799" s="18" t="str">
        <f t="shared" si="1"/>
        <v>#DIV/0!</v>
      </c>
      <c r="M799" s="18" t="str">
        <f t="shared" si="2"/>
        <v>#DIV/0!</v>
      </c>
      <c r="N799" s="12" t="str">
        <f t="shared" si="4"/>
        <v/>
      </c>
      <c r="O799" s="18" t="str">
        <f t="shared" si="3"/>
        <v>#DIV/0!</v>
      </c>
      <c r="P799" s="12"/>
    </row>
    <row r="800">
      <c r="C800" s="25"/>
      <c r="D800" s="31"/>
      <c r="E800" s="31"/>
      <c r="F800" s="31"/>
      <c r="G800" s="29"/>
      <c r="H800" s="12"/>
      <c r="I800" s="12"/>
      <c r="J800" s="12"/>
      <c r="K800" s="12"/>
      <c r="L800" s="18" t="str">
        <f t="shared" si="1"/>
        <v>#DIV/0!</v>
      </c>
      <c r="M800" s="18" t="str">
        <f t="shared" si="2"/>
        <v>#DIV/0!</v>
      </c>
      <c r="N800" s="12" t="str">
        <f t="shared" si="4"/>
        <v/>
      </c>
      <c r="O800" s="18" t="str">
        <f t="shared" si="3"/>
        <v>#DIV/0!</v>
      </c>
      <c r="P800" s="12"/>
    </row>
    <row r="801">
      <c r="C801" s="25"/>
      <c r="D801" s="31"/>
      <c r="E801" s="31"/>
      <c r="F801" s="31"/>
      <c r="G801" s="29"/>
      <c r="H801" s="12"/>
      <c r="I801" s="12"/>
      <c r="J801" s="12"/>
      <c r="K801" s="12"/>
      <c r="L801" s="18" t="str">
        <f t="shared" si="1"/>
        <v>#DIV/0!</v>
      </c>
      <c r="M801" s="18" t="str">
        <f t="shared" si="2"/>
        <v>#DIV/0!</v>
      </c>
      <c r="N801" s="12" t="str">
        <f t="shared" si="4"/>
        <v/>
      </c>
      <c r="O801" s="18" t="str">
        <f t="shared" si="3"/>
        <v>#DIV/0!</v>
      </c>
      <c r="P801" s="12"/>
    </row>
    <row r="802">
      <c r="C802" s="25"/>
      <c r="D802" s="31"/>
      <c r="E802" s="31"/>
      <c r="F802" s="31"/>
      <c r="G802" s="29"/>
      <c r="H802" s="12"/>
      <c r="I802" s="12"/>
      <c r="J802" s="12"/>
      <c r="K802" s="12"/>
      <c r="L802" s="18" t="str">
        <f t="shared" si="1"/>
        <v>#DIV/0!</v>
      </c>
      <c r="M802" s="18" t="str">
        <f t="shared" si="2"/>
        <v>#DIV/0!</v>
      </c>
      <c r="N802" s="12" t="str">
        <f t="shared" si="4"/>
        <v/>
      </c>
      <c r="O802" s="18" t="str">
        <f t="shared" si="3"/>
        <v>#DIV/0!</v>
      </c>
      <c r="P802" s="12"/>
    </row>
    <row r="803">
      <c r="C803" s="25"/>
      <c r="D803" s="31"/>
      <c r="E803" s="31"/>
      <c r="F803" s="31"/>
      <c r="G803" s="29"/>
      <c r="H803" s="12"/>
      <c r="I803" s="12"/>
      <c r="J803" s="12"/>
      <c r="K803" s="12"/>
      <c r="L803" s="18" t="str">
        <f t="shared" si="1"/>
        <v>#DIV/0!</v>
      </c>
      <c r="M803" s="18" t="str">
        <f t="shared" si="2"/>
        <v>#DIV/0!</v>
      </c>
      <c r="N803" s="12" t="str">
        <f t="shared" si="4"/>
        <v/>
      </c>
      <c r="O803" s="18" t="str">
        <f t="shared" si="3"/>
        <v>#DIV/0!</v>
      </c>
      <c r="P803" s="12"/>
    </row>
    <row r="804">
      <c r="C804" s="25"/>
      <c r="D804" s="31"/>
      <c r="E804" s="31"/>
      <c r="F804" s="31"/>
      <c r="G804" s="29"/>
      <c r="H804" s="12"/>
      <c r="I804" s="12"/>
      <c r="J804" s="12"/>
      <c r="K804" s="12"/>
      <c r="L804" s="18" t="str">
        <f t="shared" si="1"/>
        <v>#DIV/0!</v>
      </c>
      <c r="M804" s="18" t="str">
        <f t="shared" si="2"/>
        <v>#DIV/0!</v>
      </c>
      <c r="N804" s="12" t="str">
        <f t="shared" si="4"/>
        <v/>
      </c>
      <c r="O804" s="18" t="str">
        <f t="shared" si="3"/>
        <v>#DIV/0!</v>
      </c>
      <c r="P804" s="12"/>
    </row>
    <row r="805">
      <c r="C805" s="25"/>
      <c r="D805" s="31"/>
      <c r="E805" s="31"/>
      <c r="F805" s="31"/>
      <c r="G805" s="29"/>
      <c r="H805" s="12"/>
      <c r="I805" s="12"/>
      <c r="J805" s="12"/>
      <c r="K805" s="12"/>
      <c r="L805" s="18" t="str">
        <f t="shared" si="1"/>
        <v>#DIV/0!</v>
      </c>
      <c r="M805" s="18" t="str">
        <f t="shared" si="2"/>
        <v>#DIV/0!</v>
      </c>
      <c r="N805" s="12" t="str">
        <f t="shared" si="4"/>
        <v/>
      </c>
      <c r="O805" s="18" t="str">
        <f t="shared" si="3"/>
        <v>#DIV/0!</v>
      </c>
      <c r="P805" s="12"/>
    </row>
    <row r="806">
      <c r="C806" s="25"/>
      <c r="D806" s="31"/>
      <c r="E806" s="31"/>
      <c r="F806" s="31"/>
      <c r="G806" s="29"/>
      <c r="H806" s="12"/>
      <c r="I806" s="12"/>
      <c r="J806" s="12"/>
      <c r="K806" s="12"/>
      <c r="L806" s="18" t="str">
        <f t="shared" si="1"/>
        <v>#DIV/0!</v>
      </c>
      <c r="M806" s="18" t="str">
        <f t="shared" si="2"/>
        <v>#DIV/0!</v>
      </c>
      <c r="N806" s="12" t="str">
        <f t="shared" si="4"/>
        <v/>
      </c>
      <c r="O806" s="18" t="str">
        <f t="shared" si="3"/>
        <v>#DIV/0!</v>
      </c>
      <c r="P806" s="12"/>
    </row>
    <row r="807">
      <c r="C807" s="25"/>
      <c r="D807" s="31"/>
      <c r="E807" s="31"/>
      <c r="F807" s="31"/>
      <c r="G807" s="29"/>
      <c r="H807" s="12"/>
      <c r="I807" s="12"/>
      <c r="J807" s="12"/>
      <c r="K807" s="12"/>
      <c r="L807" s="18" t="str">
        <f t="shared" si="1"/>
        <v>#DIV/0!</v>
      </c>
      <c r="M807" s="18" t="str">
        <f t="shared" si="2"/>
        <v>#DIV/0!</v>
      </c>
      <c r="N807" s="12" t="str">
        <f t="shared" si="4"/>
        <v/>
      </c>
      <c r="O807" s="18" t="str">
        <f t="shared" si="3"/>
        <v>#DIV/0!</v>
      </c>
      <c r="P807" s="12"/>
    </row>
    <row r="808">
      <c r="C808" s="25"/>
      <c r="D808" s="31"/>
      <c r="E808" s="31"/>
      <c r="F808" s="31"/>
      <c r="G808" s="29"/>
      <c r="H808" s="12"/>
      <c r="I808" s="12"/>
      <c r="J808" s="12"/>
      <c r="K808" s="12"/>
      <c r="L808" s="18" t="str">
        <f t="shared" si="1"/>
        <v>#DIV/0!</v>
      </c>
      <c r="M808" s="18" t="str">
        <f t="shared" si="2"/>
        <v>#DIV/0!</v>
      </c>
      <c r="N808" s="12" t="str">
        <f t="shared" si="4"/>
        <v/>
      </c>
      <c r="O808" s="18" t="str">
        <f t="shared" si="3"/>
        <v>#DIV/0!</v>
      </c>
      <c r="P808" s="12"/>
    </row>
    <row r="809">
      <c r="C809" s="25"/>
      <c r="D809" s="31"/>
      <c r="E809" s="31"/>
      <c r="F809" s="31"/>
      <c r="G809" s="29"/>
      <c r="H809" s="12"/>
      <c r="I809" s="12"/>
      <c r="J809" s="12"/>
      <c r="K809" s="12"/>
      <c r="L809" s="18" t="str">
        <f t="shared" si="1"/>
        <v>#DIV/0!</v>
      </c>
      <c r="M809" s="18" t="str">
        <f t="shared" si="2"/>
        <v>#DIV/0!</v>
      </c>
      <c r="N809" s="12" t="str">
        <f t="shared" si="4"/>
        <v/>
      </c>
      <c r="O809" s="18" t="str">
        <f t="shared" si="3"/>
        <v>#DIV/0!</v>
      </c>
      <c r="P809" s="12"/>
    </row>
    <row r="810">
      <c r="C810" s="25"/>
      <c r="D810" s="31"/>
      <c r="E810" s="31"/>
      <c r="F810" s="31"/>
      <c r="G810" s="29"/>
      <c r="H810" s="12"/>
      <c r="I810" s="12"/>
      <c r="J810" s="12"/>
      <c r="K810" s="12"/>
      <c r="L810" s="18" t="str">
        <f t="shared" si="1"/>
        <v>#DIV/0!</v>
      </c>
      <c r="M810" s="18" t="str">
        <f t="shared" si="2"/>
        <v>#DIV/0!</v>
      </c>
      <c r="N810" s="12" t="str">
        <f t="shared" si="4"/>
        <v/>
      </c>
      <c r="O810" s="18" t="str">
        <f t="shared" si="3"/>
        <v>#DIV/0!</v>
      </c>
      <c r="P810" s="12"/>
    </row>
    <row r="811">
      <c r="C811" s="25"/>
      <c r="D811" s="31"/>
      <c r="E811" s="31"/>
      <c r="F811" s="31"/>
      <c r="G811" s="29"/>
      <c r="H811" s="12"/>
      <c r="I811" s="12"/>
      <c r="J811" s="12"/>
      <c r="K811" s="12"/>
      <c r="L811" s="18" t="str">
        <f t="shared" si="1"/>
        <v>#DIV/0!</v>
      </c>
      <c r="M811" s="18" t="str">
        <f t="shared" si="2"/>
        <v>#DIV/0!</v>
      </c>
      <c r="N811" s="12" t="str">
        <f t="shared" si="4"/>
        <v/>
      </c>
      <c r="O811" s="18" t="str">
        <f t="shared" si="3"/>
        <v>#DIV/0!</v>
      </c>
      <c r="P811" s="12"/>
    </row>
    <row r="812">
      <c r="C812" s="25"/>
      <c r="D812" s="31"/>
      <c r="E812" s="31"/>
      <c r="F812" s="31"/>
      <c r="G812" s="29"/>
      <c r="H812" s="12"/>
      <c r="I812" s="12"/>
      <c r="J812" s="12"/>
      <c r="K812" s="12"/>
      <c r="L812" s="18" t="str">
        <f t="shared" si="1"/>
        <v>#DIV/0!</v>
      </c>
      <c r="M812" s="18" t="str">
        <f t="shared" si="2"/>
        <v>#DIV/0!</v>
      </c>
      <c r="N812" s="12" t="str">
        <f t="shared" si="4"/>
        <v/>
      </c>
      <c r="O812" s="18" t="str">
        <f t="shared" si="3"/>
        <v>#DIV/0!</v>
      </c>
      <c r="P812" s="12"/>
    </row>
    <row r="813">
      <c r="C813" s="25"/>
      <c r="D813" s="31"/>
      <c r="E813" s="31"/>
      <c r="F813" s="31"/>
      <c r="G813" s="29"/>
      <c r="H813" s="12"/>
      <c r="I813" s="12"/>
      <c r="J813" s="12"/>
      <c r="K813" s="12"/>
      <c r="L813" s="18" t="str">
        <f t="shared" si="1"/>
        <v>#DIV/0!</v>
      </c>
      <c r="M813" s="18" t="str">
        <f t="shared" si="2"/>
        <v>#DIV/0!</v>
      </c>
      <c r="N813" s="12" t="str">
        <f t="shared" si="4"/>
        <v/>
      </c>
      <c r="O813" s="18" t="str">
        <f t="shared" si="3"/>
        <v>#DIV/0!</v>
      </c>
      <c r="P813" s="12"/>
    </row>
    <row r="814">
      <c r="C814" s="25"/>
      <c r="D814" s="31"/>
      <c r="E814" s="31"/>
      <c r="F814" s="31"/>
      <c r="G814" s="29"/>
      <c r="H814" s="12"/>
      <c r="I814" s="12"/>
      <c r="J814" s="12"/>
      <c r="K814" s="12"/>
      <c r="L814" s="18" t="str">
        <f t="shared" si="1"/>
        <v>#DIV/0!</v>
      </c>
      <c r="M814" s="18" t="str">
        <f t="shared" si="2"/>
        <v>#DIV/0!</v>
      </c>
      <c r="N814" s="12" t="str">
        <f t="shared" si="4"/>
        <v/>
      </c>
      <c r="O814" s="18" t="str">
        <f t="shared" si="3"/>
        <v>#DIV/0!</v>
      </c>
      <c r="P814" s="12"/>
    </row>
    <row r="815">
      <c r="C815" s="25"/>
      <c r="D815" s="31"/>
      <c r="E815" s="31"/>
      <c r="F815" s="31"/>
      <c r="G815" s="29"/>
      <c r="H815" s="12"/>
      <c r="I815" s="12"/>
      <c r="J815" s="12"/>
      <c r="K815" s="12"/>
      <c r="L815" s="18" t="str">
        <f t="shared" si="1"/>
        <v>#DIV/0!</v>
      </c>
      <c r="M815" s="18" t="str">
        <f t="shared" si="2"/>
        <v>#DIV/0!</v>
      </c>
      <c r="N815" s="12" t="str">
        <f t="shared" si="4"/>
        <v/>
      </c>
      <c r="O815" s="18" t="str">
        <f t="shared" si="3"/>
        <v>#DIV/0!</v>
      </c>
      <c r="P815" s="12"/>
    </row>
    <row r="816">
      <c r="C816" s="25"/>
      <c r="D816" s="31"/>
      <c r="E816" s="31"/>
      <c r="F816" s="31"/>
      <c r="G816" s="29"/>
      <c r="H816" s="12"/>
      <c r="I816" s="12"/>
      <c r="J816" s="12"/>
      <c r="K816" s="12"/>
      <c r="L816" s="18" t="str">
        <f t="shared" si="1"/>
        <v>#DIV/0!</v>
      </c>
      <c r="M816" s="18" t="str">
        <f t="shared" si="2"/>
        <v>#DIV/0!</v>
      </c>
      <c r="N816" s="12" t="str">
        <f t="shared" si="4"/>
        <v/>
      </c>
      <c r="O816" s="18" t="str">
        <f t="shared" si="3"/>
        <v>#DIV/0!</v>
      </c>
      <c r="P816" s="12"/>
    </row>
    <row r="817">
      <c r="C817" s="25"/>
      <c r="D817" s="31"/>
      <c r="E817" s="31"/>
      <c r="F817" s="31"/>
      <c r="G817" s="29"/>
      <c r="H817" s="12"/>
      <c r="I817" s="12"/>
      <c r="J817" s="12"/>
      <c r="K817" s="12"/>
      <c r="L817" s="18" t="str">
        <f t="shared" si="1"/>
        <v>#DIV/0!</v>
      </c>
      <c r="M817" s="18" t="str">
        <f t="shared" si="2"/>
        <v>#DIV/0!</v>
      </c>
      <c r="N817" s="12" t="str">
        <f t="shared" si="4"/>
        <v/>
      </c>
      <c r="O817" s="18" t="str">
        <f t="shared" si="3"/>
        <v>#DIV/0!</v>
      </c>
      <c r="P817" s="12"/>
    </row>
    <row r="818">
      <c r="C818" s="25"/>
      <c r="D818" s="31"/>
      <c r="E818" s="31"/>
      <c r="F818" s="31"/>
      <c r="G818" s="29"/>
      <c r="H818" s="12"/>
      <c r="I818" s="12"/>
      <c r="J818" s="12"/>
      <c r="K818" s="12"/>
      <c r="L818" s="18" t="str">
        <f t="shared" si="1"/>
        <v>#DIV/0!</v>
      </c>
      <c r="M818" s="18" t="str">
        <f t="shared" si="2"/>
        <v>#DIV/0!</v>
      </c>
      <c r="N818" s="12" t="str">
        <f t="shared" si="4"/>
        <v/>
      </c>
      <c r="O818" s="18" t="str">
        <f t="shared" si="3"/>
        <v>#DIV/0!</v>
      </c>
      <c r="P818" s="12"/>
    </row>
    <row r="819">
      <c r="C819" s="25"/>
      <c r="D819" s="31"/>
      <c r="E819" s="31"/>
      <c r="F819" s="31"/>
      <c r="G819" s="29"/>
      <c r="H819" s="12"/>
      <c r="I819" s="12"/>
      <c r="J819" s="12"/>
      <c r="K819" s="12"/>
      <c r="L819" s="18" t="str">
        <f t="shared" si="1"/>
        <v>#DIV/0!</v>
      </c>
      <c r="M819" s="18" t="str">
        <f t="shared" si="2"/>
        <v>#DIV/0!</v>
      </c>
      <c r="N819" s="12" t="str">
        <f t="shared" si="4"/>
        <v/>
      </c>
      <c r="O819" s="18" t="str">
        <f t="shared" si="3"/>
        <v>#DIV/0!</v>
      </c>
      <c r="P819" s="12"/>
    </row>
    <row r="820">
      <c r="C820" s="25"/>
      <c r="D820" s="31"/>
      <c r="E820" s="31"/>
      <c r="F820" s="31"/>
      <c r="G820" s="29"/>
      <c r="H820" s="12"/>
      <c r="I820" s="12"/>
      <c r="J820" s="12"/>
      <c r="K820" s="12"/>
      <c r="L820" s="18" t="str">
        <f t="shared" si="1"/>
        <v>#DIV/0!</v>
      </c>
      <c r="M820" s="18" t="str">
        <f t="shared" si="2"/>
        <v>#DIV/0!</v>
      </c>
      <c r="N820" s="12" t="str">
        <f t="shared" si="4"/>
        <v/>
      </c>
      <c r="O820" s="18" t="str">
        <f t="shared" si="3"/>
        <v>#DIV/0!</v>
      </c>
      <c r="P820" s="12"/>
    </row>
    <row r="821">
      <c r="C821" s="25"/>
      <c r="D821" s="31"/>
      <c r="E821" s="31"/>
      <c r="F821" s="31"/>
      <c r="G821" s="29"/>
      <c r="H821" s="12"/>
      <c r="I821" s="12"/>
      <c r="J821" s="12"/>
      <c r="K821" s="12"/>
      <c r="L821" s="18" t="str">
        <f t="shared" si="1"/>
        <v>#DIV/0!</v>
      </c>
      <c r="M821" s="18" t="str">
        <f t="shared" si="2"/>
        <v>#DIV/0!</v>
      </c>
      <c r="N821" s="12" t="str">
        <f t="shared" si="4"/>
        <v/>
      </c>
      <c r="O821" s="18" t="str">
        <f t="shared" si="3"/>
        <v>#DIV/0!</v>
      </c>
      <c r="P821" s="12"/>
    </row>
    <row r="822">
      <c r="C822" s="25"/>
      <c r="D822" s="31"/>
      <c r="E822" s="31"/>
      <c r="F822" s="31"/>
      <c r="G822" s="29"/>
      <c r="H822" s="12"/>
      <c r="I822" s="12"/>
      <c r="J822" s="12"/>
      <c r="K822" s="12"/>
      <c r="L822" s="18" t="str">
        <f t="shared" si="1"/>
        <v>#DIV/0!</v>
      </c>
      <c r="M822" s="18" t="str">
        <f t="shared" si="2"/>
        <v>#DIV/0!</v>
      </c>
      <c r="N822" s="12" t="str">
        <f t="shared" si="4"/>
        <v/>
      </c>
      <c r="O822" s="18" t="str">
        <f t="shared" si="3"/>
        <v>#DIV/0!</v>
      </c>
      <c r="P822" s="12"/>
    </row>
    <row r="823">
      <c r="C823" s="25"/>
      <c r="D823" s="31"/>
      <c r="E823" s="31"/>
      <c r="F823" s="31"/>
      <c r="G823" s="29"/>
      <c r="H823" s="12"/>
      <c r="I823" s="12"/>
      <c r="J823" s="12"/>
      <c r="K823" s="12"/>
      <c r="L823" s="18" t="str">
        <f t="shared" si="1"/>
        <v>#DIV/0!</v>
      </c>
      <c r="M823" s="18" t="str">
        <f t="shared" si="2"/>
        <v>#DIV/0!</v>
      </c>
      <c r="N823" s="12" t="str">
        <f t="shared" si="4"/>
        <v/>
      </c>
      <c r="O823" s="18" t="str">
        <f t="shared" si="3"/>
        <v>#DIV/0!</v>
      </c>
      <c r="P823" s="12"/>
    </row>
    <row r="824">
      <c r="C824" s="25"/>
      <c r="D824" s="31"/>
      <c r="E824" s="31"/>
      <c r="F824" s="31"/>
      <c r="G824" s="29"/>
      <c r="H824" s="12"/>
      <c r="I824" s="12"/>
      <c r="J824" s="12"/>
      <c r="K824" s="12"/>
      <c r="L824" s="18" t="str">
        <f t="shared" si="1"/>
        <v>#DIV/0!</v>
      </c>
      <c r="M824" s="18" t="str">
        <f t="shared" si="2"/>
        <v>#DIV/0!</v>
      </c>
      <c r="N824" s="12" t="str">
        <f t="shared" si="4"/>
        <v/>
      </c>
      <c r="O824" s="18" t="str">
        <f t="shared" si="3"/>
        <v>#DIV/0!</v>
      </c>
      <c r="P824" s="12"/>
    </row>
    <row r="825">
      <c r="C825" s="25"/>
      <c r="D825" s="31"/>
      <c r="E825" s="31"/>
      <c r="F825" s="31"/>
      <c r="G825" s="29"/>
      <c r="H825" s="12"/>
      <c r="I825" s="12"/>
      <c r="J825" s="12"/>
      <c r="K825" s="12"/>
      <c r="L825" s="18" t="str">
        <f t="shared" si="1"/>
        <v>#DIV/0!</v>
      </c>
      <c r="M825" s="18" t="str">
        <f t="shared" si="2"/>
        <v>#DIV/0!</v>
      </c>
      <c r="N825" s="12" t="str">
        <f t="shared" si="4"/>
        <v/>
      </c>
      <c r="O825" s="18" t="str">
        <f t="shared" si="3"/>
        <v>#DIV/0!</v>
      </c>
      <c r="P825" s="12"/>
    </row>
    <row r="826">
      <c r="C826" s="25"/>
      <c r="D826" s="31"/>
      <c r="E826" s="31"/>
      <c r="F826" s="31"/>
      <c r="G826" s="29"/>
      <c r="H826" s="12"/>
      <c r="I826" s="12"/>
      <c r="J826" s="12"/>
      <c r="K826" s="12"/>
      <c r="L826" s="18" t="str">
        <f t="shared" si="1"/>
        <v>#DIV/0!</v>
      </c>
      <c r="M826" s="18" t="str">
        <f t="shared" si="2"/>
        <v>#DIV/0!</v>
      </c>
      <c r="N826" s="12" t="str">
        <f t="shared" si="4"/>
        <v/>
      </c>
      <c r="O826" s="18" t="str">
        <f t="shared" si="3"/>
        <v>#DIV/0!</v>
      </c>
      <c r="P826" s="12"/>
    </row>
    <row r="827">
      <c r="C827" s="25"/>
      <c r="D827" s="31"/>
      <c r="E827" s="31"/>
      <c r="F827" s="31"/>
      <c r="G827" s="29"/>
      <c r="H827" s="12"/>
      <c r="I827" s="12"/>
      <c r="J827" s="12"/>
      <c r="K827" s="12"/>
      <c r="L827" s="18" t="str">
        <f t="shared" si="1"/>
        <v>#DIV/0!</v>
      </c>
      <c r="M827" s="18" t="str">
        <f t="shared" si="2"/>
        <v>#DIV/0!</v>
      </c>
      <c r="N827" s="12" t="str">
        <f t="shared" si="4"/>
        <v/>
      </c>
      <c r="O827" s="18" t="str">
        <f t="shared" si="3"/>
        <v>#DIV/0!</v>
      </c>
      <c r="P827" s="12"/>
    </row>
    <row r="828">
      <c r="C828" s="25"/>
      <c r="D828" s="31"/>
      <c r="E828" s="31"/>
      <c r="F828" s="31"/>
      <c r="G828" s="29"/>
      <c r="H828" s="12"/>
      <c r="I828" s="12"/>
      <c r="J828" s="12"/>
      <c r="K828" s="12"/>
      <c r="L828" s="18" t="str">
        <f t="shared" si="1"/>
        <v>#DIV/0!</v>
      </c>
      <c r="M828" s="18" t="str">
        <f t="shared" si="2"/>
        <v>#DIV/0!</v>
      </c>
      <c r="N828" s="12" t="str">
        <f t="shared" si="4"/>
        <v/>
      </c>
      <c r="O828" s="18" t="str">
        <f t="shared" si="3"/>
        <v>#DIV/0!</v>
      </c>
      <c r="P828" s="12"/>
    </row>
    <row r="829">
      <c r="C829" s="25"/>
      <c r="D829" s="31"/>
      <c r="E829" s="31"/>
      <c r="F829" s="31"/>
      <c r="G829" s="29"/>
      <c r="H829" s="12"/>
      <c r="I829" s="12"/>
      <c r="J829" s="12"/>
      <c r="K829" s="12"/>
      <c r="L829" s="18" t="str">
        <f t="shared" si="1"/>
        <v>#DIV/0!</v>
      </c>
      <c r="M829" s="18" t="str">
        <f t="shared" si="2"/>
        <v>#DIV/0!</v>
      </c>
      <c r="N829" s="12" t="str">
        <f t="shared" si="4"/>
        <v/>
      </c>
      <c r="O829" s="18" t="str">
        <f t="shared" si="3"/>
        <v>#DIV/0!</v>
      </c>
      <c r="P829" s="12"/>
    </row>
    <row r="830">
      <c r="C830" s="25"/>
      <c r="D830" s="31"/>
      <c r="E830" s="31"/>
      <c r="F830" s="31"/>
      <c r="G830" s="29"/>
      <c r="H830" s="12"/>
      <c r="I830" s="12"/>
      <c r="J830" s="12"/>
      <c r="K830" s="12"/>
      <c r="L830" s="18" t="str">
        <f t="shared" si="1"/>
        <v>#DIV/0!</v>
      </c>
      <c r="M830" s="18" t="str">
        <f t="shared" si="2"/>
        <v>#DIV/0!</v>
      </c>
      <c r="N830" s="12" t="str">
        <f t="shared" si="4"/>
        <v/>
      </c>
      <c r="O830" s="18" t="str">
        <f t="shared" si="3"/>
        <v>#DIV/0!</v>
      </c>
      <c r="P830" s="12"/>
    </row>
    <row r="831">
      <c r="C831" s="25"/>
      <c r="D831" s="31"/>
      <c r="E831" s="31"/>
      <c r="F831" s="31"/>
      <c r="G831" s="29"/>
      <c r="H831" s="12"/>
      <c r="I831" s="12"/>
      <c r="J831" s="12"/>
      <c r="K831" s="12"/>
      <c r="L831" s="18" t="str">
        <f t="shared" si="1"/>
        <v>#DIV/0!</v>
      </c>
      <c r="M831" s="18" t="str">
        <f t="shared" si="2"/>
        <v>#DIV/0!</v>
      </c>
      <c r="N831" s="12" t="str">
        <f t="shared" si="4"/>
        <v/>
      </c>
      <c r="O831" s="18" t="str">
        <f t="shared" si="3"/>
        <v>#DIV/0!</v>
      </c>
      <c r="P831" s="12"/>
    </row>
    <row r="832">
      <c r="C832" s="25"/>
      <c r="D832" s="31"/>
      <c r="E832" s="31"/>
      <c r="F832" s="31"/>
      <c r="G832" s="29"/>
      <c r="H832" s="12"/>
      <c r="I832" s="12"/>
      <c r="J832" s="12"/>
      <c r="K832" s="12"/>
      <c r="L832" s="18" t="str">
        <f t="shared" si="1"/>
        <v>#DIV/0!</v>
      </c>
      <c r="M832" s="18" t="str">
        <f t="shared" si="2"/>
        <v>#DIV/0!</v>
      </c>
      <c r="N832" s="12" t="str">
        <f t="shared" si="4"/>
        <v/>
      </c>
      <c r="O832" s="18" t="str">
        <f t="shared" si="3"/>
        <v>#DIV/0!</v>
      </c>
      <c r="P832" s="12"/>
    </row>
    <row r="833">
      <c r="C833" s="25"/>
      <c r="D833" s="31"/>
      <c r="E833" s="31"/>
      <c r="F833" s="31"/>
      <c r="G833" s="29"/>
      <c r="H833" s="12"/>
      <c r="I833" s="12"/>
      <c r="J833" s="12"/>
      <c r="K833" s="12"/>
      <c r="L833" s="18" t="str">
        <f t="shared" si="1"/>
        <v>#DIV/0!</v>
      </c>
      <c r="M833" s="18" t="str">
        <f t="shared" si="2"/>
        <v>#DIV/0!</v>
      </c>
      <c r="N833" s="12" t="str">
        <f t="shared" si="4"/>
        <v/>
      </c>
      <c r="O833" s="18" t="str">
        <f t="shared" si="3"/>
        <v>#DIV/0!</v>
      </c>
      <c r="P833" s="12"/>
    </row>
    <row r="834">
      <c r="C834" s="25"/>
      <c r="D834" s="31"/>
      <c r="E834" s="31"/>
      <c r="F834" s="31"/>
      <c r="G834" s="29"/>
      <c r="H834" s="12"/>
      <c r="I834" s="12"/>
      <c r="J834" s="12"/>
      <c r="K834" s="12"/>
      <c r="L834" s="18" t="str">
        <f t="shared" si="1"/>
        <v>#DIV/0!</v>
      </c>
      <c r="M834" s="18" t="str">
        <f t="shared" si="2"/>
        <v>#DIV/0!</v>
      </c>
      <c r="N834" s="12" t="str">
        <f t="shared" si="4"/>
        <v/>
      </c>
      <c r="O834" s="18" t="str">
        <f t="shared" si="3"/>
        <v>#DIV/0!</v>
      </c>
      <c r="P834" s="12"/>
    </row>
    <row r="835">
      <c r="C835" s="25"/>
      <c r="D835" s="31"/>
      <c r="E835" s="31"/>
      <c r="F835" s="31"/>
      <c r="G835" s="29"/>
      <c r="H835" s="12"/>
      <c r="I835" s="12"/>
      <c r="J835" s="12"/>
      <c r="K835" s="12"/>
      <c r="L835" s="18" t="str">
        <f t="shared" si="1"/>
        <v>#DIV/0!</v>
      </c>
      <c r="M835" s="18" t="str">
        <f t="shared" si="2"/>
        <v>#DIV/0!</v>
      </c>
      <c r="N835" s="12" t="str">
        <f t="shared" si="4"/>
        <v/>
      </c>
      <c r="O835" s="18" t="str">
        <f t="shared" si="3"/>
        <v>#DIV/0!</v>
      </c>
      <c r="P835" s="12"/>
    </row>
    <row r="836">
      <c r="C836" s="25"/>
      <c r="D836" s="31"/>
      <c r="E836" s="31"/>
      <c r="F836" s="31"/>
      <c r="G836" s="29"/>
      <c r="H836" s="12"/>
      <c r="I836" s="12"/>
      <c r="J836" s="12"/>
      <c r="K836" s="12"/>
      <c r="L836" s="18" t="str">
        <f t="shared" si="1"/>
        <v>#DIV/0!</v>
      </c>
      <c r="M836" s="18" t="str">
        <f t="shared" si="2"/>
        <v>#DIV/0!</v>
      </c>
      <c r="N836" s="12" t="str">
        <f t="shared" si="4"/>
        <v/>
      </c>
      <c r="O836" s="18" t="str">
        <f t="shared" si="3"/>
        <v>#DIV/0!</v>
      </c>
      <c r="P836" s="12"/>
    </row>
    <row r="837">
      <c r="C837" s="25"/>
      <c r="D837" s="31"/>
      <c r="E837" s="31"/>
      <c r="F837" s="31"/>
      <c r="G837" s="29"/>
      <c r="H837" s="12"/>
      <c r="I837" s="12"/>
      <c r="J837" s="12"/>
      <c r="K837" s="12"/>
      <c r="L837" s="18" t="str">
        <f t="shared" si="1"/>
        <v>#DIV/0!</v>
      </c>
      <c r="M837" s="18" t="str">
        <f t="shared" si="2"/>
        <v>#DIV/0!</v>
      </c>
      <c r="N837" s="12" t="str">
        <f t="shared" si="4"/>
        <v/>
      </c>
      <c r="O837" s="18" t="str">
        <f t="shared" si="3"/>
        <v>#DIV/0!</v>
      </c>
      <c r="P837" s="12"/>
    </row>
    <row r="838">
      <c r="C838" s="25"/>
      <c r="D838" s="31"/>
      <c r="E838" s="31"/>
      <c r="F838" s="31"/>
      <c r="G838" s="29"/>
      <c r="H838" s="12"/>
      <c r="I838" s="12"/>
      <c r="J838" s="12"/>
      <c r="K838" s="12"/>
      <c r="L838" s="18" t="str">
        <f t="shared" si="1"/>
        <v>#DIV/0!</v>
      </c>
      <c r="M838" s="18" t="str">
        <f t="shared" si="2"/>
        <v>#DIV/0!</v>
      </c>
      <c r="N838" s="12" t="str">
        <f t="shared" si="4"/>
        <v/>
      </c>
      <c r="O838" s="18" t="str">
        <f t="shared" si="3"/>
        <v>#DIV/0!</v>
      </c>
      <c r="P838" s="12"/>
    </row>
    <row r="839">
      <c r="C839" s="25"/>
      <c r="D839" s="31"/>
      <c r="E839" s="31"/>
      <c r="F839" s="31"/>
      <c r="G839" s="29"/>
      <c r="H839" s="12"/>
      <c r="I839" s="12"/>
      <c r="J839" s="12"/>
      <c r="K839" s="12"/>
      <c r="L839" s="18" t="str">
        <f t="shared" si="1"/>
        <v>#DIV/0!</v>
      </c>
      <c r="M839" s="18" t="str">
        <f t="shared" si="2"/>
        <v>#DIV/0!</v>
      </c>
      <c r="N839" s="12" t="str">
        <f t="shared" si="4"/>
        <v/>
      </c>
      <c r="O839" s="18" t="str">
        <f t="shared" si="3"/>
        <v>#DIV/0!</v>
      </c>
      <c r="P839" s="12"/>
    </row>
    <row r="840">
      <c r="C840" s="25"/>
      <c r="D840" s="31"/>
      <c r="E840" s="31"/>
      <c r="F840" s="31"/>
      <c r="G840" s="29"/>
      <c r="H840" s="12"/>
      <c r="I840" s="12"/>
      <c r="J840" s="12"/>
      <c r="K840" s="12"/>
      <c r="L840" s="18" t="str">
        <f t="shared" si="1"/>
        <v>#DIV/0!</v>
      </c>
      <c r="M840" s="18" t="str">
        <f t="shared" si="2"/>
        <v>#DIV/0!</v>
      </c>
      <c r="N840" s="12" t="str">
        <f t="shared" si="4"/>
        <v/>
      </c>
      <c r="O840" s="18" t="str">
        <f t="shared" si="3"/>
        <v>#DIV/0!</v>
      </c>
      <c r="P840" s="12"/>
    </row>
    <row r="841">
      <c r="C841" s="25"/>
      <c r="D841" s="31"/>
      <c r="E841" s="31"/>
      <c r="F841" s="31"/>
      <c r="G841" s="29"/>
      <c r="H841" s="12"/>
      <c r="I841" s="12"/>
      <c r="J841" s="12"/>
      <c r="K841" s="12"/>
      <c r="L841" s="18" t="str">
        <f t="shared" si="1"/>
        <v>#DIV/0!</v>
      </c>
      <c r="M841" s="18" t="str">
        <f t="shared" si="2"/>
        <v>#DIV/0!</v>
      </c>
      <c r="N841" s="12" t="str">
        <f t="shared" si="4"/>
        <v/>
      </c>
      <c r="O841" s="18" t="str">
        <f t="shared" si="3"/>
        <v>#DIV/0!</v>
      </c>
      <c r="P841" s="12"/>
    </row>
    <row r="842">
      <c r="C842" s="25"/>
      <c r="D842" s="31"/>
      <c r="E842" s="31"/>
      <c r="F842" s="31"/>
      <c r="G842" s="29"/>
      <c r="H842" s="12"/>
      <c r="I842" s="12"/>
      <c r="J842" s="12"/>
      <c r="K842" s="12"/>
      <c r="L842" s="18" t="str">
        <f t="shared" si="1"/>
        <v>#DIV/0!</v>
      </c>
      <c r="M842" s="18" t="str">
        <f t="shared" si="2"/>
        <v>#DIV/0!</v>
      </c>
      <c r="N842" s="12" t="str">
        <f t="shared" si="4"/>
        <v/>
      </c>
      <c r="O842" s="18" t="str">
        <f t="shared" si="3"/>
        <v>#DIV/0!</v>
      </c>
      <c r="P842" s="12"/>
    </row>
    <row r="843">
      <c r="C843" s="25"/>
      <c r="D843" s="31"/>
      <c r="E843" s="31"/>
      <c r="F843" s="31"/>
      <c r="G843" s="29"/>
      <c r="H843" s="12"/>
      <c r="I843" s="12"/>
      <c r="J843" s="12"/>
      <c r="K843" s="12"/>
      <c r="L843" s="18" t="str">
        <f t="shared" si="1"/>
        <v>#DIV/0!</v>
      </c>
      <c r="M843" s="18" t="str">
        <f t="shared" si="2"/>
        <v>#DIV/0!</v>
      </c>
      <c r="N843" s="12" t="str">
        <f t="shared" si="4"/>
        <v/>
      </c>
      <c r="O843" s="18" t="str">
        <f t="shared" si="3"/>
        <v>#DIV/0!</v>
      </c>
      <c r="P843" s="12"/>
    </row>
    <row r="844">
      <c r="C844" s="25"/>
      <c r="D844" s="31"/>
      <c r="E844" s="31"/>
      <c r="F844" s="31"/>
      <c r="G844" s="29"/>
      <c r="H844" s="12"/>
      <c r="I844" s="12"/>
      <c r="J844" s="12"/>
      <c r="K844" s="12"/>
      <c r="L844" s="18" t="str">
        <f t="shared" si="1"/>
        <v>#DIV/0!</v>
      </c>
      <c r="M844" s="18" t="str">
        <f t="shared" si="2"/>
        <v>#DIV/0!</v>
      </c>
      <c r="N844" s="12" t="str">
        <f t="shared" si="4"/>
        <v/>
      </c>
      <c r="O844" s="18" t="str">
        <f t="shared" si="3"/>
        <v>#DIV/0!</v>
      </c>
      <c r="P844" s="12"/>
    </row>
    <row r="845">
      <c r="C845" s="25"/>
      <c r="D845" s="31"/>
      <c r="E845" s="31"/>
      <c r="F845" s="31"/>
      <c r="G845" s="29"/>
      <c r="H845" s="12"/>
      <c r="I845" s="12"/>
      <c r="J845" s="12"/>
      <c r="K845" s="12"/>
      <c r="L845" s="18" t="str">
        <f t="shared" si="1"/>
        <v>#DIV/0!</v>
      </c>
      <c r="M845" s="18" t="str">
        <f t="shared" si="2"/>
        <v>#DIV/0!</v>
      </c>
      <c r="N845" s="12" t="str">
        <f t="shared" si="4"/>
        <v/>
      </c>
      <c r="O845" s="18" t="str">
        <f t="shared" si="3"/>
        <v>#DIV/0!</v>
      </c>
      <c r="P845" s="12"/>
    </row>
    <row r="846">
      <c r="C846" s="25"/>
      <c r="D846" s="31"/>
      <c r="E846" s="31"/>
      <c r="F846" s="31"/>
      <c r="G846" s="29"/>
      <c r="H846" s="12"/>
      <c r="I846" s="12"/>
      <c r="J846" s="12"/>
      <c r="K846" s="12"/>
      <c r="L846" s="18" t="str">
        <f t="shared" si="1"/>
        <v>#DIV/0!</v>
      </c>
      <c r="M846" s="18" t="str">
        <f t="shared" si="2"/>
        <v>#DIV/0!</v>
      </c>
      <c r="N846" s="12" t="str">
        <f t="shared" si="4"/>
        <v/>
      </c>
      <c r="O846" s="18" t="str">
        <f t="shared" si="3"/>
        <v>#DIV/0!</v>
      </c>
      <c r="P846" s="12"/>
    </row>
    <row r="847">
      <c r="C847" s="25"/>
      <c r="D847" s="31"/>
      <c r="E847" s="31"/>
      <c r="F847" s="31"/>
      <c r="G847" s="29"/>
      <c r="H847" s="12"/>
      <c r="I847" s="12"/>
      <c r="J847" s="12"/>
      <c r="K847" s="12"/>
      <c r="L847" s="18" t="str">
        <f t="shared" si="1"/>
        <v>#DIV/0!</v>
      </c>
      <c r="M847" s="18" t="str">
        <f t="shared" si="2"/>
        <v>#DIV/0!</v>
      </c>
      <c r="N847" s="12" t="str">
        <f t="shared" si="4"/>
        <v/>
      </c>
      <c r="O847" s="18" t="str">
        <f t="shared" si="3"/>
        <v>#DIV/0!</v>
      </c>
      <c r="P847" s="12"/>
    </row>
    <row r="848">
      <c r="C848" s="25"/>
      <c r="D848" s="31"/>
      <c r="E848" s="31"/>
      <c r="F848" s="31"/>
      <c r="G848" s="29"/>
      <c r="H848" s="12"/>
      <c r="I848" s="12"/>
      <c r="J848" s="12"/>
      <c r="K848" s="12"/>
      <c r="L848" s="18" t="str">
        <f t="shared" si="1"/>
        <v>#DIV/0!</v>
      </c>
      <c r="M848" s="18" t="str">
        <f t="shared" si="2"/>
        <v>#DIV/0!</v>
      </c>
      <c r="N848" s="12" t="str">
        <f t="shared" si="4"/>
        <v/>
      </c>
      <c r="O848" s="18" t="str">
        <f t="shared" si="3"/>
        <v>#DIV/0!</v>
      </c>
      <c r="P848" s="12"/>
    </row>
    <row r="849">
      <c r="C849" s="25"/>
      <c r="D849" s="31"/>
      <c r="E849" s="31"/>
      <c r="F849" s="31"/>
      <c r="G849" s="29"/>
      <c r="H849" s="12"/>
      <c r="I849" s="12"/>
      <c r="J849" s="12"/>
      <c r="K849" s="12"/>
      <c r="L849" s="18" t="str">
        <f t="shared" si="1"/>
        <v>#DIV/0!</v>
      </c>
      <c r="M849" s="18" t="str">
        <f t="shared" si="2"/>
        <v>#DIV/0!</v>
      </c>
      <c r="N849" s="12" t="str">
        <f t="shared" si="4"/>
        <v/>
      </c>
      <c r="O849" s="18" t="str">
        <f t="shared" si="3"/>
        <v>#DIV/0!</v>
      </c>
      <c r="P849" s="12"/>
    </row>
    <row r="850">
      <c r="C850" s="25"/>
      <c r="D850" s="31"/>
      <c r="E850" s="31"/>
      <c r="F850" s="31"/>
      <c r="G850" s="29"/>
      <c r="H850" s="12"/>
      <c r="I850" s="12"/>
      <c r="J850" s="12"/>
      <c r="K850" s="12"/>
      <c r="L850" s="18" t="str">
        <f t="shared" si="1"/>
        <v>#DIV/0!</v>
      </c>
      <c r="M850" s="18" t="str">
        <f t="shared" si="2"/>
        <v>#DIV/0!</v>
      </c>
      <c r="N850" s="12" t="str">
        <f t="shared" si="4"/>
        <v/>
      </c>
      <c r="O850" s="18" t="str">
        <f t="shared" si="3"/>
        <v>#DIV/0!</v>
      </c>
      <c r="P850" s="12"/>
    </row>
    <row r="851">
      <c r="C851" s="25"/>
      <c r="D851" s="31"/>
      <c r="E851" s="31"/>
      <c r="F851" s="31"/>
      <c r="G851" s="29"/>
      <c r="H851" s="12"/>
      <c r="I851" s="12"/>
      <c r="J851" s="12"/>
      <c r="K851" s="12"/>
      <c r="L851" s="18" t="str">
        <f t="shared" si="1"/>
        <v>#DIV/0!</v>
      </c>
      <c r="M851" s="18" t="str">
        <f t="shared" si="2"/>
        <v>#DIV/0!</v>
      </c>
      <c r="N851" s="12" t="str">
        <f t="shared" si="4"/>
        <v/>
      </c>
      <c r="O851" s="18" t="str">
        <f t="shared" si="3"/>
        <v>#DIV/0!</v>
      </c>
      <c r="P851" s="12"/>
    </row>
    <row r="852">
      <c r="C852" s="25"/>
      <c r="D852" s="31"/>
      <c r="E852" s="31"/>
      <c r="F852" s="31"/>
      <c r="G852" s="29"/>
      <c r="H852" s="12"/>
      <c r="I852" s="12"/>
      <c r="J852" s="12"/>
      <c r="K852" s="12"/>
      <c r="L852" s="18" t="str">
        <f t="shared" si="1"/>
        <v>#DIV/0!</v>
      </c>
      <c r="M852" s="18" t="str">
        <f t="shared" si="2"/>
        <v>#DIV/0!</v>
      </c>
      <c r="N852" s="12" t="str">
        <f t="shared" si="4"/>
        <v/>
      </c>
      <c r="O852" s="18" t="str">
        <f t="shared" si="3"/>
        <v>#DIV/0!</v>
      </c>
      <c r="P852" s="12"/>
    </row>
    <row r="853">
      <c r="C853" s="25"/>
      <c r="D853" s="31"/>
      <c r="E853" s="31"/>
      <c r="F853" s="31"/>
      <c r="G853" s="29"/>
      <c r="H853" s="12"/>
      <c r="I853" s="12"/>
      <c r="J853" s="12"/>
      <c r="K853" s="12"/>
      <c r="L853" s="18" t="str">
        <f t="shared" si="1"/>
        <v>#DIV/0!</v>
      </c>
      <c r="M853" s="18" t="str">
        <f t="shared" si="2"/>
        <v>#DIV/0!</v>
      </c>
      <c r="N853" s="12" t="str">
        <f t="shared" si="4"/>
        <v/>
      </c>
      <c r="O853" s="18" t="str">
        <f t="shared" si="3"/>
        <v>#DIV/0!</v>
      </c>
      <c r="P853" s="12"/>
    </row>
    <row r="854">
      <c r="C854" s="25"/>
      <c r="D854" s="31"/>
      <c r="E854" s="31"/>
      <c r="F854" s="31"/>
      <c r="G854" s="29"/>
      <c r="H854" s="12"/>
      <c r="I854" s="12"/>
      <c r="J854" s="12"/>
      <c r="K854" s="12"/>
      <c r="L854" s="18" t="str">
        <f t="shared" si="1"/>
        <v>#DIV/0!</v>
      </c>
      <c r="M854" s="18" t="str">
        <f t="shared" si="2"/>
        <v>#DIV/0!</v>
      </c>
      <c r="N854" s="12" t="str">
        <f t="shared" si="4"/>
        <v/>
      </c>
      <c r="O854" s="18" t="str">
        <f t="shared" si="3"/>
        <v>#DIV/0!</v>
      </c>
      <c r="P854" s="12"/>
    </row>
    <row r="855">
      <c r="C855" s="25"/>
      <c r="D855" s="31"/>
      <c r="E855" s="31"/>
      <c r="F855" s="31"/>
      <c r="G855" s="29"/>
      <c r="H855" s="12"/>
      <c r="I855" s="12"/>
      <c r="J855" s="12"/>
      <c r="K855" s="12"/>
      <c r="L855" s="18" t="str">
        <f t="shared" si="1"/>
        <v>#DIV/0!</v>
      </c>
      <c r="M855" s="18" t="str">
        <f t="shared" si="2"/>
        <v>#DIV/0!</v>
      </c>
      <c r="N855" s="12" t="str">
        <f t="shared" si="4"/>
        <v/>
      </c>
      <c r="O855" s="18" t="str">
        <f t="shared" si="3"/>
        <v>#DIV/0!</v>
      </c>
      <c r="P855" s="12"/>
    </row>
    <row r="856">
      <c r="C856" s="25"/>
      <c r="D856" s="31"/>
      <c r="E856" s="31"/>
      <c r="F856" s="31"/>
      <c r="G856" s="29"/>
      <c r="H856" s="12"/>
      <c r="I856" s="12"/>
      <c r="J856" s="12"/>
      <c r="K856" s="12"/>
      <c r="L856" s="18" t="str">
        <f t="shared" si="1"/>
        <v>#DIV/0!</v>
      </c>
      <c r="M856" s="18" t="str">
        <f t="shared" si="2"/>
        <v>#DIV/0!</v>
      </c>
      <c r="N856" s="12" t="str">
        <f t="shared" si="4"/>
        <v/>
      </c>
      <c r="O856" s="18" t="str">
        <f t="shared" si="3"/>
        <v>#DIV/0!</v>
      </c>
      <c r="P856" s="12"/>
    </row>
    <row r="857">
      <c r="C857" s="25"/>
      <c r="D857" s="31"/>
      <c r="E857" s="31"/>
      <c r="F857" s="31"/>
      <c r="G857" s="29"/>
      <c r="H857" s="12"/>
      <c r="I857" s="12"/>
      <c r="J857" s="12"/>
      <c r="K857" s="12"/>
      <c r="L857" s="18" t="str">
        <f t="shared" si="1"/>
        <v>#DIV/0!</v>
      </c>
      <c r="M857" s="18" t="str">
        <f t="shared" si="2"/>
        <v>#DIV/0!</v>
      </c>
      <c r="N857" s="12" t="str">
        <f t="shared" si="4"/>
        <v/>
      </c>
      <c r="O857" s="18" t="str">
        <f t="shared" si="3"/>
        <v>#DIV/0!</v>
      </c>
      <c r="P857" s="12"/>
    </row>
    <row r="858">
      <c r="C858" s="25"/>
      <c r="D858" s="31"/>
      <c r="E858" s="31"/>
      <c r="F858" s="31"/>
      <c r="G858" s="29"/>
      <c r="H858" s="12"/>
      <c r="I858" s="12"/>
      <c r="J858" s="12"/>
      <c r="K858" s="12"/>
      <c r="L858" s="18" t="str">
        <f t="shared" si="1"/>
        <v>#DIV/0!</v>
      </c>
      <c r="M858" s="18" t="str">
        <f t="shared" si="2"/>
        <v>#DIV/0!</v>
      </c>
      <c r="N858" s="12" t="str">
        <f t="shared" si="4"/>
        <v/>
      </c>
      <c r="O858" s="18" t="str">
        <f t="shared" si="3"/>
        <v>#DIV/0!</v>
      </c>
      <c r="P858" s="12"/>
    </row>
    <row r="859">
      <c r="C859" s="25"/>
      <c r="D859" s="31"/>
      <c r="E859" s="31"/>
      <c r="F859" s="31"/>
      <c r="G859" s="29"/>
      <c r="H859" s="12"/>
      <c r="I859" s="12"/>
      <c r="J859" s="12"/>
      <c r="K859" s="12"/>
      <c r="L859" s="18" t="str">
        <f t="shared" si="1"/>
        <v>#DIV/0!</v>
      </c>
      <c r="M859" s="18" t="str">
        <f t="shared" si="2"/>
        <v>#DIV/0!</v>
      </c>
      <c r="N859" s="12" t="str">
        <f t="shared" si="4"/>
        <v/>
      </c>
      <c r="O859" s="18" t="str">
        <f t="shared" si="3"/>
        <v>#DIV/0!</v>
      </c>
      <c r="P859" s="12"/>
    </row>
    <row r="860">
      <c r="C860" s="25"/>
      <c r="D860" s="31"/>
      <c r="E860" s="31"/>
      <c r="F860" s="31"/>
      <c r="G860" s="29"/>
      <c r="H860" s="12"/>
      <c r="I860" s="12"/>
      <c r="J860" s="12"/>
      <c r="K860" s="12"/>
      <c r="L860" s="18" t="str">
        <f t="shared" si="1"/>
        <v>#DIV/0!</v>
      </c>
      <c r="M860" s="18" t="str">
        <f t="shared" si="2"/>
        <v>#DIV/0!</v>
      </c>
      <c r="N860" s="12" t="str">
        <f t="shared" si="4"/>
        <v/>
      </c>
      <c r="O860" s="18" t="str">
        <f t="shared" si="3"/>
        <v>#DIV/0!</v>
      </c>
      <c r="P860" s="12"/>
    </row>
    <row r="861">
      <c r="C861" s="25"/>
      <c r="D861" s="31"/>
      <c r="E861" s="31"/>
      <c r="F861" s="31"/>
      <c r="G861" s="29"/>
      <c r="H861" s="12"/>
      <c r="I861" s="12"/>
      <c r="J861" s="12"/>
      <c r="K861" s="12"/>
      <c r="L861" s="18" t="str">
        <f t="shared" si="1"/>
        <v>#DIV/0!</v>
      </c>
      <c r="M861" s="18" t="str">
        <f t="shared" si="2"/>
        <v>#DIV/0!</v>
      </c>
      <c r="N861" s="12" t="str">
        <f t="shared" si="4"/>
        <v/>
      </c>
      <c r="O861" s="18" t="str">
        <f t="shared" si="3"/>
        <v>#DIV/0!</v>
      </c>
      <c r="P861" s="12"/>
    </row>
    <row r="862">
      <c r="C862" s="25"/>
      <c r="D862" s="31"/>
      <c r="E862" s="31"/>
      <c r="F862" s="31"/>
      <c r="G862" s="29"/>
      <c r="H862" s="12"/>
      <c r="I862" s="12"/>
      <c r="J862" s="12"/>
      <c r="K862" s="12"/>
      <c r="L862" s="18" t="str">
        <f t="shared" si="1"/>
        <v>#DIV/0!</v>
      </c>
      <c r="M862" s="18" t="str">
        <f t="shared" si="2"/>
        <v>#DIV/0!</v>
      </c>
      <c r="N862" s="12" t="str">
        <f t="shared" si="4"/>
        <v/>
      </c>
      <c r="O862" s="18" t="str">
        <f t="shared" si="3"/>
        <v>#DIV/0!</v>
      </c>
      <c r="P862" s="12"/>
    </row>
    <row r="863">
      <c r="C863" s="25"/>
      <c r="D863" s="31"/>
      <c r="E863" s="31"/>
      <c r="F863" s="31"/>
      <c r="G863" s="29"/>
      <c r="H863" s="12"/>
      <c r="I863" s="12"/>
      <c r="J863" s="12"/>
      <c r="K863" s="12"/>
      <c r="L863" s="18" t="str">
        <f t="shared" si="1"/>
        <v>#DIV/0!</v>
      </c>
      <c r="M863" s="18" t="str">
        <f t="shared" si="2"/>
        <v>#DIV/0!</v>
      </c>
      <c r="N863" s="12" t="str">
        <f t="shared" si="4"/>
        <v/>
      </c>
      <c r="O863" s="18" t="str">
        <f t="shared" si="3"/>
        <v>#DIV/0!</v>
      </c>
      <c r="P863" s="12"/>
    </row>
    <row r="864">
      <c r="C864" s="25"/>
      <c r="D864" s="31"/>
      <c r="E864" s="31"/>
      <c r="F864" s="31"/>
      <c r="G864" s="29"/>
      <c r="H864" s="12"/>
      <c r="I864" s="12"/>
      <c r="J864" s="12"/>
      <c r="K864" s="12"/>
      <c r="L864" s="18" t="str">
        <f t="shared" si="1"/>
        <v>#DIV/0!</v>
      </c>
      <c r="M864" s="18" t="str">
        <f t="shared" si="2"/>
        <v>#DIV/0!</v>
      </c>
      <c r="N864" s="12" t="str">
        <f t="shared" si="4"/>
        <v/>
      </c>
      <c r="O864" s="18" t="str">
        <f t="shared" si="3"/>
        <v>#DIV/0!</v>
      </c>
      <c r="P864" s="12"/>
    </row>
    <row r="865">
      <c r="C865" s="25"/>
      <c r="D865" s="31"/>
      <c r="E865" s="31"/>
      <c r="F865" s="31"/>
      <c r="G865" s="29"/>
      <c r="H865" s="12"/>
      <c r="I865" s="12"/>
      <c r="J865" s="12"/>
      <c r="K865" s="12"/>
      <c r="L865" s="18" t="str">
        <f t="shared" si="1"/>
        <v>#DIV/0!</v>
      </c>
      <c r="M865" s="18" t="str">
        <f t="shared" si="2"/>
        <v>#DIV/0!</v>
      </c>
      <c r="N865" s="12" t="str">
        <f t="shared" si="4"/>
        <v/>
      </c>
      <c r="O865" s="18" t="str">
        <f t="shared" si="3"/>
        <v>#DIV/0!</v>
      </c>
      <c r="P865" s="12"/>
    </row>
    <row r="866">
      <c r="C866" s="25"/>
      <c r="D866" s="31"/>
      <c r="E866" s="31"/>
      <c r="F866" s="31"/>
      <c r="G866" s="29"/>
      <c r="H866" s="12"/>
      <c r="I866" s="12"/>
      <c r="J866" s="12"/>
      <c r="K866" s="12"/>
      <c r="L866" s="18" t="str">
        <f t="shared" si="1"/>
        <v>#DIV/0!</v>
      </c>
      <c r="M866" s="18" t="str">
        <f t="shared" si="2"/>
        <v>#DIV/0!</v>
      </c>
      <c r="N866" s="12" t="str">
        <f t="shared" si="4"/>
        <v/>
      </c>
      <c r="O866" s="18" t="str">
        <f t="shared" si="3"/>
        <v>#DIV/0!</v>
      </c>
      <c r="P866" s="12"/>
    </row>
    <row r="867">
      <c r="C867" s="25"/>
      <c r="D867" s="31"/>
      <c r="E867" s="31"/>
      <c r="F867" s="31"/>
      <c r="G867" s="29"/>
      <c r="H867" s="12"/>
      <c r="I867" s="12"/>
      <c r="J867" s="12"/>
      <c r="K867" s="12"/>
      <c r="L867" s="18" t="str">
        <f t="shared" si="1"/>
        <v>#DIV/0!</v>
      </c>
      <c r="M867" s="18" t="str">
        <f t="shared" si="2"/>
        <v>#DIV/0!</v>
      </c>
      <c r="N867" s="12" t="str">
        <f t="shared" si="4"/>
        <v/>
      </c>
      <c r="O867" s="18" t="str">
        <f t="shared" si="3"/>
        <v>#DIV/0!</v>
      </c>
      <c r="P867" s="12"/>
    </row>
    <row r="868">
      <c r="C868" s="25"/>
      <c r="D868" s="31"/>
      <c r="E868" s="31"/>
      <c r="F868" s="31"/>
      <c r="G868" s="29"/>
      <c r="H868" s="12"/>
      <c r="I868" s="12"/>
      <c r="J868" s="12"/>
      <c r="K868" s="12"/>
      <c r="L868" s="18" t="str">
        <f t="shared" si="1"/>
        <v>#DIV/0!</v>
      </c>
      <c r="M868" s="18" t="str">
        <f t="shared" si="2"/>
        <v>#DIV/0!</v>
      </c>
      <c r="N868" s="12" t="str">
        <f t="shared" si="4"/>
        <v/>
      </c>
      <c r="O868" s="18" t="str">
        <f t="shared" si="3"/>
        <v>#DIV/0!</v>
      </c>
      <c r="P868" s="12"/>
    </row>
    <row r="869">
      <c r="C869" s="25"/>
      <c r="D869" s="31"/>
      <c r="E869" s="31"/>
      <c r="F869" s="31"/>
      <c r="G869" s="29"/>
      <c r="H869" s="12"/>
      <c r="I869" s="12"/>
      <c r="J869" s="12"/>
      <c r="K869" s="12"/>
      <c r="L869" s="18" t="str">
        <f t="shared" si="1"/>
        <v>#DIV/0!</v>
      </c>
      <c r="M869" s="18" t="str">
        <f t="shared" si="2"/>
        <v>#DIV/0!</v>
      </c>
      <c r="N869" s="12" t="str">
        <f t="shared" si="4"/>
        <v/>
      </c>
      <c r="O869" s="18" t="str">
        <f t="shared" si="3"/>
        <v>#DIV/0!</v>
      </c>
      <c r="P869" s="12"/>
    </row>
    <row r="870">
      <c r="C870" s="25"/>
      <c r="D870" s="31"/>
      <c r="E870" s="31"/>
      <c r="F870" s="31"/>
      <c r="G870" s="29"/>
      <c r="H870" s="12"/>
      <c r="I870" s="12"/>
      <c r="J870" s="12"/>
      <c r="K870" s="12"/>
      <c r="L870" s="18" t="str">
        <f t="shared" si="1"/>
        <v>#DIV/0!</v>
      </c>
      <c r="M870" s="18" t="str">
        <f t="shared" si="2"/>
        <v>#DIV/0!</v>
      </c>
      <c r="N870" s="12" t="str">
        <f t="shared" si="4"/>
        <v/>
      </c>
      <c r="O870" s="18" t="str">
        <f t="shared" si="3"/>
        <v>#DIV/0!</v>
      </c>
      <c r="P870" s="12"/>
    </row>
    <row r="871">
      <c r="C871" s="25"/>
      <c r="D871" s="31"/>
      <c r="E871" s="31"/>
      <c r="F871" s="31"/>
      <c r="G871" s="29"/>
      <c r="H871" s="12"/>
      <c r="I871" s="12"/>
      <c r="J871" s="12"/>
      <c r="K871" s="12"/>
      <c r="L871" s="18" t="str">
        <f t="shared" si="1"/>
        <v>#DIV/0!</v>
      </c>
      <c r="M871" s="18" t="str">
        <f t="shared" si="2"/>
        <v>#DIV/0!</v>
      </c>
      <c r="N871" s="12" t="str">
        <f t="shared" si="4"/>
        <v/>
      </c>
      <c r="O871" s="18" t="str">
        <f t="shared" si="3"/>
        <v>#DIV/0!</v>
      </c>
      <c r="P871" s="12"/>
    </row>
    <row r="872">
      <c r="C872" s="25"/>
      <c r="D872" s="31"/>
      <c r="E872" s="31"/>
      <c r="F872" s="31"/>
      <c r="G872" s="29"/>
      <c r="H872" s="12"/>
      <c r="I872" s="12"/>
      <c r="J872" s="12"/>
      <c r="K872" s="12"/>
      <c r="L872" s="18" t="str">
        <f t="shared" si="1"/>
        <v>#DIV/0!</v>
      </c>
      <c r="M872" s="18" t="str">
        <f t="shared" si="2"/>
        <v>#DIV/0!</v>
      </c>
      <c r="N872" s="12" t="str">
        <f t="shared" si="4"/>
        <v/>
      </c>
      <c r="O872" s="18" t="str">
        <f t="shared" si="3"/>
        <v>#DIV/0!</v>
      </c>
      <c r="P872" s="12"/>
    </row>
    <row r="873">
      <c r="C873" s="25"/>
      <c r="D873" s="31"/>
      <c r="E873" s="31"/>
      <c r="F873" s="31"/>
      <c r="G873" s="29"/>
      <c r="H873" s="12"/>
      <c r="I873" s="12"/>
      <c r="J873" s="12"/>
      <c r="K873" s="12"/>
      <c r="L873" s="18" t="str">
        <f t="shared" si="1"/>
        <v>#DIV/0!</v>
      </c>
      <c r="M873" s="18" t="str">
        <f t="shared" si="2"/>
        <v>#DIV/0!</v>
      </c>
      <c r="N873" s="12" t="str">
        <f t="shared" si="4"/>
        <v/>
      </c>
      <c r="O873" s="18" t="str">
        <f t="shared" si="3"/>
        <v>#DIV/0!</v>
      </c>
      <c r="P873" s="12"/>
    </row>
    <row r="874">
      <c r="C874" s="25"/>
      <c r="D874" s="31"/>
      <c r="E874" s="31"/>
      <c r="F874" s="31"/>
      <c r="G874" s="29"/>
      <c r="H874" s="12"/>
      <c r="I874" s="12"/>
      <c r="J874" s="12"/>
      <c r="K874" s="12"/>
      <c r="L874" s="18" t="str">
        <f t="shared" si="1"/>
        <v>#DIV/0!</v>
      </c>
      <c r="M874" s="18" t="str">
        <f t="shared" si="2"/>
        <v>#DIV/0!</v>
      </c>
      <c r="N874" s="12" t="str">
        <f t="shared" si="4"/>
        <v/>
      </c>
      <c r="O874" s="18" t="str">
        <f t="shared" si="3"/>
        <v>#DIV/0!</v>
      </c>
      <c r="P874" s="12"/>
    </row>
    <row r="875">
      <c r="C875" s="25"/>
      <c r="D875" s="31"/>
      <c r="E875" s="31"/>
      <c r="F875" s="31"/>
      <c r="G875" s="29"/>
      <c r="H875" s="12"/>
      <c r="I875" s="12"/>
      <c r="J875" s="12"/>
      <c r="K875" s="12"/>
      <c r="L875" s="18" t="str">
        <f t="shared" si="1"/>
        <v>#DIV/0!</v>
      </c>
      <c r="M875" s="18" t="str">
        <f t="shared" si="2"/>
        <v>#DIV/0!</v>
      </c>
      <c r="N875" s="12" t="str">
        <f t="shared" si="4"/>
        <v/>
      </c>
      <c r="O875" s="18" t="str">
        <f t="shared" si="3"/>
        <v>#DIV/0!</v>
      </c>
      <c r="P875" s="12"/>
    </row>
    <row r="876">
      <c r="C876" s="25"/>
      <c r="D876" s="31"/>
      <c r="E876" s="31"/>
      <c r="F876" s="31"/>
      <c r="G876" s="29"/>
      <c r="H876" s="12"/>
      <c r="I876" s="12"/>
      <c r="J876" s="12"/>
      <c r="K876" s="12"/>
      <c r="L876" s="18" t="str">
        <f t="shared" si="1"/>
        <v>#DIV/0!</v>
      </c>
      <c r="M876" s="18" t="str">
        <f t="shared" si="2"/>
        <v>#DIV/0!</v>
      </c>
      <c r="N876" s="12" t="str">
        <f t="shared" si="4"/>
        <v/>
      </c>
      <c r="O876" s="18" t="str">
        <f t="shared" si="3"/>
        <v>#DIV/0!</v>
      </c>
      <c r="P876" s="12"/>
    </row>
    <row r="877">
      <c r="C877" s="25"/>
      <c r="D877" s="31"/>
      <c r="E877" s="31"/>
      <c r="F877" s="31"/>
      <c r="G877" s="29"/>
      <c r="H877" s="12"/>
      <c r="I877" s="12"/>
      <c r="J877" s="12"/>
      <c r="K877" s="12"/>
      <c r="L877" s="18" t="str">
        <f t="shared" si="1"/>
        <v>#DIV/0!</v>
      </c>
      <c r="M877" s="18" t="str">
        <f t="shared" si="2"/>
        <v>#DIV/0!</v>
      </c>
      <c r="N877" s="12" t="str">
        <f t="shared" si="4"/>
        <v/>
      </c>
      <c r="O877" s="18" t="str">
        <f t="shared" si="3"/>
        <v>#DIV/0!</v>
      </c>
      <c r="P877" s="12"/>
    </row>
    <row r="878">
      <c r="C878" s="25"/>
      <c r="D878" s="31"/>
      <c r="E878" s="31"/>
      <c r="F878" s="31"/>
      <c r="G878" s="29"/>
      <c r="H878" s="12"/>
      <c r="I878" s="12"/>
      <c r="J878" s="12"/>
      <c r="K878" s="12"/>
      <c r="L878" s="18" t="str">
        <f t="shared" si="1"/>
        <v>#DIV/0!</v>
      </c>
      <c r="M878" s="18" t="str">
        <f t="shared" si="2"/>
        <v>#DIV/0!</v>
      </c>
      <c r="N878" s="12" t="str">
        <f t="shared" si="4"/>
        <v/>
      </c>
      <c r="O878" s="18" t="str">
        <f t="shared" si="3"/>
        <v>#DIV/0!</v>
      </c>
      <c r="P878" s="12"/>
    </row>
    <row r="879">
      <c r="C879" s="25"/>
      <c r="D879" s="31"/>
      <c r="E879" s="31"/>
      <c r="F879" s="31"/>
      <c r="G879" s="29"/>
      <c r="H879" s="12"/>
      <c r="I879" s="12"/>
      <c r="J879" s="12"/>
      <c r="K879" s="12"/>
      <c r="L879" s="18" t="str">
        <f t="shared" si="1"/>
        <v>#DIV/0!</v>
      </c>
      <c r="M879" s="18" t="str">
        <f t="shared" si="2"/>
        <v>#DIV/0!</v>
      </c>
      <c r="N879" s="12" t="str">
        <f t="shared" si="4"/>
        <v/>
      </c>
      <c r="O879" s="18" t="str">
        <f t="shared" si="3"/>
        <v>#DIV/0!</v>
      </c>
      <c r="P879" s="12"/>
    </row>
    <row r="880">
      <c r="C880" s="25"/>
      <c r="D880" s="31"/>
      <c r="E880" s="31"/>
      <c r="F880" s="31"/>
      <c r="G880" s="29"/>
      <c r="H880" s="12"/>
      <c r="I880" s="12"/>
      <c r="J880" s="12"/>
      <c r="K880" s="12"/>
      <c r="L880" s="18" t="str">
        <f t="shared" si="1"/>
        <v>#DIV/0!</v>
      </c>
      <c r="M880" s="18" t="str">
        <f t="shared" si="2"/>
        <v>#DIV/0!</v>
      </c>
      <c r="N880" s="12" t="str">
        <f t="shared" si="4"/>
        <v/>
      </c>
      <c r="O880" s="18" t="str">
        <f t="shared" si="3"/>
        <v>#DIV/0!</v>
      </c>
      <c r="P880" s="12"/>
    </row>
    <row r="881">
      <c r="C881" s="25"/>
      <c r="D881" s="31"/>
      <c r="E881" s="31"/>
      <c r="F881" s="31"/>
      <c r="G881" s="29"/>
      <c r="H881" s="12"/>
      <c r="I881" s="12"/>
      <c r="J881" s="12"/>
      <c r="K881" s="12"/>
      <c r="L881" s="18" t="str">
        <f t="shared" si="1"/>
        <v>#DIV/0!</v>
      </c>
      <c r="M881" s="18" t="str">
        <f t="shared" si="2"/>
        <v>#DIV/0!</v>
      </c>
      <c r="N881" s="12" t="str">
        <f t="shared" si="4"/>
        <v/>
      </c>
      <c r="O881" s="18" t="str">
        <f t="shared" si="3"/>
        <v>#DIV/0!</v>
      </c>
      <c r="P881" s="12"/>
    </row>
    <row r="882">
      <c r="C882" s="25"/>
      <c r="D882" s="31"/>
      <c r="E882" s="31"/>
      <c r="F882" s="31"/>
      <c r="G882" s="29"/>
      <c r="H882" s="12"/>
      <c r="I882" s="12"/>
      <c r="J882" s="12"/>
      <c r="K882" s="12"/>
      <c r="L882" s="18" t="str">
        <f t="shared" si="1"/>
        <v>#DIV/0!</v>
      </c>
      <c r="M882" s="18" t="str">
        <f t="shared" si="2"/>
        <v>#DIV/0!</v>
      </c>
      <c r="N882" s="12" t="str">
        <f t="shared" si="4"/>
        <v/>
      </c>
      <c r="O882" s="18" t="str">
        <f t="shared" si="3"/>
        <v>#DIV/0!</v>
      </c>
      <c r="P882" s="12"/>
    </row>
    <row r="883">
      <c r="C883" s="25"/>
      <c r="D883" s="31"/>
      <c r="E883" s="31"/>
      <c r="F883" s="31"/>
      <c r="G883" s="29"/>
      <c r="H883" s="12"/>
      <c r="I883" s="12"/>
      <c r="J883" s="12"/>
      <c r="K883" s="12"/>
      <c r="L883" s="18" t="str">
        <f t="shared" si="1"/>
        <v>#DIV/0!</v>
      </c>
      <c r="M883" s="18" t="str">
        <f t="shared" si="2"/>
        <v>#DIV/0!</v>
      </c>
      <c r="N883" s="12" t="str">
        <f t="shared" si="4"/>
        <v/>
      </c>
      <c r="O883" s="18" t="str">
        <f t="shared" si="3"/>
        <v>#DIV/0!</v>
      </c>
      <c r="P883" s="12"/>
    </row>
    <row r="884">
      <c r="C884" s="25"/>
      <c r="D884" s="31"/>
      <c r="E884" s="31"/>
      <c r="F884" s="31"/>
      <c r="G884" s="29"/>
      <c r="H884" s="12"/>
      <c r="I884" s="12"/>
      <c r="J884" s="12"/>
      <c r="K884" s="12"/>
      <c r="L884" s="18" t="str">
        <f t="shared" si="1"/>
        <v>#DIV/0!</v>
      </c>
      <c r="M884" s="18" t="str">
        <f t="shared" si="2"/>
        <v>#DIV/0!</v>
      </c>
      <c r="N884" s="12" t="str">
        <f t="shared" si="4"/>
        <v/>
      </c>
      <c r="O884" s="18" t="str">
        <f t="shared" si="3"/>
        <v>#DIV/0!</v>
      </c>
      <c r="P884" s="12"/>
    </row>
    <row r="885">
      <c r="C885" s="25"/>
      <c r="D885" s="31"/>
      <c r="E885" s="31"/>
      <c r="F885" s="31"/>
      <c r="G885" s="29"/>
      <c r="H885" s="12"/>
      <c r="I885" s="12"/>
      <c r="J885" s="12"/>
      <c r="K885" s="12"/>
      <c r="L885" s="18" t="str">
        <f t="shared" si="1"/>
        <v>#DIV/0!</v>
      </c>
      <c r="M885" s="18" t="str">
        <f t="shared" si="2"/>
        <v>#DIV/0!</v>
      </c>
      <c r="N885" s="12" t="str">
        <f t="shared" si="4"/>
        <v/>
      </c>
      <c r="O885" s="18" t="str">
        <f t="shared" si="3"/>
        <v>#DIV/0!</v>
      </c>
      <c r="P885" s="12"/>
    </row>
    <row r="886">
      <c r="C886" s="25"/>
      <c r="D886" s="31"/>
      <c r="E886" s="31"/>
      <c r="F886" s="31"/>
      <c r="G886" s="29"/>
      <c r="H886" s="12"/>
      <c r="I886" s="12"/>
      <c r="J886" s="12"/>
      <c r="K886" s="12"/>
      <c r="L886" s="18" t="str">
        <f t="shared" si="1"/>
        <v>#DIV/0!</v>
      </c>
      <c r="M886" s="18" t="str">
        <f t="shared" si="2"/>
        <v>#DIV/0!</v>
      </c>
      <c r="N886" s="12" t="str">
        <f t="shared" si="4"/>
        <v/>
      </c>
      <c r="O886" s="18" t="str">
        <f t="shared" si="3"/>
        <v>#DIV/0!</v>
      </c>
      <c r="P886" s="12"/>
    </row>
    <row r="887">
      <c r="C887" s="25"/>
      <c r="D887" s="31"/>
      <c r="E887" s="31"/>
      <c r="F887" s="31"/>
      <c r="G887" s="29"/>
      <c r="H887" s="12"/>
      <c r="I887" s="12"/>
      <c r="J887" s="12"/>
      <c r="K887" s="12"/>
      <c r="L887" s="18" t="str">
        <f t="shared" si="1"/>
        <v>#DIV/0!</v>
      </c>
      <c r="M887" s="18" t="str">
        <f t="shared" si="2"/>
        <v>#DIV/0!</v>
      </c>
      <c r="N887" s="12" t="str">
        <f t="shared" si="4"/>
        <v/>
      </c>
      <c r="O887" s="18" t="str">
        <f t="shared" si="3"/>
        <v>#DIV/0!</v>
      </c>
      <c r="P887" s="12"/>
    </row>
    <row r="888">
      <c r="C888" s="25"/>
      <c r="D888" s="31"/>
      <c r="E888" s="31"/>
      <c r="F888" s="31"/>
      <c r="G888" s="29"/>
      <c r="H888" s="12"/>
      <c r="I888" s="12"/>
      <c r="J888" s="12"/>
      <c r="K888" s="12"/>
      <c r="L888" s="18" t="str">
        <f t="shared" si="1"/>
        <v>#DIV/0!</v>
      </c>
      <c r="M888" s="18" t="str">
        <f t="shared" si="2"/>
        <v>#DIV/0!</v>
      </c>
      <c r="N888" s="12" t="str">
        <f t="shared" si="4"/>
        <v/>
      </c>
      <c r="O888" s="18" t="str">
        <f t="shared" si="3"/>
        <v>#DIV/0!</v>
      </c>
      <c r="P888" s="12"/>
    </row>
    <row r="889">
      <c r="C889" s="25"/>
      <c r="D889" s="31"/>
      <c r="E889" s="31"/>
      <c r="F889" s="31"/>
      <c r="G889" s="29"/>
      <c r="H889" s="12"/>
      <c r="I889" s="12"/>
      <c r="J889" s="12"/>
      <c r="K889" s="12"/>
      <c r="L889" s="18" t="str">
        <f t="shared" si="1"/>
        <v>#DIV/0!</v>
      </c>
      <c r="M889" s="18" t="str">
        <f t="shared" si="2"/>
        <v>#DIV/0!</v>
      </c>
      <c r="N889" s="12" t="str">
        <f t="shared" si="4"/>
        <v/>
      </c>
      <c r="O889" s="18" t="str">
        <f t="shared" si="3"/>
        <v>#DIV/0!</v>
      </c>
      <c r="P889" s="12"/>
    </row>
    <row r="890">
      <c r="C890" s="25"/>
      <c r="D890" s="31"/>
      <c r="E890" s="31"/>
      <c r="F890" s="31"/>
      <c r="G890" s="29"/>
      <c r="H890" s="12"/>
      <c r="I890" s="12"/>
      <c r="J890" s="12"/>
      <c r="K890" s="12"/>
      <c r="L890" s="18" t="str">
        <f t="shared" si="1"/>
        <v>#DIV/0!</v>
      </c>
      <c r="M890" s="18" t="str">
        <f t="shared" si="2"/>
        <v>#DIV/0!</v>
      </c>
      <c r="N890" s="12" t="str">
        <f t="shared" si="4"/>
        <v/>
      </c>
      <c r="O890" s="18" t="str">
        <f t="shared" si="3"/>
        <v>#DIV/0!</v>
      </c>
      <c r="P890" s="12"/>
    </row>
    <row r="891">
      <c r="C891" s="25"/>
      <c r="D891" s="31"/>
      <c r="E891" s="31"/>
      <c r="F891" s="31"/>
      <c r="G891" s="29"/>
      <c r="H891" s="12"/>
      <c r="I891" s="12"/>
      <c r="J891" s="12"/>
      <c r="K891" s="12"/>
      <c r="L891" s="18" t="str">
        <f t="shared" si="1"/>
        <v>#DIV/0!</v>
      </c>
      <c r="M891" s="18" t="str">
        <f t="shared" si="2"/>
        <v>#DIV/0!</v>
      </c>
      <c r="N891" s="12" t="str">
        <f t="shared" si="4"/>
        <v/>
      </c>
      <c r="O891" s="18" t="str">
        <f t="shared" si="3"/>
        <v>#DIV/0!</v>
      </c>
      <c r="P891" s="12"/>
    </row>
    <row r="892">
      <c r="C892" s="25"/>
      <c r="D892" s="31"/>
      <c r="E892" s="31"/>
      <c r="F892" s="31"/>
      <c r="G892" s="29"/>
      <c r="H892" s="12"/>
      <c r="I892" s="12"/>
      <c r="J892" s="12"/>
      <c r="K892" s="12"/>
      <c r="L892" s="18" t="str">
        <f t="shared" si="1"/>
        <v>#DIV/0!</v>
      </c>
      <c r="M892" s="18" t="str">
        <f t="shared" si="2"/>
        <v>#DIV/0!</v>
      </c>
      <c r="N892" s="12" t="str">
        <f t="shared" si="4"/>
        <v/>
      </c>
      <c r="O892" s="18" t="str">
        <f t="shared" si="3"/>
        <v>#DIV/0!</v>
      </c>
      <c r="P892" s="12"/>
    </row>
    <row r="893">
      <c r="C893" s="25"/>
      <c r="D893" s="31"/>
      <c r="E893" s="31"/>
      <c r="F893" s="31"/>
      <c r="G893" s="29"/>
      <c r="H893" s="12"/>
      <c r="I893" s="12"/>
      <c r="J893" s="12"/>
      <c r="K893" s="12"/>
      <c r="L893" s="18" t="str">
        <f t="shared" si="1"/>
        <v>#DIV/0!</v>
      </c>
      <c r="M893" s="18" t="str">
        <f t="shared" si="2"/>
        <v>#DIV/0!</v>
      </c>
      <c r="N893" s="12" t="str">
        <f t="shared" si="4"/>
        <v/>
      </c>
      <c r="O893" s="18" t="str">
        <f t="shared" si="3"/>
        <v>#DIV/0!</v>
      </c>
      <c r="P893" s="12"/>
    </row>
    <row r="894">
      <c r="C894" s="25"/>
      <c r="D894" s="31"/>
      <c r="E894" s="31"/>
      <c r="F894" s="31"/>
      <c r="G894" s="29"/>
      <c r="H894" s="12"/>
      <c r="I894" s="12"/>
      <c r="J894" s="12"/>
      <c r="K894" s="12"/>
      <c r="L894" s="18" t="str">
        <f t="shared" si="1"/>
        <v>#DIV/0!</v>
      </c>
      <c r="M894" s="18" t="str">
        <f t="shared" si="2"/>
        <v>#DIV/0!</v>
      </c>
      <c r="N894" s="12" t="str">
        <f t="shared" si="4"/>
        <v/>
      </c>
      <c r="O894" s="18" t="str">
        <f t="shared" si="3"/>
        <v>#DIV/0!</v>
      </c>
      <c r="P894" s="12"/>
    </row>
    <row r="895">
      <c r="C895" s="25"/>
      <c r="D895" s="31"/>
      <c r="E895" s="31"/>
      <c r="F895" s="31"/>
      <c r="G895" s="29"/>
      <c r="H895" s="12"/>
      <c r="I895" s="12"/>
      <c r="J895" s="12"/>
      <c r="K895" s="12"/>
      <c r="L895" s="18" t="str">
        <f t="shared" si="1"/>
        <v>#DIV/0!</v>
      </c>
      <c r="M895" s="18" t="str">
        <f t="shared" si="2"/>
        <v>#DIV/0!</v>
      </c>
      <c r="N895" s="12" t="str">
        <f t="shared" si="4"/>
        <v/>
      </c>
      <c r="O895" s="18" t="str">
        <f t="shared" si="3"/>
        <v>#DIV/0!</v>
      </c>
      <c r="P895" s="12"/>
    </row>
    <row r="896">
      <c r="C896" s="25"/>
      <c r="D896" s="31"/>
      <c r="E896" s="31"/>
      <c r="F896" s="31"/>
      <c r="G896" s="29"/>
      <c r="H896" s="12"/>
      <c r="I896" s="12"/>
      <c r="J896" s="12"/>
      <c r="K896" s="12"/>
      <c r="L896" s="18" t="str">
        <f t="shared" si="1"/>
        <v>#DIV/0!</v>
      </c>
      <c r="M896" s="18" t="str">
        <f t="shared" si="2"/>
        <v>#DIV/0!</v>
      </c>
      <c r="N896" s="12" t="str">
        <f t="shared" si="4"/>
        <v/>
      </c>
      <c r="O896" s="18" t="str">
        <f t="shared" si="3"/>
        <v>#DIV/0!</v>
      </c>
      <c r="P896" s="12"/>
    </row>
    <row r="897">
      <c r="C897" s="25"/>
      <c r="D897" s="31"/>
      <c r="E897" s="31"/>
      <c r="F897" s="31"/>
      <c r="G897" s="29"/>
      <c r="H897" s="12"/>
      <c r="I897" s="12"/>
      <c r="J897" s="12"/>
      <c r="K897" s="12"/>
      <c r="L897" s="18" t="str">
        <f t="shared" si="1"/>
        <v>#DIV/0!</v>
      </c>
      <c r="M897" s="18" t="str">
        <f t="shared" si="2"/>
        <v>#DIV/0!</v>
      </c>
      <c r="N897" s="12" t="str">
        <f t="shared" si="4"/>
        <v/>
      </c>
      <c r="O897" s="18" t="str">
        <f t="shared" si="3"/>
        <v>#DIV/0!</v>
      </c>
      <c r="P897" s="12"/>
    </row>
    <row r="898">
      <c r="C898" s="25"/>
      <c r="D898" s="31"/>
      <c r="E898" s="31"/>
      <c r="F898" s="31"/>
      <c r="G898" s="29"/>
      <c r="H898" s="12"/>
      <c r="I898" s="12"/>
      <c r="J898" s="12"/>
      <c r="K898" s="12"/>
      <c r="L898" s="18" t="str">
        <f t="shared" si="1"/>
        <v>#DIV/0!</v>
      </c>
      <c r="M898" s="18" t="str">
        <f t="shared" si="2"/>
        <v>#DIV/0!</v>
      </c>
      <c r="N898" s="12" t="str">
        <f t="shared" si="4"/>
        <v/>
      </c>
      <c r="O898" s="18" t="str">
        <f t="shared" si="3"/>
        <v>#DIV/0!</v>
      </c>
      <c r="P898" s="12"/>
    </row>
    <row r="899">
      <c r="C899" s="25"/>
      <c r="D899" s="31"/>
      <c r="E899" s="31"/>
      <c r="F899" s="31"/>
      <c r="G899" s="29"/>
      <c r="H899" s="12"/>
      <c r="I899" s="12"/>
      <c r="J899" s="12"/>
      <c r="K899" s="12"/>
      <c r="L899" s="18" t="str">
        <f t="shared" si="1"/>
        <v>#DIV/0!</v>
      </c>
      <c r="M899" s="18" t="str">
        <f t="shared" si="2"/>
        <v>#DIV/0!</v>
      </c>
      <c r="N899" s="12" t="str">
        <f t="shared" si="4"/>
        <v/>
      </c>
      <c r="O899" s="18" t="str">
        <f t="shared" si="3"/>
        <v>#DIV/0!</v>
      </c>
      <c r="P899" s="12"/>
    </row>
    <row r="900">
      <c r="C900" s="25"/>
      <c r="D900" s="31"/>
      <c r="E900" s="31"/>
      <c r="F900" s="31"/>
      <c r="G900" s="29"/>
      <c r="H900" s="12"/>
      <c r="I900" s="12"/>
      <c r="J900" s="12"/>
      <c r="K900" s="12"/>
      <c r="L900" s="18" t="str">
        <f t="shared" si="1"/>
        <v>#DIV/0!</v>
      </c>
      <c r="M900" s="18" t="str">
        <f t="shared" si="2"/>
        <v>#DIV/0!</v>
      </c>
      <c r="N900" s="12" t="str">
        <f t="shared" si="4"/>
        <v/>
      </c>
      <c r="O900" s="18" t="str">
        <f t="shared" si="3"/>
        <v>#DIV/0!</v>
      </c>
      <c r="P900" s="12"/>
    </row>
    <row r="901">
      <c r="C901" s="25"/>
      <c r="D901" s="31"/>
      <c r="E901" s="31"/>
      <c r="F901" s="31"/>
      <c r="G901" s="29"/>
      <c r="H901" s="12"/>
      <c r="I901" s="12"/>
      <c r="J901" s="12"/>
      <c r="K901" s="12"/>
      <c r="L901" s="18" t="str">
        <f t="shared" si="1"/>
        <v>#DIV/0!</v>
      </c>
      <c r="M901" s="18" t="str">
        <f t="shared" si="2"/>
        <v>#DIV/0!</v>
      </c>
      <c r="N901" s="12" t="str">
        <f t="shared" si="4"/>
        <v/>
      </c>
      <c r="O901" s="18" t="str">
        <f t="shared" si="3"/>
        <v>#DIV/0!</v>
      </c>
      <c r="P901" s="12"/>
    </row>
    <row r="902">
      <c r="C902" s="25"/>
      <c r="D902" s="31"/>
      <c r="E902" s="31"/>
      <c r="F902" s="31"/>
      <c r="G902" s="29"/>
      <c r="H902" s="12"/>
      <c r="I902" s="12"/>
      <c r="J902" s="12"/>
      <c r="K902" s="12"/>
      <c r="L902" s="18" t="str">
        <f t="shared" si="1"/>
        <v>#DIV/0!</v>
      </c>
      <c r="M902" s="18" t="str">
        <f t="shared" si="2"/>
        <v>#DIV/0!</v>
      </c>
      <c r="N902" s="12" t="str">
        <f t="shared" si="4"/>
        <v/>
      </c>
      <c r="O902" s="18" t="str">
        <f t="shared" si="3"/>
        <v>#DIV/0!</v>
      </c>
      <c r="P902" s="12"/>
    </row>
    <row r="903">
      <c r="C903" s="25"/>
      <c r="D903" s="31"/>
      <c r="E903" s="31"/>
      <c r="F903" s="31"/>
      <c r="G903" s="29"/>
      <c r="H903" s="12"/>
      <c r="I903" s="12"/>
      <c r="J903" s="12"/>
      <c r="K903" s="12"/>
      <c r="L903" s="18" t="str">
        <f t="shared" si="1"/>
        <v>#DIV/0!</v>
      </c>
      <c r="M903" s="18" t="str">
        <f t="shared" si="2"/>
        <v>#DIV/0!</v>
      </c>
      <c r="N903" s="12" t="str">
        <f t="shared" si="4"/>
        <v/>
      </c>
      <c r="O903" s="18" t="str">
        <f t="shared" si="3"/>
        <v>#DIV/0!</v>
      </c>
      <c r="P903" s="12"/>
    </row>
    <row r="904">
      <c r="C904" s="25"/>
      <c r="D904" s="31"/>
      <c r="E904" s="31"/>
      <c r="F904" s="31"/>
      <c r="G904" s="29"/>
      <c r="H904" s="12"/>
      <c r="I904" s="12"/>
      <c r="J904" s="12"/>
      <c r="K904" s="12"/>
      <c r="L904" s="18" t="str">
        <f t="shared" si="1"/>
        <v>#DIV/0!</v>
      </c>
      <c r="M904" s="18" t="str">
        <f t="shared" si="2"/>
        <v>#DIV/0!</v>
      </c>
      <c r="N904" s="12" t="str">
        <f t="shared" si="4"/>
        <v/>
      </c>
      <c r="O904" s="18" t="str">
        <f t="shared" si="3"/>
        <v>#DIV/0!</v>
      </c>
      <c r="P904" s="12"/>
    </row>
    <row r="905">
      <c r="C905" s="25"/>
      <c r="D905" s="31"/>
      <c r="E905" s="31"/>
      <c r="F905" s="31"/>
      <c r="G905" s="29"/>
      <c r="H905" s="12"/>
      <c r="I905" s="12"/>
      <c r="J905" s="12"/>
      <c r="K905" s="12"/>
      <c r="L905" s="18" t="str">
        <f t="shared" si="1"/>
        <v>#DIV/0!</v>
      </c>
      <c r="M905" s="18" t="str">
        <f t="shared" si="2"/>
        <v>#DIV/0!</v>
      </c>
      <c r="N905" s="12" t="str">
        <f t="shared" si="4"/>
        <v/>
      </c>
      <c r="O905" s="18" t="str">
        <f t="shared" si="3"/>
        <v>#DIV/0!</v>
      </c>
      <c r="P905" s="12"/>
    </row>
    <row r="906">
      <c r="C906" s="25"/>
      <c r="D906" s="31"/>
      <c r="E906" s="31"/>
      <c r="F906" s="31"/>
      <c r="G906" s="29"/>
      <c r="H906" s="12"/>
      <c r="I906" s="12"/>
      <c r="J906" s="12"/>
      <c r="K906" s="12"/>
      <c r="L906" s="18" t="str">
        <f t="shared" si="1"/>
        <v>#DIV/0!</v>
      </c>
      <c r="M906" s="18" t="str">
        <f t="shared" si="2"/>
        <v>#DIV/0!</v>
      </c>
      <c r="N906" s="12" t="str">
        <f t="shared" si="4"/>
        <v/>
      </c>
      <c r="O906" s="18" t="str">
        <f t="shared" si="3"/>
        <v>#DIV/0!</v>
      </c>
      <c r="P906" s="12"/>
    </row>
    <row r="907">
      <c r="C907" s="25"/>
      <c r="D907" s="31"/>
      <c r="E907" s="31"/>
      <c r="F907" s="31"/>
      <c r="G907" s="29"/>
      <c r="H907" s="12"/>
      <c r="I907" s="12"/>
      <c r="J907" s="12"/>
      <c r="K907" s="12"/>
      <c r="L907" s="18" t="str">
        <f t="shared" si="1"/>
        <v>#DIV/0!</v>
      </c>
      <c r="M907" s="18" t="str">
        <f t="shared" si="2"/>
        <v>#DIV/0!</v>
      </c>
      <c r="N907" s="12" t="str">
        <f t="shared" si="4"/>
        <v/>
      </c>
      <c r="O907" s="18" t="str">
        <f t="shared" si="3"/>
        <v>#DIV/0!</v>
      </c>
      <c r="P907" s="12"/>
    </row>
    <row r="908">
      <c r="C908" s="25"/>
      <c r="D908" s="31"/>
      <c r="E908" s="31"/>
      <c r="F908" s="31"/>
      <c r="G908" s="29"/>
      <c r="H908" s="12"/>
      <c r="I908" s="12"/>
      <c r="J908" s="12"/>
      <c r="K908" s="12"/>
      <c r="L908" s="18" t="str">
        <f t="shared" si="1"/>
        <v>#DIV/0!</v>
      </c>
      <c r="M908" s="18" t="str">
        <f t="shared" si="2"/>
        <v>#DIV/0!</v>
      </c>
      <c r="N908" s="12" t="str">
        <f t="shared" si="4"/>
        <v/>
      </c>
      <c r="O908" s="18" t="str">
        <f t="shared" si="3"/>
        <v>#DIV/0!</v>
      </c>
      <c r="P908" s="12"/>
    </row>
    <row r="909">
      <c r="C909" s="25"/>
      <c r="D909" s="31"/>
      <c r="E909" s="31"/>
      <c r="F909" s="31"/>
      <c r="G909" s="29"/>
      <c r="H909" s="12"/>
      <c r="I909" s="12"/>
      <c r="J909" s="12"/>
      <c r="K909" s="12"/>
      <c r="L909" s="18" t="str">
        <f t="shared" si="1"/>
        <v>#DIV/0!</v>
      </c>
      <c r="M909" s="18" t="str">
        <f t="shared" si="2"/>
        <v>#DIV/0!</v>
      </c>
      <c r="N909" s="12" t="str">
        <f t="shared" si="4"/>
        <v/>
      </c>
      <c r="O909" s="18" t="str">
        <f t="shared" si="3"/>
        <v>#DIV/0!</v>
      </c>
      <c r="P909" s="12"/>
    </row>
    <row r="910">
      <c r="C910" s="25"/>
      <c r="D910" s="31"/>
      <c r="E910" s="31"/>
      <c r="F910" s="31"/>
      <c r="G910" s="29"/>
      <c r="H910" s="12"/>
      <c r="I910" s="12"/>
      <c r="J910" s="12"/>
      <c r="K910" s="12"/>
      <c r="L910" s="18" t="str">
        <f t="shared" si="1"/>
        <v>#DIV/0!</v>
      </c>
      <c r="M910" s="18" t="str">
        <f t="shared" si="2"/>
        <v>#DIV/0!</v>
      </c>
      <c r="N910" s="12" t="str">
        <f t="shared" si="4"/>
        <v/>
      </c>
      <c r="O910" s="18" t="str">
        <f t="shared" si="3"/>
        <v>#DIV/0!</v>
      </c>
      <c r="P910" s="12"/>
    </row>
    <row r="911">
      <c r="C911" s="25"/>
      <c r="D911" s="31"/>
      <c r="E911" s="31"/>
      <c r="F911" s="31"/>
      <c r="G911" s="29"/>
      <c r="H911" s="12"/>
      <c r="I911" s="12"/>
      <c r="J911" s="12"/>
      <c r="K911" s="12"/>
      <c r="L911" s="18" t="str">
        <f t="shared" si="1"/>
        <v>#DIV/0!</v>
      </c>
      <c r="M911" s="18" t="str">
        <f t="shared" si="2"/>
        <v>#DIV/0!</v>
      </c>
      <c r="N911" s="12" t="str">
        <f t="shared" si="4"/>
        <v/>
      </c>
      <c r="O911" s="18" t="str">
        <f t="shared" si="3"/>
        <v>#DIV/0!</v>
      </c>
      <c r="P911" s="12"/>
    </row>
    <row r="912">
      <c r="C912" s="25"/>
      <c r="D912" s="31"/>
      <c r="E912" s="31"/>
      <c r="F912" s="31"/>
      <c r="G912" s="29"/>
      <c r="H912" s="12"/>
      <c r="I912" s="12"/>
      <c r="J912" s="12"/>
      <c r="K912" s="12"/>
      <c r="L912" s="18" t="str">
        <f t="shared" si="1"/>
        <v>#DIV/0!</v>
      </c>
      <c r="M912" s="18" t="str">
        <f t="shared" si="2"/>
        <v>#DIV/0!</v>
      </c>
      <c r="N912" s="12" t="str">
        <f t="shared" si="4"/>
        <v/>
      </c>
      <c r="O912" s="18" t="str">
        <f t="shared" si="3"/>
        <v>#DIV/0!</v>
      </c>
      <c r="P912" s="12"/>
    </row>
    <row r="913">
      <c r="C913" s="25"/>
      <c r="D913" s="31"/>
      <c r="E913" s="31"/>
      <c r="F913" s="31"/>
      <c r="G913" s="29"/>
      <c r="H913" s="12"/>
      <c r="I913" s="12"/>
      <c r="J913" s="12"/>
      <c r="K913" s="12"/>
      <c r="L913" s="18" t="str">
        <f t="shared" si="1"/>
        <v>#DIV/0!</v>
      </c>
      <c r="M913" s="18" t="str">
        <f t="shared" si="2"/>
        <v>#DIV/0!</v>
      </c>
      <c r="N913" s="12" t="str">
        <f t="shared" si="4"/>
        <v/>
      </c>
      <c r="O913" s="18" t="str">
        <f t="shared" si="3"/>
        <v>#DIV/0!</v>
      </c>
      <c r="P913" s="12"/>
    </row>
    <row r="914">
      <c r="C914" s="25"/>
      <c r="D914" s="31"/>
      <c r="E914" s="31"/>
      <c r="F914" s="31"/>
      <c r="G914" s="29"/>
      <c r="H914" s="12"/>
      <c r="I914" s="12"/>
      <c r="J914" s="12"/>
      <c r="K914" s="12"/>
      <c r="L914" s="18" t="str">
        <f t="shared" si="1"/>
        <v>#DIV/0!</v>
      </c>
      <c r="M914" s="18" t="str">
        <f t="shared" si="2"/>
        <v>#DIV/0!</v>
      </c>
      <c r="N914" s="12" t="str">
        <f t="shared" si="4"/>
        <v/>
      </c>
      <c r="O914" s="18" t="str">
        <f t="shared" si="3"/>
        <v>#DIV/0!</v>
      </c>
      <c r="P914" s="12"/>
    </row>
    <row r="915">
      <c r="C915" s="25"/>
      <c r="D915" s="31"/>
      <c r="E915" s="31"/>
      <c r="F915" s="31"/>
      <c r="G915" s="29"/>
      <c r="H915" s="12"/>
      <c r="I915" s="12"/>
      <c r="J915" s="12"/>
      <c r="K915" s="12"/>
      <c r="L915" s="18" t="str">
        <f t="shared" si="1"/>
        <v>#DIV/0!</v>
      </c>
      <c r="M915" s="18" t="str">
        <f t="shared" si="2"/>
        <v>#DIV/0!</v>
      </c>
      <c r="N915" s="12" t="str">
        <f t="shared" si="4"/>
        <v/>
      </c>
      <c r="O915" s="18" t="str">
        <f t="shared" si="3"/>
        <v>#DIV/0!</v>
      </c>
      <c r="P915" s="12"/>
    </row>
    <row r="916">
      <c r="C916" s="25"/>
      <c r="D916" s="31"/>
      <c r="E916" s="31"/>
      <c r="F916" s="31"/>
      <c r="G916" s="29"/>
      <c r="H916" s="12"/>
      <c r="I916" s="12"/>
      <c r="J916" s="12"/>
      <c r="K916" s="12"/>
      <c r="L916" s="18" t="str">
        <f t="shared" si="1"/>
        <v>#DIV/0!</v>
      </c>
      <c r="M916" s="18" t="str">
        <f t="shared" si="2"/>
        <v>#DIV/0!</v>
      </c>
      <c r="N916" s="12" t="str">
        <f t="shared" si="4"/>
        <v/>
      </c>
      <c r="O916" s="18" t="str">
        <f t="shared" si="3"/>
        <v>#DIV/0!</v>
      </c>
      <c r="P916" s="12"/>
    </row>
    <row r="917">
      <c r="C917" s="25"/>
      <c r="D917" s="31"/>
      <c r="E917" s="31"/>
      <c r="F917" s="31"/>
      <c r="G917" s="29"/>
      <c r="H917" s="12"/>
      <c r="I917" s="12"/>
      <c r="J917" s="12"/>
      <c r="K917" s="12"/>
      <c r="L917" s="18" t="str">
        <f t="shared" si="1"/>
        <v>#DIV/0!</v>
      </c>
      <c r="M917" s="18" t="str">
        <f t="shared" si="2"/>
        <v>#DIV/0!</v>
      </c>
      <c r="N917" s="12" t="str">
        <f t="shared" si="4"/>
        <v/>
      </c>
      <c r="O917" s="18" t="str">
        <f t="shared" si="3"/>
        <v>#DIV/0!</v>
      </c>
      <c r="P917" s="12"/>
    </row>
    <row r="918">
      <c r="C918" s="25"/>
      <c r="D918" s="31"/>
      <c r="E918" s="31"/>
      <c r="F918" s="31"/>
      <c r="G918" s="29"/>
      <c r="H918" s="12"/>
      <c r="I918" s="12"/>
      <c r="J918" s="12"/>
      <c r="K918" s="12"/>
      <c r="L918" s="18" t="str">
        <f t="shared" si="1"/>
        <v>#DIV/0!</v>
      </c>
      <c r="M918" s="18" t="str">
        <f t="shared" si="2"/>
        <v>#DIV/0!</v>
      </c>
      <c r="N918" s="12" t="str">
        <f t="shared" si="4"/>
        <v/>
      </c>
      <c r="O918" s="18" t="str">
        <f t="shared" si="3"/>
        <v>#DIV/0!</v>
      </c>
      <c r="P918" s="12"/>
    </row>
    <row r="919">
      <c r="C919" s="25"/>
      <c r="D919" s="31"/>
      <c r="E919" s="31"/>
      <c r="F919" s="31"/>
      <c r="G919" s="29"/>
      <c r="H919" s="12"/>
      <c r="I919" s="12"/>
      <c r="J919" s="12"/>
      <c r="K919" s="12"/>
      <c r="L919" s="18" t="str">
        <f t="shared" si="1"/>
        <v>#DIV/0!</v>
      </c>
      <c r="M919" s="18" t="str">
        <f t="shared" si="2"/>
        <v>#DIV/0!</v>
      </c>
      <c r="N919" s="12" t="str">
        <f t="shared" si="4"/>
        <v/>
      </c>
      <c r="O919" s="18" t="str">
        <f t="shared" si="3"/>
        <v>#DIV/0!</v>
      </c>
      <c r="P919" s="12"/>
    </row>
    <row r="920">
      <c r="C920" s="25"/>
      <c r="D920" s="31"/>
      <c r="E920" s="31"/>
      <c r="F920" s="31"/>
      <c r="G920" s="29"/>
      <c r="H920" s="12"/>
      <c r="I920" s="12"/>
      <c r="J920" s="12"/>
      <c r="K920" s="12"/>
      <c r="L920" s="18" t="str">
        <f t="shared" si="1"/>
        <v>#DIV/0!</v>
      </c>
      <c r="M920" s="18" t="str">
        <f t="shared" si="2"/>
        <v>#DIV/0!</v>
      </c>
      <c r="N920" s="12" t="str">
        <f t="shared" si="4"/>
        <v/>
      </c>
      <c r="O920" s="18" t="str">
        <f t="shared" si="3"/>
        <v>#DIV/0!</v>
      </c>
      <c r="P920" s="12"/>
    </row>
    <row r="921">
      <c r="C921" s="25"/>
      <c r="D921" s="31"/>
      <c r="E921" s="31"/>
      <c r="F921" s="31"/>
      <c r="G921" s="29"/>
      <c r="H921" s="12"/>
      <c r="I921" s="12"/>
      <c r="J921" s="12"/>
      <c r="K921" s="12"/>
      <c r="L921" s="18" t="str">
        <f t="shared" si="1"/>
        <v>#DIV/0!</v>
      </c>
      <c r="M921" s="18" t="str">
        <f t="shared" si="2"/>
        <v>#DIV/0!</v>
      </c>
      <c r="N921" s="12" t="str">
        <f t="shared" si="4"/>
        <v/>
      </c>
      <c r="O921" s="18" t="str">
        <f t="shared" si="3"/>
        <v>#DIV/0!</v>
      </c>
      <c r="P921" s="12"/>
    </row>
    <row r="922">
      <c r="C922" s="25"/>
      <c r="D922" s="31"/>
      <c r="E922" s="31"/>
      <c r="F922" s="31"/>
      <c r="G922" s="29"/>
      <c r="H922" s="12"/>
      <c r="I922" s="12"/>
      <c r="J922" s="12"/>
      <c r="K922" s="12"/>
      <c r="L922" s="18" t="str">
        <f t="shared" si="1"/>
        <v>#DIV/0!</v>
      </c>
      <c r="M922" s="18" t="str">
        <f t="shared" si="2"/>
        <v>#DIV/0!</v>
      </c>
      <c r="N922" s="12" t="str">
        <f t="shared" si="4"/>
        <v/>
      </c>
      <c r="O922" s="18" t="str">
        <f t="shared" si="3"/>
        <v>#DIV/0!</v>
      </c>
      <c r="P922" s="12"/>
    </row>
    <row r="923">
      <c r="C923" s="25"/>
      <c r="D923" s="31"/>
      <c r="E923" s="31"/>
      <c r="F923" s="31"/>
      <c r="G923" s="29"/>
      <c r="H923" s="12"/>
      <c r="I923" s="12"/>
      <c r="J923" s="12"/>
      <c r="K923" s="12"/>
      <c r="L923" s="18" t="str">
        <f t="shared" si="1"/>
        <v>#DIV/0!</v>
      </c>
      <c r="M923" s="18" t="str">
        <f t="shared" si="2"/>
        <v>#DIV/0!</v>
      </c>
      <c r="N923" s="12" t="str">
        <f t="shared" si="4"/>
        <v/>
      </c>
      <c r="O923" s="18" t="str">
        <f t="shared" si="3"/>
        <v>#DIV/0!</v>
      </c>
      <c r="P923" s="12"/>
    </row>
    <row r="924">
      <c r="C924" s="25"/>
      <c r="D924" s="31"/>
      <c r="E924" s="31"/>
      <c r="F924" s="31"/>
      <c r="G924" s="29"/>
      <c r="H924" s="12"/>
      <c r="I924" s="12"/>
      <c r="J924" s="12"/>
      <c r="K924" s="12"/>
      <c r="L924" s="18" t="str">
        <f t="shared" si="1"/>
        <v>#DIV/0!</v>
      </c>
      <c r="M924" s="18" t="str">
        <f t="shared" si="2"/>
        <v>#DIV/0!</v>
      </c>
      <c r="N924" s="12" t="str">
        <f t="shared" si="4"/>
        <v/>
      </c>
      <c r="O924" s="18" t="str">
        <f t="shared" si="3"/>
        <v>#DIV/0!</v>
      </c>
      <c r="P924" s="12"/>
    </row>
    <row r="925">
      <c r="C925" s="25"/>
      <c r="D925" s="31"/>
      <c r="E925" s="31"/>
      <c r="F925" s="31"/>
      <c r="G925" s="29"/>
      <c r="H925" s="12"/>
      <c r="I925" s="12"/>
      <c r="J925" s="12"/>
      <c r="K925" s="12"/>
      <c r="L925" s="18" t="str">
        <f t="shared" si="1"/>
        <v>#DIV/0!</v>
      </c>
      <c r="M925" s="18" t="str">
        <f t="shared" si="2"/>
        <v>#DIV/0!</v>
      </c>
      <c r="N925" s="12" t="str">
        <f t="shared" si="4"/>
        <v/>
      </c>
      <c r="O925" s="18" t="str">
        <f t="shared" si="3"/>
        <v>#DIV/0!</v>
      </c>
      <c r="P925" s="12"/>
    </row>
    <row r="926">
      <c r="C926" s="25"/>
      <c r="D926" s="31"/>
      <c r="E926" s="31"/>
      <c r="F926" s="31"/>
      <c r="G926" s="29"/>
      <c r="H926" s="12"/>
      <c r="I926" s="12"/>
      <c r="J926" s="12"/>
      <c r="K926" s="12"/>
      <c r="L926" s="18" t="str">
        <f t="shared" si="1"/>
        <v>#DIV/0!</v>
      </c>
      <c r="M926" s="18" t="str">
        <f t="shared" si="2"/>
        <v>#DIV/0!</v>
      </c>
      <c r="N926" s="12" t="str">
        <f t="shared" si="4"/>
        <v/>
      </c>
      <c r="O926" s="18" t="str">
        <f t="shared" si="3"/>
        <v>#DIV/0!</v>
      </c>
      <c r="P926" s="12"/>
    </row>
    <row r="927">
      <c r="C927" s="25"/>
      <c r="D927" s="31"/>
      <c r="E927" s="31"/>
      <c r="F927" s="31"/>
      <c r="G927" s="29"/>
      <c r="H927" s="12"/>
      <c r="I927" s="12"/>
      <c r="J927" s="12"/>
      <c r="K927" s="12"/>
      <c r="L927" s="18" t="str">
        <f t="shared" si="1"/>
        <v>#DIV/0!</v>
      </c>
      <c r="M927" s="18" t="str">
        <f t="shared" si="2"/>
        <v>#DIV/0!</v>
      </c>
      <c r="N927" s="12" t="str">
        <f t="shared" si="4"/>
        <v/>
      </c>
      <c r="O927" s="18" t="str">
        <f t="shared" si="3"/>
        <v>#DIV/0!</v>
      </c>
      <c r="P927" s="12"/>
    </row>
    <row r="928">
      <c r="C928" s="25"/>
      <c r="D928" s="31"/>
      <c r="E928" s="31"/>
      <c r="F928" s="31"/>
      <c r="G928" s="29"/>
      <c r="H928" s="12"/>
      <c r="I928" s="12"/>
      <c r="J928" s="12"/>
      <c r="K928" s="12"/>
      <c r="L928" s="18" t="str">
        <f t="shared" si="1"/>
        <v>#DIV/0!</v>
      </c>
      <c r="M928" s="18" t="str">
        <f t="shared" si="2"/>
        <v>#DIV/0!</v>
      </c>
      <c r="N928" s="12" t="str">
        <f t="shared" si="4"/>
        <v/>
      </c>
      <c r="O928" s="18" t="str">
        <f t="shared" si="3"/>
        <v>#DIV/0!</v>
      </c>
      <c r="P928" s="12"/>
    </row>
    <row r="929">
      <c r="C929" s="25"/>
      <c r="D929" s="31"/>
      <c r="E929" s="31"/>
      <c r="F929" s="31"/>
      <c r="G929" s="29"/>
      <c r="H929" s="12"/>
      <c r="I929" s="12"/>
      <c r="J929" s="12"/>
      <c r="K929" s="12"/>
      <c r="L929" s="18" t="str">
        <f t="shared" si="1"/>
        <v>#DIV/0!</v>
      </c>
      <c r="M929" s="18" t="str">
        <f t="shared" si="2"/>
        <v>#DIV/0!</v>
      </c>
      <c r="N929" s="12" t="str">
        <f t="shared" si="4"/>
        <v/>
      </c>
      <c r="O929" s="18" t="str">
        <f t="shared" si="3"/>
        <v>#DIV/0!</v>
      </c>
      <c r="P929" s="12"/>
    </row>
    <row r="930">
      <c r="C930" s="25"/>
      <c r="D930" s="31"/>
      <c r="E930" s="31"/>
      <c r="F930" s="31"/>
      <c r="G930" s="29"/>
      <c r="H930" s="12"/>
      <c r="I930" s="12"/>
      <c r="J930" s="12"/>
      <c r="K930" s="12"/>
      <c r="L930" s="18" t="str">
        <f t="shared" si="1"/>
        <v>#DIV/0!</v>
      </c>
      <c r="M930" s="18" t="str">
        <f t="shared" si="2"/>
        <v>#DIV/0!</v>
      </c>
      <c r="N930" s="12" t="str">
        <f t="shared" si="4"/>
        <v/>
      </c>
      <c r="O930" s="18" t="str">
        <f t="shared" si="3"/>
        <v>#DIV/0!</v>
      </c>
      <c r="P930" s="12"/>
    </row>
    <row r="931">
      <c r="C931" s="25"/>
      <c r="D931" s="31"/>
      <c r="E931" s="31"/>
      <c r="F931" s="31"/>
      <c r="G931" s="29"/>
      <c r="H931" s="12"/>
      <c r="I931" s="12"/>
      <c r="J931" s="12"/>
      <c r="K931" s="12"/>
      <c r="L931" s="18" t="str">
        <f t="shared" si="1"/>
        <v>#DIV/0!</v>
      </c>
      <c r="M931" s="18" t="str">
        <f t="shared" si="2"/>
        <v>#DIV/0!</v>
      </c>
      <c r="N931" s="12" t="str">
        <f t="shared" si="4"/>
        <v/>
      </c>
      <c r="O931" s="18" t="str">
        <f t="shared" si="3"/>
        <v>#DIV/0!</v>
      </c>
      <c r="P931" s="12"/>
    </row>
    <row r="932">
      <c r="C932" s="25"/>
      <c r="D932" s="31"/>
      <c r="E932" s="31"/>
      <c r="F932" s="31"/>
      <c r="G932" s="29"/>
      <c r="H932" s="12"/>
      <c r="I932" s="12"/>
      <c r="J932" s="12"/>
      <c r="K932" s="12"/>
      <c r="L932" s="18" t="str">
        <f t="shared" si="1"/>
        <v>#DIV/0!</v>
      </c>
      <c r="M932" s="18" t="str">
        <f t="shared" si="2"/>
        <v>#DIV/0!</v>
      </c>
      <c r="N932" s="12" t="str">
        <f t="shared" si="4"/>
        <v/>
      </c>
      <c r="O932" s="18" t="str">
        <f t="shared" si="3"/>
        <v>#DIV/0!</v>
      </c>
      <c r="P932" s="12"/>
    </row>
    <row r="933">
      <c r="C933" s="25"/>
      <c r="D933" s="31"/>
      <c r="E933" s="31"/>
      <c r="F933" s="31"/>
      <c r="G933" s="29"/>
      <c r="H933" s="12"/>
      <c r="I933" s="12"/>
      <c r="J933" s="12"/>
      <c r="K933" s="12"/>
      <c r="L933" s="18" t="str">
        <f t="shared" si="1"/>
        <v>#DIV/0!</v>
      </c>
      <c r="M933" s="18" t="str">
        <f t="shared" si="2"/>
        <v>#DIV/0!</v>
      </c>
      <c r="N933" s="12" t="str">
        <f t="shared" si="4"/>
        <v/>
      </c>
      <c r="O933" s="18" t="str">
        <f t="shared" si="3"/>
        <v>#DIV/0!</v>
      </c>
      <c r="P933" s="12"/>
    </row>
    <row r="934">
      <c r="C934" s="25"/>
      <c r="D934" s="31"/>
      <c r="E934" s="31"/>
      <c r="F934" s="31"/>
      <c r="G934" s="29"/>
      <c r="H934" s="12"/>
      <c r="I934" s="12"/>
      <c r="J934" s="12"/>
      <c r="K934" s="12"/>
      <c r="L934" s="18" t="str">
        <f t="shared" si="1"/>
        <v>#DIV/0!</v>
      </c>
      <c r="M934" s="18" t="str">
        <f t="shared" si="2"/>
        <v>#DIV/0!</v>
      </c>
      <c r="N934" s="12" t="str">
        <f t="shared" si="4"/>
        <v/>
      </c>
      <c r="O934" s="18" t="str">
        <f t="shared" si="3"/>
        <v>#DIV/0!</v>
      </c>
      <c r="P934" s="12"/>
    </row>
    <row r="935">
      <c r="C935" s="25"/>
      <c r="D935" s="31"/>
      <c r="E935" s="31"/>
      <c r="F935" s="31"/>
      <c r="G935" s="29"/>
      <c r="H935" s="12"/>
      <c r="I935" s="12"/>
      <c r="J935" s="12"/>
      <c r="K935" s="12"/>
      <c r="L935" s="18" t="str">
        <f t="shared" si="1"/>
        <v>#DIV/0!</v>
      </c>
      <c r="M935" s="18" t="str">
        <f t="shared" si="2"/>
        <v>#DIV/0!</v>
      </c>
      <c r="N935" s="12" t="str">
        <f t="shared" si="4"/>
        <v/>
      </c>
      <c r="O935" s="18" t="str">
        <f t="shared" si="3"/>
        <v>#DIV/0!</v>
      </c>
      <c r="P935" s="12"/>
    </row>
    <row r="936">
      <c r="C936" s="25"/>
      <c r="D936" s="31"/>
      <c r="E936" s="31"/>
      <c r="F936" s="31"/>
      <c r="G936" s="29"/>
      <c r="H936" s="12"/>
      <c r="I936" s="12"/>
      <c r="J936" s="12"/>
      <c r="K936" s="12"/>
      <c r="L936" s="18" t="str">
        <f t="shared" si="1"/>
        <v>#DIV/0!</v>
      </c>
      <c r="M936" s="18" t="str">
        <f t="shared" si="2"/>
        <v>#DIV/0!</v>
      </c>
      <c r="N936" s="12" t="str">
        <f t="shared" si="4"/>
        <v/>
      </c>
      <c r="O936" s="18" t="str">
        <f t="shared" si="3"/>
        <v>#DIV/0!</v>
      </c>
      <c r="P936" s="12"/>
    </row>
    <row r="937">
      <c r="C937" s="25"/>
      <c r="D937" s="31"/>
      <c r="E937" s="31"/>
      <c r="F937" s="31"/>
      <c r="G937" s="29"/>
      <c r="H937" s="12"/>
      <c r="I937" s="12"/>
      <c r="J937" s="12"/>
      <c r="K937" s="12"/>
      <c r="L937" s="18" t="str">
        <f t="shared" si="1"/>
        <v>#DIV/0!</v>
      </c>
      <c r="M937" s="18" t="str">
        <f t="shared" si="2"/>
        <v>#DIV/0!</v>
      </c>
      <c r="N937" s="12" t="str">
        <f t="shared" si="4"/>
        <v/>
      </c>
      <c r="O937" s="18" t="str">
        <f t="shared" si="3"/>
        <v>#DIV/0!</v>
      </c>
      <c r="P937" s="12"/>
    </row>
    <row r="938">
      <c r="C938" s="25"/>
      <c r="D938" s="31"/>
      <c r="E938" s="31"/>
      <c r="F938" s="31"/>
      <c r="G938" s="29"/>
      <c r="H938" s="12"/>
      <c r="I938" s="12"/>
      <c r="J938" s="12"/>
      <c r="K938" s="12"/>
      <c r="L938" s="18" t="str">
        <f t="shared" si="1"/>
        <v>#DIV/0!</v>
      </c>
      <c r="M938" s="18" t="str">
        <f t="shared" si="2"/>
        <v>#DIV/0!</v>
      </c>
      <c r="N938" s="12" t="str">
        <f t="shared" si="4"/>
        <v/>
      </c>
      <c r="O938" s="18" t="str">
        <f t="shared" si="3"/>
        <v>#DIV/0!</v>
      </c>
      <c r="P938" s="12"/>
    </row>
    <row r="939">
      <c r="C939" s="25"/>
      <c r="D939" s="31"/>
      <c r="E939" s="31"/>
      <c r="F939" s="31"/>
      <c r="G939" s="29"/>
      <c r="H939" s="12"/>
      <c r="I939" s="12"/>
      <c r="J939" s="12"/>
      <c r="K939" s="12"/>
      <c r="L939" s="18" t="str">
        <f t="shared" si="1"/>
        <v>#DIV/0!</v>
      </c>
      <c r="M939" s="18" t="str">
        <f t="shared" si="2"/>
        <v>#DIV/0!</v>
      </c>
      <c r="N939" s="12" t="str">
        <f t="shared" si="4"/>
        <v/>
      </c>
      <c r="O939" s="18" t="str">
        <f t="shared" si="3"/>
        <v>#DIV/0!</v>
      </c>
      <c r="P939" s="12"/>
    </row>
    <row r="940">
      <c r="C940" s="25"/>
      <c r="D940" s="31"/>
      <c r="E940" s="31"/>
      <c r="F940" s="31"/>
      <c r="G940" s="29"/>
      <c r="H940" s="12"/>
      <c r="I940" s="12"/>
      <c r="J940" s="12"/>
      <c r="K940" s="12"/>
      <c r="L940" s="18" t="str">
        <f t="shared" si="1"/>
        <v>#DIV/0!</v>
      </c>
      <c r="M940" s="18" t="str">
        <f t="shared" si="2"/>
        <v>#DIV/0!</v>
      </c>
      <c r="N940" s="12" t="str">
        <f t="shared" si="4"/>
        <v/>
      </c>
      <c r="O940" s="18" t="str">
        <f t="shared" si="3"/>
        <v>#DIV/0!</v>
      </c>
      <c r="P940" s="12"/>
    </row>
    <row r="941">
      <c r="C941" s="25"/>
      <c r="D941" s="31"/>
      <c r="E941" s="31"/>
      <c r="F941" s="31"/>
      <c r="G941" s="29"/>
      <c r="H941" s="12"/>
      <c r="I941" s="12"/>
      <c r="J941" s="12"/>
      <c r="K941" s="12"/>
      <c r="L941" s="18" t="str">
        <f t="shared" si="1"/>
        <v>#DIV/0!</v>
      </c>
      <c r="M941" s="18" t="str">
        <f t="shared" si="2"/>
        <v>#DIV/0!</v>
      </c>
      <c r="N941" s="12" t="str">
        <f t="shared" si="4"/>
        <v/>
      </c>
      <c r="O941" s="18" t="str">
        <f t="shared" si="3"/>
        <v>#DIV/0!</v>
      </c>
      <c r="P941" s="12"/>
    </row>
    <row r="942">
      <c r="C942" s="25"/>
      <c r="D942" s="31"/>
      <c r="E942" s="31"/>
      <c r="F942" s="31"/>
      <c r="G942" s="29"/>
      <c r="H942" s="12"/>
      <c r="I942" s="12"/>
      <c r="J942" s="12"/>
      <c r="K942" s="12"/>
      <c r="L942" s="18" t="str">
        <f t="shared" si="1"/>
        <v>#DIV/0!</v>
      </c>
      <c r="M942" s="18" t="str">
        <f t="shared" si="2"/>
        <v>#DIV/0!</v>
      </c>
      <c r="N942" s="12" t="str">
        <f t="shared" si="4"/>
        <v/>
      </c>
      <c r="O942" s="18" t="str">
        <f t="shared" si="3"/>
        <v>#DIV/0!</v>
      </c>
      <c r="P942" s="12"/>
    </row>
    <row r="943">
      <c r="C943" s="25"/>
      <c r="D943" s="31"/>
      <c r="E943" s="31"/>
      <c r="F943" s="31"/>
      <c r="G943" s="29"/>
      <c r="H943" s="12"/>
      <c r="I943" s="12"/>
      <c r="J943" s="12"/>
      <c r="K943" s="12"/>
      <c r="L943" s="18" t="str">
        <f t="shared" si="1"/>
        <v>#DIV/0!</v>
      </c>
      <c r="M943" s="18" t="str">
        <f t="shared" si="2"/>
        <v>#DIV/0!</v>
      </c>
      <c r="N943" s="12" t="str">
        <f t="shared" si="4"/>
        <v/>
      </c>
      <c r="O943" s="18" t="str">
        <f t="shared" si="3"/>
        <v>#DIV/0!</v>
      </c>
      <c r="P943" s="12"/>
    </row>
    <row r="944">
      <c r="C944" s="25"/>
      <c r="D944" s="31"/>
      <c r="E944" s="31"/>
      <c r="F944" s="31"/>
      <c r="G944" s="29"/>
      <c r="H944" s="12"/>
      <c r="I944" s="12"/>
      <c r="J944" s="12"/>
      <c r="K944" s="12"/>
      <c r="L944" s="18" t="str">
        <f t="shared" si="1"/>
        <v>#DIV/0!</v>
      </c>
      <c r="M944" s="18" t="str">
        <f t="shared" si="2"/>
        <v>#DIV/0!</v>
      </c>
      <c r="N944" s="12" t="str">
        <f t="shared" si="4"/>
        <v/>
      </c>
      <c r="O944" s="18" t="str">
        <f t="shared" si="3"/>
        <v>#DIV/0!</v>
      </c>
      <c r="P944" s="12"/>
    </row>
    <row r="945">
      <c r="C945" s="25"/>
      <c r="D945" s="31"/>
      <c r="E945" s="31"/>
      <c r="F945" s="31"/>
      <c r="G945" s="29"/>
      <c r="H945" s="12"/>
      <c r="I945" s="12"/>
      <c r="J945" s="12"/>
      <c r="K945" s="12"/>
      <c r="L945" s="18" t="str">
        <f t="shared" si="1"/>
        <v>#DIV/0!</v>
      </c>
      <c r="M945" s="18" t="str">
        <f t="shared" si="2"/>
        <v>#DIV/0!</v>
      </c>
      <c r="N945" s="12" t="str">
        <f t="shared" si="4"/>
        <v/>
      </c>
      <c r="O945" s="18" t="str">
        <f t="shared" si="3"/>
        <v>#DIV/0!</v>
      </c>
      <c r="P945" s="12"/>
    </row>
    <row r="946">
      <c r="C946" s="25"/>
      <c r="D946" s="31"/>
      <c r="E946" s="31"/>
      <c r="F946" s="31"/>
      <c r="G946" s="29"/>
      <c r="H946" s="12"/>
      <c r="I946" s="12"/>
      <c r="J946" s="12"/>
      <c r="K946" s="12"/>
      <c r="L946" s="18" t="str">
        <f t="shared" si="1"/>
        <v>#DIV/0!</v>
      </c>
      <c r="M946" s="18" t="str">
        <f t="shared" si="2"/>
        <v>#DIV/0!</v>
      </c>
      <c r="N946" s="12" t="str">
        <f t="shared" si="4"/>
        <v/>
      </c>
      <c r="O946" s="18" t="str">
        <f t="shared" si="3"/>
        <v>#DIV/0!</v>
      </c>
      <c r="P946" s="12"/>
    </row>
    <row r="947">
      <c r="C947" s="25"/>
      <c r="D947" s="31"/>
      <c r="E947" s="31"/>
      <c r="F947" s="31"/>
      <c r="G947" s="29"/>
      <c r="H947" s="12"/>
      <c r="I947" s="12"/>
      <c r="J947" s="12"/>
      <c r="K947" s="12"/>
      <c r="L947" s="18" t="str">
        <f t="shared" si="1"/>
        <v>#DIV/0!</v>
      </c>
      <c r="M947" s="18" t="str">
        <f t="shared" si="2"/>
        <v>#DIV/0!</v>
      </c>
      <c r="N947" s="12" t="str">
        <f t="shared" si="4"/>
        <v/>
      </c>
      <c r="O947" s="18" t="str">
        <f t="shared" si="3"/>
        <v>#DIV/0!</v>
      </c>
      <c r="P947" s="12"/>
    </row>
    <row r="948">
      <c r="C948" s="25"/>
      <c r="D948" s="31"/>
      <c r="E948" s="31"/>
      <c r="F948" s="31"/>
      <c r="G948" s="29"/>
      <c r="H948" s="12"/>
      <c r="I948" s="12"/>
      <c r="J948" s="12"/>
      <c r="K948" s="12"/>
      <c r="L948" s="18" t="str">
        <f t="shared" si="1"/>
        <v>#DIV/0!</v>
      </c>
      <c r="M948" s="18" t="str">
        <f t="shared" si="2"/>
        <v>#DIV/0!</v>
      </c>
      <c r="N948" s="12" t="str">
        <f t="shared" si="4"/>
        <v/>
      </c>
      <c r="O948" s="18" t="str">
        <f t="shared" si="3"/>
        <v>#DIV/0!</v>
      </c>
      <c r="P948" s="12"/>
    </row>
    <row r="949">
      <c r="C949" s="25"/>
      <c r="D949" s="31"/>
      <c r="E949" s="31"/>
      <c r="F949" s="31"/>
      <c r="G949" s="29"/>
      <c r="H949" s="12"/>
      <c r="I949" s="12"/>
      <c r="J949" s="12"/>
      <c r="K949" s="12"/>
      <c r="L949" s="18" t="str">
        <f t="shared" si="1"/>
        <v>#DIV/0!</v>
      </c>
      <c r="M949" s="18" t="str">
        <f t="shared" si="2"/>
        <v>#DIV/0!</v>
      </c>
      <c r="N949" s="12" t="str">
        <f t="shared" si="4"/>
        <v/>
      </c>
      <c r="O949" s="18" t="str">
        <f t="shared" si="3"/>
        <v>#DIV/0!</v>
      </c>
      <c r="P949" s="12"/>
    </row>
    <row r="950">
      <c r="C950" s="25"/>
      <c r="D950" s="31"/>
      <c r="E950" s="31"/>
      <c r="F950" s="31"/>
      <c r="G950" s="29"/>
      <c r="H950" s="12"/>
      <c r="I950" s="12"/>
      <c r="J950" s="12"/>
      <c r="K950" s="12"/>
      <c r="L950" s="18" t="str">
        <f t="shared" si="1"/>
        <v>#DIV/0!</v>
      </c>
      <c r="M950" s="18" t="str">
        <f t="shared" si="2"/>
        <v>#DIV/0!</v>
      </c>
      <c r="N950" s="12" t="str">
        <f t="shared" si="4"/>
        <v/>
      </c>
      <c r="O950" s="18" t="str">
        <f t="shared" si="3"/>
        <v>#DIV/0!</v>
      </c>
      <c r="P950" s="12"/>
    </row>
    <row r="951">
      <c r="C951" s="25"/>
      <c r="D951" s="31"/>
      <c r="E951" s="31"/>
      <c r="F951" s="31"/>
      <c r="G951" s="29"/>
      <c r="H951" s="12"/>
      <c r="I951" s="12"/>
      <c r="J951" s="12"/>
      <c r="K951" s="12"/>
      <c r="L951" s="18" t="str">
        <f t="shared" si="1"/>
        <v>#DIV/0!</v>
      </c>
      <c r="M951" s="18" t="str">
        <f t="shared" si="2"/>
        <v>#DIV/0!</v>
      </c>
      <c r="N951" s="12" t="str">
        <f t="shared" si="4"/>
        <v/>
      </c>
      <c r="O951" s="18" t="str">
        <f t="shared" si="3"/>
        <v>#DIV/0!</v>
      </c>
      <c r="P951" s="12"/>
    </row>
    <row r="952">
      <c r="C952" s="25"/>
      <c r="D952" s="31"/>
      <c r="E952" s="31"/>
      <c r="F952" s="31"/>
      <c r="G952" s="29"/>
      <c r="H952" s="12"/>
      <c r="I952" s="12"/>
      <c r="J952" s="12"/>
      <c r="K952" s="12"/>
      <c r="L952" s="18" t="str">
        <f t="shared" si="1"/>
        <v>#DIV/0!</v>
      </c>
      <c r="M952" s="18" t="str">
        <f t="shared" si="2"/>
        <v>#DIV/0!</v>
      </c>
      <c r="N952" s="12" t="str">
        <f t="shared" si="4"/>
        <v/>
      </c>
      <c r="O952" s="18" t="str">
        <f t="shared" si="3"/>
        <v>#DIV/0!</v>
      </c>
      <c r="P952" s="12"/>
    </row>
    <row r="953">
      <c r="C953" s="25"/>
      <c r="D953" s="31"/>
      <c r="E953" s="31"/>
      <c r="F953" s="31"/>
      <c r="G953" s="29"/>
      <c r="H953" s="12"/>
      <c r="I953" s="12"/>
      <c r="J953" s="12"/>
      <c r="K953" s="12"/>
      <c r="L953" s="18" t="str">
        <f t="shared" si="1"/>
        <v>#DIV/0!</v>
      </c>
      <c r="M953" s="18" t="str">
        <f t="shared" si="2"/>
        <v>#DIV/0!</v>
      </c>
      <c r="N953" s="12" t="str">
        <f t="shared" si="4"/>
        <v/>
      </c>
      <c r="O953" s="18" t="str">
        <f t="shared" si="3"/>
        <v>#DIV/0!</v>
      </c>
      <c r="P953" s="12"/>
    </row>
    <row r="954">
      <c r="C954" s="25"/>
      <c r="D954" s="31"/>
      <c r="E954" s="31"/>
      <c r="F954" s="31"/>
      <c r="G954" s="29"/>
      <c r="H954" s="12"/>
      <c r="I954" s="12"/>
      <c r="J954" s="12"/>
      <c r="K954" s="12"/>
      <c r="L954" s="18" t="str">
        <f t="shared" si="1"/>
        <v>#DIV/0!</v>
      </c>
      <c r="M954" s="18" t="str">
        <f t="shared" si="2"/>
        <v>#DIV/0!</v>
      </c>
      <c r="N954" s="12" t="str">
        <f t="shared" si="4"/>
        <v/>
      </c>
      <c r="O954" s="18" t="str">
        <f t="shared" si="3"/>
        <v>#DIV/0!</v>
      </c>
      <c r="P954" s="12"/>
    </row>
    <row r="955">
      <c r="C955" s="25"/>
      <c r="D955" s="31"/>
      <c r="E955" s="31"/>
      <c r="F955" s="31"/>
      <c r="G955" s="29"/>
      <c r="H955" s="12"/>
      <c r="I955" s="12"/>
      <c r="J955" s="12"/>
      <c r="K955" s="12"/>
      <c r="L955" s="18" t="str">
        <f t="shared" si="1"/>
        <v>#DIV/0!</v>
      </c>
      <c r="M955" s="18" t="str">
        <f t="shared" si="2"/>
        <v>#DIV/0!</v>
      </c>
      <c r="N955" s="12" t="str">
        <f t="shared" si="4"/>
        <v/>
      </c>
      <c r="O955" s="18" t="str">
        <f t="shared" si="3"/>
        <v>#DIV/0!</v>
      </c>
      <c r="P955" s="12"/>
    </row>
    <row r="956">
      <c r="C956" s="25"/>
      <c r="D956" s="31"/>
      <c r="E956" s="31"/>
      <c r="F956" s="31"/>
      <c r="G956" s="29"/>
      <c r="H956" s="12"/>
      <c r="I956" s="12"/>
      <c r="J956" s="12"/>
      <c r="K956" s="12"/>
      <c r="L956" s="18" t="str">
        <f t="shared" si="1"/>
        <v>#DIV/0!</v>
      </c>
      <c r="M956" s="18" t="str">
        <f t="shared" si="2"/>
        <v>#DIV/0!</v>
      </c>
      <c r="N956" s="12" t="str">
        <f t="shared" si="4"/>
        <v/>
      </c>
      <c r="O956" s="18" t="str">
        <f t="shared" si="3"/>
        <v>#DIV/0!</v>
      </c>
      <c r="P956" s="12"/>
    </row>
    <row r="957">
      <c r="C957" s="25"/>
      <c r="D957" s="31"/>
      <c r="E957" s="31"/>
      <c r="F957" s="31"/>
      <c r="G957" s="29"/>
      <c r="H957" s="12"/>
      <c r="I957" s="12"/>
      <c r="J957" s="12"/>
      <c r="K957" s="12"/>
      <c r="L957" s="18" t="str">
        <f t="shared" si="1"/>
        <v>#DIV/0!</v>
      </c>
      <c r="M957" s="18" t="str">
        <f t="shared" si="2"/>
        <v>#DIV/0!</v>
      </c>
      <c r="N957" s="12" t="str">
        <f t="shared" si="4"/>
        <v/>
      </c>
      <c r="O957" s="18" t="str">
        <f t="shared" si="3"/>
        <v>#DIV/0!</v>
      </c>
      <c r="P957" s="12"/>
    </row>
    <row r="958">
      <c r="C958" s="25"/>
      <c r="D958" s="31"/>
      <c r="E958" s="31"/>
      <c r="F958" s="31"/>
      <c r="G958" s="29"/>
      <c r="H958" s="12"/>
      <c r="I958" s="12"/>
      <c r="J958" s="12"/>
      <c r="K958" s="12"/>
      <c r="L958" s="18" t="str">
        <f t="shared" si="1"/>
        <v>#DIV/0!</v>
      </c>
      <c r="M958" s="18" t="str">
        <f t="shared" si="2"/>
        <v>#DIV/0!</v>
      </c>
      <c r="N958" s="12" t="str">
        <f t="shared" si="4"/>
        <v/>
      </c>
      <c r="O958" s="18" t="str">
        <f t="shared" si="3"/>
        <v>#DIV/0!</v>
      </c>
      <c r="P958" s="12"/>
    </row>
    <row r="959">
      <c r="C959" s="25"/>
      <c r="D959" s="31"/>
      <c r="E959" s="31"/>
      <c r="F959" s="31"/>
      <c r="G959" s="29"/>
      <c r="H959" s="12"/>
      <c r="I959" s="12"/>
      <c r="J959" s="12"/>
      <c r="K959" s="12"/>
      <c r="L959" s="18" t="str">
        <f t="shared" si="1"/>
        <v>#DIV/0!</v>
      </c>
      <c r="M959" s="18" t="str">
        <f t="shared" si="2"/>
        <v>#DIV/0!</v>
      </c>
      <c r="N959" s="12" t="str">
        <f t="shared" si="4"/>
        <v/>
      </c>
      <c r="O959" s="18" t="str">
        <f t="shared" si="3"/>
        <v>#DIV/0!</v>
      </c>
      <c r="P959" s="12"/>
    </row>
    <row r="960">
      <c r="C960" s="25"/>
      <c r="D960" s="31"/>
      <c r="E960" s="31"/>
      <c r="F960" s="31"/>
      <c r="G960" s="29"/>
      <c r="H960" s="12"/>
      <c r="I960" s="12"/>
      <c r="J960" s="12"/>
      <c r="K960" s="12"/>
      <c r="L960" s="18" t="str">
        <f t="shared" si="1"/>
        <v>#DIV/0!</v>
      </c>
      <c r="M960" s="18" t="str">
        <f t="shared" si="2"/>
        <v>#DIV/0!</v>
      </c>
      <c r="N960" s="12" t="str">
        <f t="shared" si="4"/>
        <v/>
      </c>
      <c r="O960" s="18" t="str">
        <f t="shared" si="3"/>
        <v>#DIV/0!</v>
      </c>
      <c r="P960" s="12"/>
    </row>
    <row r="961">
      <c r="C961" s="25"/>
      <c r="D961" s="31"/>
      <c r="E961" s="31"/>
      <c r="F961" s="31"/>
      <c r="G961" s="29"/>
      <c r="H961" s="12"/>
      <c r="I961" s="12"/>
      <c r="J961" s="12"/>
      <c r="K961" s="12"/>
      <c r="L961" s="18" t="str">
        <f t="shared" si="1"/>
        <v>#DIV/0!</v>
      </c>
      <c r="M961" s="18" t="str">
        <f t="shared" si="2"/>
        <v>#DIV/0!</v>
      </c>
      <c r="N961" s="12" t="str">
        <f t="shared" si="4"/>
        <v/>
      </c>
      <c r="O961" s="18" t="str">
        <f t="shared" si="3"/>
        <v>#DIV/0!</v>
      </c>
      <c r="P961" s="12"/>
    </row>
    <row r="962">
      <c r="C962" s="25"/>
      <c r="D962" s="31"/>
      <c r="E962" s="31"/>
      <c r="F962" s="31"/>
      <c r="G962" s="29"/>
      <c r="H962" s="12"/>
      <c r="I962" s="12"/>
      <c r="J962" s="12"/>
      <c r="K962" s="12"/>
      <c r="L962" s="18" t="str">
        <f t="shared" si="1"/>
        <v>#DIV/0!</v>
      </c>
      <c r="M962" s="18" t="str">
        <f t="shared" si="2"/>
        <v>#DIV/0!</v>
      </c>
      <c r="N962" s="12" t="str">
        <f t="shared" si="4"/>
        <v/>
      </c>
      <c r="O962" s="18" t="str">
        <f t="shared" si="3"/>
        <v>#DIV/0!</v>
      </c>
      <c r="P962" s="12"/>
    </row>
    <row r="963">
      <c r="C963" s="25"/>
      <c r="D963" s="31"/>
      <c r="E963" s="31"/>
      <c r="F963" s="31"/>
      <c r="G963" s="29"/>
      <c r="H963" s="12"/>
      <c r="I963" s="12"/>
      <c r="J963" s="12"/>
      <c r="K963" s="12"/>
      <c r="L963" s="18" t="str">
        <f t="shared" si="1"/>
        <v>#DIV/0!</v>
      </c>
      <c r="M963" s="18" t="str">
        <f t="shared" si="2"/>
        <v>#DIV/0!</v>
      </c>
      <c r="N963" s="12" t="str">
        <f t="shared" si="4"/>
        <v/>
      </c>
      <c r="O963" s="18" t="str">
        <f t="shared" si="3"/>
        <v>#DIV/0!</v>
      </c>
      <c r="P963" s="12"/>
    </row>
    <row r="964">
      <c r="C964" s="25"/>
      <c r="D964" s="31"/>
      <c r="E964" s="31"/>
      <c r="F964" s="31"/>
      <c r="G964" s="29"/>
      <c r="H964" s="12"/>
      <c r="I964" s="12"/>
      <c r="J964" s="12"/>
      <c r="K964" s="12"/>
      <c r="L964" s="18" t="str">
        <f t="shared" si="1"/>
        <v>#DIV/0!</v>
      </c>
      <c r="M964" s="18" t="str">
        <f t="shared" si="2"/>
        <v>#DIV/0!</v>
      </c>
      <c r="N964" s="12" t="str">
        <f t="shared" si="4"/>
        <v/>
      </c>
      <c r="O964" s="18" t="str">
        <f t="shared" si="3"/>
        <v>#DIV/0!</v>
      </c>
      <c r="P964" s="12"/>
    </row>
    <row r="965">
      <c r="C965" s="25"/>
      <c r="D965" s="31"/>
      <c r="E965" s="31"/>
      <c r="F965" s="31"/>
      <c r="G965" s="29"/>
      <c r="H965" s="12"/>
      <c r="I965" s="12"/>
      <c r="J965" s="12"/>
      <c r="K965" s="12"/>
      <c r="L965" s="18" t="str">
        <f t="shared" si="1"/>
        <v>#DIV/0!</v>
      </c>
      <c r="M965" s="18" t="str">
        <f t="shared" si="2"/>
        <v>#DIV/0!</v>
      </c>
      <c r="N965" s="12" t="str">
        <f t="shared" si="4"/>
        <v/>
      </c>
      <c r="O965" s="18" t="str">
        <f t="shared" si="3"/>
        <v>#DIV/0!</v>
      </c>
      <c r="P965" s="12"/>
    </row>
    <row r="966">
      <c r="C966" s="25"/>
      <c r="D966" s="31"/>
      <c r="E966" s="31"/>
      <c r="F966" s="31"/>
      <c r="G966" s="29"/>
      <c r="H966" s="12"/>
      <c r="I966" s="12"/>
      <c r="J966" s="12"/>
      <c r="K966" s="12"/>
      <c r="L966" s="18" t="str">
        <f t="shared" si="1"/>
        <v>#DIV/0!</v>
      </c>
      <c r="M966" s="18" t="str">
        <f t="shared" si="2"/>
        <v>#DIV/0!</v>
      </c>
      <c r="N966" s="12" t="str">
        <f t="shared" si="4"/>
        <v/>
      </c>
      <c r="O966" s="18" t="str">
        <f t="shared" si="3"/>
        <v>#DIV/0!</v>
      </c>
      <c r="P966" s="12"/>
    </row>
    <row r="967">
      <c r="C967" s="25"/>
      <c r="D967" s="31"/>
      <c r="E967" s="31"/>
      <c r="F967" s="31"/>
      <c r="G967" s="29"/>
      <c r="H967" s="12"/>
      <c r="I967" s="12"/>
      <c r="J967" s="12"/>
      <c r="K967" s="12"/>
      <c r="L967" s="18" t="str">
        <f t="shared" si="1"/>
        <v>#DIV/0!</v>
      </c>
      <c r="M967" s="18" t="str">
        <f t="shared" si="2"/>
        <v>#DIV/0!</v>
      </c>
      <c r="N967" s="12" t="str">
        <f t="shared" si="4"/>
        <v/>
      </c>
      <c r="O967" s="18" t="str">
        <f t="shared" si="3"/>
        <v>#DIV/0!</v>
      </c>
      <c r="P967" s="12"/>
    </row>
    <row r="968">
      <c r="C968" s="25"/>
      <c r="D968" s="31"/>
      <c r="E968" s="31"/>
      <c r="F968" s="31"/>
      <c r="G968" s="29"/>
      <c r="H968" s="12"/>
      <c r="I968" s="12"/>
      <c r="J968" s="12"/>
      <c r="K968" s="12"/>
      <c r="L968" s="18" t="str">
        <f t="shared" si="1"/>
        <v>#DIV/0!</v>
      </c>
      <c r="M968" s="18" t="str">
        <f t="shared" si="2"/>
        <v>#DIV/0!</v>
      </c>
      <c r="N968" s="12" t="str">
        <f t="shared" si="4"/>
        <v/>
      </c>
      <c r="O968" s="18" t="str">
        <f t="shared" si="3"/>
        <v>#DIV/0!</v>
      </c>
      <c r="P968" s="12"/>
    </row>
    <row r="969">
      <c r="C969" s="25"/>
      <c r="D969" s="31"/>
      <c r="E969" s="31"/>
      <c r="F969" s="31"/>
      <c r="G969" s="29"/>
      <c r="H969" s="12"/>
      <c r="I969" s="12"/>
      <c r="J969" s="12"/>
      <c r="K969" s="12"/>
      <c r="L969" s="18" t="str">
        <f t="shared" si="1"/>
        <v>#DIV/0!</v>
      </c>
      <c r="M969" s="18" t="str">
        <f t="shared" si="2"/>
        <v>#DIV/0!</v>
      </c>
      <c r="N969" s="12" t="str">
        <f t="shared" si="4"/>
        <v/>
      </c>
      <c r="O969" s="18" t="str">
        <f t="shared" si="3"/>
        <v>#DIV/0!</v>
      </c>
      <c r="P969" s="12"/>
    </row>
    <row r="970">
      <c r="C970" s="25"/>
      <c r="D970" s="31"/>
      <c r="E970" s="31"/>
      <c r="F970" s="31"/>
      <c r="G970" s="29"/>
      <c r="H970" s="12"/>
      <c r="I970" s="12"/>
      <c r="J970" s="12"/>
      <c r="K970" s="12"/>
      <c r="L970" s="18" t="str">
        <f t="shared" si="1"/>
        <v>#DIV/0!</v>
      </c>
      <c r="M970" s="18" t="str">
        <f t="shared" si="2"/>
        <v>#DIV/0!</v>
      </c>
      <c r="N970" s="12" t="str">
        <f t="shared" si="4"/>
        <v/>
      </c>
      <c r="O970" s="18" t="str">
        <f t="shared" si="3"/>
        <v>#DIV/0!</v>
      </c>
      <c r="P970" s="12"/>
    </row>
    <row r="971">
      <c r="C971" s="25"/>
      <c r="D971" s="31"/>
      <c r="E971" s="31"/>
      <c r="F971" s="31"/>
      <c r="G971" s="29"/>
      <c r="H971" s="12"/>
      <c r="I971" s="12"/>
      <c r="J971" s="12"/>
      <c r="K971" s="12"/>
      <c r="L971" s="18" t="str">
        <f t="shared" si="1"/>
        <v>#DIV/0!</v>
      </c>
      <c r="M971" s="18" t="str">
        <f t="shared" si="2"/>
        <v>#DIV/0!</v>
      </c>
      <c r="N971" s="12" t="str">
        <f t="shared" si="4"/>
        <v/>
      </c>
      <c r="O971" s="18" t="str">
        <f t="shared" si="3"/>
        <v>#DIV/0!</v>
      </c>
      <c r="P971" s="12"/>
    </row>
    <row r="972">
      <c r="C972" s="25"/>
      <c r="D972" s="31"/>
      <c r="E972" s="31"/>
      <c r="F972" s="31"/>
      <c r="G972" s="29"/>
      <c r="H972" s="12"/>
      <c r="I972" s="12"/>
      <c r="J972" s="12"/>
      <c r="K972" s="12"/>
      <c r="L972" s="18" t="str">
        <f t="shared" si="1"/>
        <v>#DIV/0!</v>
      </c>
      <c r="M972" s="18" t="str">
        <f t="shared" si="2"/>
        <v>#DIV/0!</v>
      </c>
      <c r="N972" s="12" t="str">
        <f t="shared" si="4"/>
        <v/>
      </c>
      <c r="O972" s="18" t="str">
        <f t="shared" si="3"/>
        <v>#DIV/0!</v>
      </c>
      <c r="P972" s="12"/>
    </row>
    <row r="973">
      <c r="C973" s="25"/>
      <c r="D973" s="31"/>
      <c r="E973" s="31"/>
      <c r="F973" s="31"/>
      <c r="G973" s="29"/>
      <c r="H973" s="12"/>
      <c r="I973" s="12"/>
      <c r="J973" s="12"/>
      <c r="K973" s="12"/>
      <c r="L973" s="18" t="str">
        <f t="shared" si="1"/>
        <v>#DIV/0!</v>
      </c>
      <c r="M973" s="18" t="str">
        <f t="shared" si="2"/>
        <v>#DIV/0!</v>
      </c>
      <c r="N973" s="12" t="str">
        <f t="shared" si="4"/>
        <v/>
      </c>
      <c r="O973" s="18" t="str">
        <f t="shared" si="3"/>
        <v>#DIV/0!</v>
      </c>
      <c r="P973" s="12"/>
    </row>
    <row r="974">
      <c r="C974" s="25"/>
      <c r="D974" s="31"/>
      <c r="E974" s="31"/>
      <c r="F974" s="31"/>
      <c r="G974" s="29"/>
      <c r="H974" s="12"/>
      <c r="I974" s="12"/>
      <c r="J974" s="12"/>
      <c r="K974" s="12"/>
      <c r="L974" s="18" t="str">
        <f t="shared" si="1"/>
        <v>#DIV/0!</v>
      </c>
      <c r="M974" s="18" t="str">
        <f t="shared" si="2"/>
        <v>#DIV/0!</v>
      </c>
      <c r="N974" s="12" t="str">
        <f t="shared" si="4"/>
        <v/>
      </c>
      <c r="O974" s="18" t="str">
        <f t="shared" si="3"/>
        <v>#DIV/0!</v>
      </c>
      <c r="P974" s="12"/>
    </row>
    <row r="975">
      <c r="C975" s="25"/>
      <c r="D975" s="31"/>
      <c r="E975" s="31"/>
      <c r="F975" s="31"/>
      <c r="G975" s="29"/>
      <c r="H975" s="12"/>
      <c r="I975" s="12"/>
      <c r="J975" s="12"/>
      <c r="K975" s="12"/>
      <c r="L975" s="18" t="str">
        <f t="shared" si="1"/>
        <v>#DIV/0!</v>
      </c>
      <c r="M975" s="18" t="str">
        <f t="shared" si="2"/>
        <v>#DIV/0!</v>
      </c>
      <c r="N975" s="12" t="str">
        <f t="shared" si="4"/>
        <v/>
      </c>
      <c r="O975" s="18" t="str">
        <f t="shared" si="3"/>
        <v>#DIV/0!</v>
      </c>
      <c r="P975" s="12"/>
    </row>
    <row r="976">
      <c r="C976" s="25"/>
      <c r="D976" s="31"/>
      <c r="E976" s="31"/>
      <c r="F976" s="31"/>
      <c r="G976" s="29"/>
      <c r="H976" s="12"/>
      <c r="I976" s="12"/>
      <c r="J976" s="12"/>
      <c r="K976" s="12"/>
      <c r="L976" s="18" t="str">
        <f t="shared" si="1"/>
        <v>#DIV/0!</v>
      </c>
      <c r="M976" s="18" t="str">
        <f t="shared" si="2"/>
        <v>#DIV/0!</v>
      </c>
      <c r="N976" s="12" t="str">
        <f t="shared" si="4"/>
        <v/>
      </c>
      <c r="O976" s="18" t="str">
        <f t="shared" si="3"/>
        <v>#DIV/0!</v>
      </c>
      <c r="P976" s="12"/>
    </row>
    <row r="977">
      <c r="C977" s="25"/>
      <c r="D977" s="31"/>
      <c r="E977" s="31"/>
      <c r="F977" s="31"/>
      <c r="G977" s="29"/>
      <c r="H977" s="12"/>
      <c r="I977" s="12"/>
      <c r="J977" s="12"/>
      <c r="K977" s="12"/>
      <c r="L977" s="18" t="str">
        <f t="shared" si="1"/>
        <v>#DIV/0!</v>
      </c>
      <c r="M977" s="18" t="str">
        <f t="shared" si="2"/>
        <v>#DIV/0!</v>
      </c>
      <c r="N977" s="12" t="str">
        <f t="shared" si="4"/>
        <v/>
      </c>
      <c r="O977" s="18" t="str">
        <f t="shared" si="3"/>
        <v>#DIV/0!</v>
      </c>
      <c r="P977" s="12"/>
    </row>
    <row r="978">
      <c r="C978" s="25"/>
      <c r="D978" s="31"/>
      <c r="E978" s="31"/>
      <c r="F978" s="31"/>
      <c r="G978" s="29"/>
      <c r="H978" s="12"/>
      <c r="I978" s="12"/>
      <c r="J978" s="12"/>
      <c r="K978" s="12"/>
      <c r="L978" s="18" t="str">
        <f t="shared" si="1"/>
        <v>#DIV/0!</v>
      </c>
      <c r="M978" s="18" t="str">
        <f t="shared" si="2"/>
        <v>#DIV/0!</v>
      </c>
      <c r="N978" s="12" t="str">
        <f t="shared" si="4"/>
        <v/>
      </c>
      <c r="O978" s="18" t="str">
        <f t="shared" si="3"/>
        <v>#DIV/0!</v>
      </c>
      <c r="P978" s="12"/>
    </row>
    <row r="979">
      <c r="C979" s="25"/>
      <c r="D979" s="31"/>
      <c r="E979" s="31"/>
      <c r="F979" s="31"/>
      <c r="G979" s="29"/>
      <c r="H979" s="12"/>
      <c r="I979" s="12"/>
      <c r="J979" s="12"/>
      <c r="K979" s="12"/>
      <c r="L979" s="18" t="str">
        <f t="shared" si="1"/>
        <v>#DIV/0!</v>
      </c>
      <c r="M979" s="18" t="str">
        <f t="shared" si="2"/>
        <v>#DIV/0!</v>
      </c>
      <c r="N979" s="12" t="str">
        <f t="shared" si="4"/>
        <v/>
      </c>
      <c r="O979" s="18" t="str">
        <f t="shared" si="3"/>
        <v>#DIV/0!</v>
      </c>
      <c r="P979" s="12"/>
    </row>
    <row r="980">
      <c r="C980" s="25"/>
      <c r="D980" s="31"/>
      <c r="E980" s="31"/>
      <c r="F980" s="31"/>
      <c r="G980" s="29"/>
      <c r="H980" s="12"/>
      <c r="I980" s="12"/>
      <c r="J980" s="12"/>
      <c r="K980" s="12"/>
      <c r="L980" s="18" t="str">
        <f t="shared" si="1"/>
        <v>#DIV/0!</v>
      </c>
      <c r="M980" s="18" t="str">
        <f t="shared" si="2"/>
        <v>#DIV/0!</v>
      </c>
      <c r="N980" s="12" t="str">
        <f t="shared" si="4"/>
        <v/>
      </c>
      <c r="O980" s="18" t="str">
        <f t="shared" si="3"/>
        <v>#DIV/0!</v>
      </c>
      <c r="P980" s="12"/>
    </row>
    <row r="981">
      <c r="C981" s="25"/>
      <c r="D981" s="31"/>
      <c r="E981" s="31"/>
      <c r="F981" s="31"/>
      <c r="G981" s="29"/>
      <c r="H981" s="12"/>
      <c r="I981" s="12"/>
      <c r="J981" s="12"/>
      <c r="K981" s="12"/>
      <c r="L981" s="18" t="str">
        <f t="shared" si="1"/>
        <v>#DIV/0!</v>
      </c>
      <c r="M981" s="18" t="str">
        <f t="shared" si="2"/>
        <v>#DIV/0!</v>
      </c>
      <c r="N981" s="12" t="str">
        <f t="shared" si="4"/>
        <v/>
      </c>
      <c r="O981" s="18" t="str">
        <f t="shared" si="3"/>
        <v>#DIV/0!</v>
      </c>
      <c r="P981" s="12"/>
    </row>
    <row r="982">
      <c r="C982" s="25"/>
      <c r="D982" s="31"/>
      <c r="E982" s="31"/>
      <c r="F982" s="31"/>
      <c r="G982" s="29"/>
      <c r="H982" s="12"/>
      <c r="I982" s="12"/>
      <c r="J982" s="12"/>
      <c r="K982" s="12"/>
      <c r="L982" s="18" t="str">
        <f t="shared" si="1"/>
        <v>#DIV/0!</v>
      </c>
      <c r="M982" s="18" t="str">
        <f t="shared" si="2"/>
        <v>#DIV/0!</v>
      </c>
      <c r="N982" s="12" t="str">
        <f t="shared" si="4"/>
        <v/>
      </c>
      <c r="O982" s="18" t="str">
        <f t="shared" si="3"/>
        <v>#DIV/0!</v>
      </c>
      <c r="P982" s="12"/>
    </row>
    <row r="983">
      <c r="C983" s="25"/>
      <c r="D983" s="31"/>
      <c r="E983" s="31"/>
      <c r="F983" s="31"/>
      <c r="G983" s="29"/>
      <c r="H983" s="12"/>
      <c r="I983" s="12"/>
      <c r="J983" s="12"/>
      <c r="K983" s="12"/>
      <c r="L983" s="18" t="str">
        <f t="shared" si="1"/>
        <v>#DIV/0!</v>
      </c>
      <c r="M983" s="18" t="str">
        <f t="shared" si="2"/>
        <v>#DIV/0!</v>
      </c>
      <c r="N983" s="12" t="str">
        <f t="shared" si="4"/>
        <v/>
      </c>
      <c r="O983" s="18" t="str">
        <f t="shared" si="3"/>
        <v>#DIV/0!</v>
      </c>
      <c r="P983" s="12"/>
    </row>
    <row r="984">
      <c r="C984" s="25"/>
      <c r="D984" s="31"/>
      <c r="E984" s="31"/>
      <c r="F984" s="31"/>
      <c r="G984" s="29"/>
      <c r="H984" s="12"/>
      <c r="I984" s="12"/>
      <c r="J984" s="12"/>
      <c r="K984" s="12"/>
      <c r="L984" s="18" t="str">
        <f t="shared" si="1"/>
        <v>#DIV/0!</v>
      </c>
      <c r="M984" s="18" t="str">
        <f t="shared" si="2"/>
        <v>#DIV/0!</v>
      </c>
      <c r="N984" s="12" t="str">
        <f t="shared" si="4"/>
        <v/>
      </c>
      <c r="O984" s="18" t="str">
        <f t="shared" si="3"/>
        <v>#DIV/0!</v>
      </c>
      <c r="P984" s="12"/>
    </row>
    <row r="985">
      <c r="C985" s="25"/>
      <c r="D985" s="31"/>
      <c r="E985" s="31"/>
      <c r="F985" s="31"/>
      <c r="G985" s="29"/>
      <c r="H985" s="12"/>
      <c r="I985" s="12"/>
      <c r="J985" s="12"/>
      <c r="K985" s="12"/>
      <c r="L985" s="18" t="str">
        <f t="shared" si="1"/>
        <v>#DIV/0!</v>
      </c>
      <c r="M985" s="18" t="str">
        <f t="shared" si="2"/>
        <v>#DIV/0!</v>
      </c>
      <c r="N985" s="12" t="str">
        <f t="shared" si="4"/>
        <v/>
      </c>
      <c r="O985" s="18" t="str">
        <f t="shared" si="3"/>
        <v>#DIV/0!</v>
      </c>
      <c r="P985" s="12"/>
    </row>
    <row r="986">
      <c r="C986" s="25"/>
      <c r="D986" s="31"/>
      <c r="E986" s="31"/>
      <c r="F986" s="31"/>
      <c r="G986" s="29"/>
      <c r="H986" s="12"/>
      <c r="I986" s="12"/>
      <c r="J986" s="12"/>
      <c r="K986" s="12"/>
      <c r="L986" s="18" t="str">
        <f t="shared" si="1"/>
        <v>#DIV/0!</v>
      </c>
      <c r="M986" s="18" t="str">
        <f t="shared" si="2"/>
        <v>#DIV/0!</v>
      </c>
      <c r="N986" s="12" t="str">
        <f t="shared" si="4"/>
        <v/>
      </c>
      <c r="O986" s="18" t="str">
        <f t="shared" si="3"/>
        <v>#DIV/0!</v>
      </c>
      <c r="P986" s="12"/>
    </row>
    <row r="987">
      <c r="C987" s="25"/>
      <c r="D987" s="31"/>
      <c r="E987" s="31"/>
      <c r="F987" s="31"/>
      <c r="G987" s="29"/>
      <c r="H987" s="12"/>
      <c r="I987" s="12"/>
      <c r="J987" s="12"/>
      <c r="K987" s="12"/>
      <c r="L987" s="18" t="str">
        <f t="shared" si="1"/>
        <v>#DIV/0!</v>
      </c>
      <c r="M987" s="18" t="str">
        <f t="shared" si="2"/>
        <v>#DIV/0!</v>
      </c>
      <c r="N987" s="12" t="str">
        <f t="shared" si="4"/>
        <v/>
      </c>
      <c r="O987" s="18" t="str">
        <f t="shared" si="3"/>
        <v>#DIV/0!</v>
      </c>
      <c r="P987" s="12"/>
    </row>
    <row r="988">
      <c r="C988" s="25"/>
      <c r="D988" s="31"/>
      <c r="E988" s="31"/>
      <c r="F988" s="31"/>
      <c r="G988" s="29"/>
      <c r="H988" s="12"/>
      <c r="I988" s="12"/>
      <c r="J988" s="12"/>
      <c r="K988" s="12"/>
      <c r="L988" s="18" t="str">
        <f t="shared" si="1"/>
        <v>#DIV/0!</v>
      </c>
      <c r="M988" s="18" t="str">
        <f t="shared" si="2"/>
        <v>#DIV/0!</v>
      </c>
      <c r="N988" s="12" t="str">
        <f t="shared" si="4"/>
        <v/>
      </c>
      <c r="O988" s="18" t="str">
        <f t="shared" si="3"/>
        <v>#DIV/0!</v>
      </c>
      <c r="P988" s="12"/>
    </row>
    <row r="989">
      <c r="C989" s="25"/>
      <c r="D989" s="31"/>
      <c r="E989" s="31"/>
      <c r="F989" s="31"/>
      <c r="G989" s="29"/>
      <c r="H989" s="12"/>
      <c r="I989" s="12"/>
      <c r="J989" s="12"/>
      <c r="K989" s="12"/>
      <c r="L989" s="18" t="str">
        <f t="shared" si="1"/>
        <v>#DIV/0!</v>
      </c>
      <c r="M989" s="18" t="str">
        <f t="shared" si="2"/>
        <v>#DIV/0!</v>
      </c>
      <c r="N989" s="12" t="str">
        <f t="shared" si="4"/>
        <v/>
      </c>
      <c r="O989" s="18" t="str">
        <f t="shared" si="3"/>
        <v>#DIV/0!</v>
      </c>
      <c r="P989" s="12"/>
    </row>
    <row r="990">
      <c r="C990" s="25"/>
      <c r="D990" s="31"/>
      <c r="E990" s="31"/>
      <c r="F990" s="31"/>
      <c r="G990" s="29"/>
      <c r="H990" s="12"/>
      <c r="I990" s="12"/>
      <c r="J990" s="12"/>
      <c r="K990" s="12"/>
      <c r="L990" s="18" t="str">
        <f t="shared" si="1"/>
        <v>#DIV/0!</v>
      </c>
      <c r="M990" s="18" t="str">
        <f t="shared" si="2"/>
        <v>#DIV/0!</v>
      </c>
      <c r="N990" s="12" t="str">
        <f t="shared" si="4"/>
        <v/>
      </c>
      <c r="O990" s="18" t="str">
        <f t="shared" si="3"/>
        <v>#DIV/0!</v>
      </c>
      <c r="P990" s="12"/>
    </row>
    <row r="991">
      <c r="C991" s="25"/>
      <c r="D991" s="31"/>
      <c r="E991" s="31"/>
      <c r="F991" s="31"/>
      <c r="G991" s="29"/>
      <c r="H991" s="12"/>
      <c r="I991" s="12"/>
      <c r="J991" s="12"/>
      <c r="K991" s="12"/>
      <c r="L991" s="18" t="str">
        <f t="shared" si="1"/>
        <v>#DIV/0!</v>
      </c>
      <c r="M991" s="18" t="str">
        <f t="shared" si="2"/>
        <v>#DIV/0!</v>
      </c>
      <c r="N991" s="12" t="str">
        <f t="shared" si="4"/>
        <v/>
      </c>
      <c r="O991" s="18" t="str">
        <f t="shared" si="3"/>
        <v>#DIV/0!</v>
      </c>
      <c r="P991" s="12"/>
    </row>
    <row r="992">
      <c r="C992" s="25"/>
      <c r="D992" s="31"/>
      <c r="E992" s="31"/>
      <c r="F992" s="31"/>
      <c r="G992" s="29"/>
      <c r="H992" s="12"/>
      <c r="I992" s="12"/>
      <c r="J992" s="12"/>
      <c r="K992" s="12"/>
      <c r="L992" s="18" t="str">
        <f t="shared" si="1"/>
        <v>#DIV/0!</v>
      </c>
      <c r="M992" s="18" t="str">
        <f t="shared" si="2"/>
        <v>#DIV/0!</v>
      </c>
      <c r="N992" s="12" t="str">
        <f t="shared" si="4"/>
        <v/>
      </c>
      <c r="O992" s="18" t="str">
        <f t="shared" si="3"/>
        <v>#DIV/0!</v>
      </c>
      <c r="P992" s="12"/>
    </row>
    <row r="993">
      <c r="C993" s="25"/>
      <c r="D993" s="31"/>
      <c r="E993" s="31"/>
      <c r="F993" s="31"/>
      <c r="G993" s="29"/>
      <c r="H993" s="12"/>
      <c r="I993" s="12"/>
      <c r="J993" s="12"/>
      <c r="K993" s="12"/>
      <c r="L993" s="18" t="str">
        <f t="shared" si="1"/>
        <v>#DIV/0!</v>
      </c>
      <c r="M993" s="18" t="str">
        <f t="shared" si="2"/>
        <v>#DIV/0!</v>
      </c>
      <c r="N993" s="12" t="str">
        <f t="shared" si="4"/>
        <v/>
      </c>
      <c r="O993" s="18" t="str">
        <f t="shared" si="3"/>
        <v>#DIV/0!</v>
      </c>
      <c r="P993" s="12"/>
    </row>
    <row r="994">
      <c r="C994" s="25"/>
      <c r="D994" s="31"/>
      <c r="E994" s="31"/>
      <c r="F994" s="31"/>
      <c r="G994" s="29"/>
      <c r="H994" s="12"/>
      <c r="I994" s="12"/>
      <c r="J994" s="12"/>
      <c r="K994" s="12"/>
      <c r="L994" s="18" t="str">
        <f t="shared" si="1"/>
        <v>#DIV/0!</v>
      </c>
      <c r="M994" s="18" t="str">
        <f t="shared" si="2"/>
        <v>#DIV/0!</v>
      </c>
      <c r="N994" s="12" t="str">
        <f t="shared" si="4"/>
        <v/>
      </c>
      <c r="O994" s="18" t="str">
        <f t="shared" si="3"/>
        <v>#DIV/0!</v>
      </c>
      <c r="P994" s="12"/>
    </row>
    <row r="995">
      <c r="C995" s="25"/>
      <c r="D995" s="31"/>
      <c r="E995" s="31"/>
      <c r="F995" s="31"/>
      <c r="G995" s="29"/>
      <c r="H995" s="12"/>
      <c r="I995" s="12"/>
      <c r="J995" s="12"/>
      <c r="K995" s="12"/>
      <c r="L995" s="18" t="str">
        <f t="shared" si="1"/>
        <v>#DIV/0!</v>
      </c>
      <c r="M995" s="18" t="str">
        <f t="shared" si="2"/>
        <v>#DIV/0!</v>
      </c>
      <c r="N995" s="12" t="str">
        <f t="shared" si="4"/>
        <v/>
      </c>
      <c r="O995" s="18" t="str">
        <f t="shared" si="3"/>
        <v>#DIV/0!</v>
      </c>
      <c r="P995" s="12"/>
    </row>
    <row r="996">
      <c r="C996" s="25"/>
      <c r="D996" s="31"/>
      <c r="E996" s="31"/>
      <c r="F996" s="31"/>
      <c r="G996" s="29"/>
      <c r="H996" s="12"/>
      <c r="I996" s="12"/>
      <c r="J996" s="12"/>
      <c r="K996" s="12"/>
      <c r="L996" s="18" t="str">
        <f t="shared" si="1"/>
        <v>#DIV/0!</v>
      </c>
      <c r="M996" s="18" t="str">
        <f t="shared" si="2"/>
        <v>#DIV/0!</v>
      </c>
      <c r="N996" s="12" t="str">
        <f t="shared" si="4"/>
        <v/>
      </c>
      <c r="O996" s="18" t="str">
        <f t="shared" si="3"/>
        <v>#DIV/0!</v>
      </c>
      <c r="P996" s="12"/>
    </row>
    <row r="997">
      <c r="C997" s="25"/>
      <c r="D997" s="31"/>
      <c r="E997" s="31"/>
      <c r="F997" s="31"/>
      <c r="G997" s="29"/>
      <c r="H997" s="12"/>
      <c r="I997" s="12"/>
      <c r="J997" s="12"/>
      <c r="K997" s="12"/>
      <c r="L997" s="18" t="str">
        <f t="shared" si="1"/>
        <v>#DIV/0!</v>
      </c>
      <c r="M997" s="18" t="str">
        <f t="shared" si="2"/>
        <v>#DIV/0!</v>
      </c>
      <c r="N997" s="12" t="str">
        <f t="shared" si="4"/>
        <v/>
      </c>
      <c r="O997" s="18" t="str">
        <f t="shared" si="3"/>
        <v>#DIV/0!</v>
      </c>
      <c r="P997" s="12"/>
    </row>
    <row r="998">
      <c r="C998" s="25"/>
      <c r="D998" s="31"/>
      <c r="E998" s="31"/>
      <c r="F998" s="31"/>
      <c r="G998" s="29"/>
      <c r="H998" s="12"/>
      <c r="I998" s="12"/>
      <c r="J998" s="12"/>
      <c r="K998" s="12"/>
      <c r="L998" s="18" t="str">
        <f t="shared" si="1"/>
        <v>#DIV/0!</v>
      </c>
      <c r="M998" s="18" t="str">
        <f t="shared" si="2"/>
        <v>#DIV/0!</v>
      </c>
      <c r="N998" s="12" t="str">
        <f t="shared" si="4"/>
        <v/>
      </c>
      <c r="O998" s="18" t="str">
        <f t="shared" si="3"/>
        <v>#DIV/0!</v>
      </c>
      <c r="P998" s="12"/>
    </row>
    <row r="999">
      <c r="C999" s="25"/>
      <c r="D999" s="31"/>
      <c r="E999" s="31"/>
      <c r="F999" s="31"/>
      <c r="G999" s="29"/>
      <c r="H999" s="12"/>
      <c r="I999" s="12"/>
      <c r="J999" s="12"/>
      <c r="K999" s="12"/>
      <c r="L999" s="18" t="str">
        <f t="shared" si="1"/>
        <v>#DIV/0!</v>
      </c>
      <c r="M999" s="18" t="str">
        <f t="shared" si="2"/>
        <v>#DIV/0!</v>
      </c>
      <c r="N999" s="12" t="str">
        <f t="shared" si="4"/>
        <v/>
      </c>
      <c r="O999" s="18" t="str">
        <f t="shared" si="3"/>
        <v>#DIV/0!</v>
      </c>
      <c r="P999" s="12"/>
    </row>
    <row r="1000">
      <c r="C1000" s="25"/>
      <c r="D1000" s="31"/>
      <c r="E1000" s="31"/>
      <c r="F1000" s="31"/>
      <c r="G1000" s="29"/>
      <c r="H1000" s="12"/>
      <c r="I1000" s="12"/>
      <c r="J1000" s="12"/>
      <c r="K1000" s="12"/>
      <c r="L1000" s="18" t="str">
        <f t="shared" si="1"/>
        <v>#DIV/0!</v>
      </c>
      <c r="M1000" s="18" t="str">
        <f t="shared" si="2"/>
        <v>#DIV/0!</v>
      </c>
      <c r="N1000" s="12" t="str">
        <f t="shared" si="4"/>
        <v/>
      </c>
      <c r="O1000" s="18" t="str">
        <f t="shared" si="3"/>
        <v>#DIV/0!</v>
      </c>
      <c r="P1000" s="12"/>
    </row>
    <row r="1001">
      <c r="C1001" s="25"/>
      <c r="D1001" s="31"/>
      <c r="E1001" s="31"/>
      <c r="F1001" s="31"/>
      <c r="G1001" s="29"/>
      <c r="H1001" s="12"/>
      <c r="I1001" s="12"/>
      <c r="J1001" s="12"/>
      <c r="K1001" s="12"/>
      <c r="L1001" s="18" t="str">
        <f t="shared" si="1"/>
        <v>#DIV/0!</v>
      </c>
      <c r="M1001" s="18" t="str">
        <f t="shared" si="2"/>
        <v>#DIV/0!</v>
      </c>
      <c r="N1001" s="12" t="str">
        <f t="shared" si="4"/>
        <v/>
      </c>
      <c r="O1001" s="18" t="str">
        <f t="shared" si="3"/>
        <v>#DIV/0!</v>
      </c>
      <c r="P1001" s="12"/>
    </row>
    <row r="1002">
      <c r="C1002" s="25"/>
      <c r="D1002" s="31"/>
      <c r="E1002" s="31"/>
      <c r="F1002" s="31"/>
      <c r="G1002" s="29"/>
      <c r="H1002" s="12"/>
      <c r="I1002" s="12"/>
      <c r="J1002" s="12"/>
      <c r="K1002" s="12"/>
      <c r="L1002" s="18" t="str">
        <f t="shared" si="1"/>
        <v>#DIV/0!</v>
      </c>
      <c r="M1002" s="18" t="str">
        <f t="shared" si="2"/>
        <v>#DIV/0!</v>
      </c>
      <c r="N1002" s="12" t="str">
        <f t="shared" si="4"/>
        <v/>
      </c>
      <c r="O1002" s="18" t="str">
        <f t="shared" si="3"/>
        <v>#DIV/0!</v>
      </c>
      <c r="P1002" s="12"/>
    </row>
    <row r="1003">
      <c r="C1003" s="25"/>
      <c r="D1003" s="31"/>
      <c r="E1003" s="31"/>
      <c r="F1003" s="31"/>
      <c r="G1003" s="29"/>
      <c r="H1003" s="12"/>
      <c r="I1003" s="12"/>
      <c r="J1003" s="12"/>
      <c r="K1003" s="12"/>
      <c r="L1003" s="18" t="str">
        <f t="shared" si="1"/>
        <v>#DIV/0!</v>
      </c>
      <c r="M1003" s="18" t="str">
        <f t="shared" si="2"/>
        <v>#DIV/0!</v>
      </c>
      <c r="N1003" s="12" t="str">
        <f t="shared" si="4"/>
        <v/>
      </c>
      <c r="O1003" s="18" t="str">
        <f t="shared" si="3"/>
        <v>#DIV/0!</v>
      </c>
      <c r="P1003" s="12"/>
    </row>
  </sheetData>
  <autoFilter ref="$D$1:$G$101"/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</hyperlinks>
  <drawing r:id="rId34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8.13"/>
    <col customWidth="1" min="4" max="4" width="13.5"/>
    <col customWidth="1" min="17" max="17" width="17.75"/>
  </cols>
  <sheetData>
    <row r="1">
      <c r="A1" s="21" t="s">
        <v>0</v>
      </c>
      <c r="B1" s="21" t="s">
        <v>1</v>
      </c>
      <c r="C1" s="33" t="s">
        <v>2</v>
      </c>
      <c r="D1" s="21" t="s">
        <v>3825</v>
      </c>
      <c r="E1" s="23" t="s">
        <v>4</v>
      </c>
      <c r="F1" s="23" t="s">
        <v>5</v>
      </c>
      <c r="G1" s="23" t="s">
        <v>6</v>
      </c>
      <c r="H1" s="2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>
      <c r="A2" s="1" t="s">
        <v>34</v>
      </c>
      <c r="B2" s="7" t="s">
        <v>35</v>
      </c>
      <c r="C2" s="2" t="s">
        <v>3826</v>
      </c>
      <c r="D2" s="1" t="s">
        <v>3827</v>
      </c>
      <c r="E2" s="26">
        <f>VLOOKUP(A2,'Web_of_Science_20251015 '!A:E,5,0)</f>
        <v>4</v>
      </c>
      <c r="F2" s="28">
        <v>2.0</v>
      </c>
      <c r="G2" s="27">
        <v>0.0</v>
      </c>
      <c r="H2" s="24" t="s">
        <v>21</v>
      </c>
      <c r="I2" s="10">
        <f>IFERROR(__xludf.DUMMYFUNCTION("AVERAGE(FILTER(M2:M100,ISNUMBER(M2:M100)))"),0.688876863876864)</f>
        <v>0.6888768639</v>
      </c>
      <c r="J2" s="10">
        <f>IFERROR(__xludf.DUMMYFUNCTION("AVERAGE(FILTER(N2:N100,ISNUMBER(N2:N100)))"),0.11683501683501682)</f>
        <v>0.1168350168</v>
      </c>
      <c r="K2" s="10">
        <f>IFERROR(__xludf.DUMMYFUNCTION("AVERAGE(FILTER(O2:O100,ISNUMBER(O2:O100)))"),0.9595959595959596)</f>
        <v>0.9595959596</v>
      </c>
      <c r="L2" s="10">
        <f>IFERROR(__xludf.DUMMYFUNCTION("AVERAGE(FILTER(P2:P100,ISNUMBER(P2:P100)))"),0.8882154882154882)</f>
        <v>0.8882154882</v>
      </c>
      <c r="M2" s="10">
        <f t="shared" ref="M2:M686" si="1">F2/E2</f>
        <v>0.5</v>
      </c>
      <c r="N2" s="10">
        <f t="shared" ref="N2:N686" si="2">G2/E2</f>
        <v>0</v>
      </c>
      <c r="O2" s="10">
        <f>IFERROR(__xludf.DUMMYFUNCTION("INT(FILTER(GT(F2,0),ISNUMBER(F2)))"),1.0)</f>
        <v>1</v>
      </c>
      <c r="P2" s="10">
        <f t="shared" ref="P2:P686" si="3">F2/(F2+G2)</f>
        <v>1</v>
      </c>
      <c r="Q2" s="10">
        <f>IFERROR(__xludf.DUMMYFUNCTION("INT(FILTER(EQ(E2,F2),ISNUMBER(E2),ISNUMBER(F2)))"),0.0)</f>
        <v>0</v>
      </c>
    </row>
    <row r="3">
      <c r="A3" s="1" t="s">
        <v>42</v>
      </c>
      <c r="B3" s="7" t="s">
        <v>43</v>
      </c>
      <c r="C3" s="2" t="s">
        <v>3828</v>
      </c>
      <c r="D3" s="7" t="s">
        <v>3829</v>
      </c>
      <c r="E3" s="26">
        <f>VLOOKUP(A3,'Web_of_Science_20251015 '!A:E,5,0)</f>
        <v>1</v>
      </c>
      <c r="F3" s="28">
        <v>0.0</v>
      </c>
      <c r="G3" s="27">
        <v>1.0</v>
      </c>
      <c r="H3" s="24" t="s">
        <v>21</v>
      </c>
      <c r="I3" s="11" t="s">
        <v>26</v>
      </c>
      <c r="J3" s="11" t="s">
        <v>27</v>
      </c>
      <c r="K3" s="11" t="s">
        <v>28</v>
      </c>
      <c r="L3" s="11" t="s">
        <v>29</v>
      </c>
      <c r="M3" s="10">
        <f t="shared" si="1"/>
        <v>0</v>
      </c>
      <c r="N3" s="10">
        <f t="shared" si="2"/>
        <v>1</v>
      </c>
      <c r="O3" s="10">
        <f>IFERROR(__xludf.DUMMYFUNCTION("INT(FILTER(GT(F3,0),ISNUMBER(F3)))"),0.0)</f>
        <v>0</v>
      </c>
      <c r="P3" s="10">
        <f t="shared" si="3"/>
        <v>0</v>
      </c>
      <c r="Q3" s="10">
        <f>IFERROR(__xludf.DUMMYFUNCTION("INT(FILTER(EQ(E3,F3),ISNUMBER(E3),ISNUMBER(F3)))"),0.0)</f>
        <v>0</v>
      </c>
    </row>
    <row r="4">
      <c r="A4" s="1" t="s">
        <v>46</v>
      </c>
      <c r="B4" s="7" t="s">
        <v>47</v>
      </c>
      <c r="C4" s="2" t="s">
        <v>3830</v>
      </c>
      <c r="D4" s="7" t="s">
        <v>3831</v>
      </c>
      <c r="E4" s="26">
        <f>VLOOKUP(A4,'Web_of_Science_20251015 '!A:E,5,0)</f>
        <v>1</v>
      </c>
      <c r="F4" s="28">
        <v>1.0</v>
      </c>
      <c r="G4" s="28">
        <v>0.0</v>
      </c>
      <c r="H4" s="24" t="s">
        <v>21</v>
      </c>
      <c r="I4" s="10">
        <f>IFERROR(__xludf.DUMMYFUNCTION("SUM(FILTER(F2:F100,ISNUMBER(F2:F100)))/SUM(FILTER(E2:E100,ISNUMBER(F2:F100)))"),0.6068702290076335)</f>
        <v>0.606870229</v>
      </c>
      <c r="J4" s="10">
        <f>IFERROR(__xludf.DUMMYFUNCTION("SUM(FILTER(G2:G100,ISNUMBER(G2:G100)))/SUM(FILTER(E2:E100,ISNUMBER(G2:G100)))"),0.08778625954198473)</f>
        <v>0.08778625954</v>
      </c>
      <c r="K4" s="10">
        <f>IFERROR(__xludf.DUMMYFUNCTION("AVERAGE(FILTER(Q2:Q100,ISNUMBER(Q2:Q100)))"),0.48148148148148145)</f>
        <v>0.4814814815</v>
      </c>
      <c r="L4" s="10">
        <f>IFERROR(__xludf.DUMMYFUNCTION("SUM(FILTER(F2:F100,ISNUMBER(F2:F100)))/(SUM(FILTER(F2:F100,ISNUMBER(F2:F100)))+SUM(FILTER(G2:G100,ISNUMBER(F2:F100))))"),0.8736263736263736)</f>
        <v>0.8736263736</v>
      </c>
      <c r="M4" s="10">
        <f t="shared" si="1"/>
        <v>1</v>
      </c>
      <c r="N4" s="10">
        <f t="shared" si="2"/>
        <v>0</v>
      </c>
      <c r="O4" s="10">
        <f>IFERROR(__xludf.DUMMYFUNCTION("INT(FILTER(GT(F4,0),ISNUMBER(F4)))"),1.0)</f>
        <v>1</v>
      </c>
      <c r="P4" s="10">
        <f t="shared" si="3"/>
        <v>1</v>
      </c>
      <c r="Q4" s="10">
        <f>IFERROR(__xludf.DUMMYFUNCTION("INT(FILTER(EQ(E4,F4),ISNUMBER(E4),ISNUMBER(F4)))"),1.0)</f>
        <v>1</v>
      </c>
    </row>
    <row r="5">
      <c r="A5" s="1" t="s">
        <v>54</v>
      </c>
      <c r="B5" s="7" t="s">
        <v>55</v>
      </c>
      <c r="C5" s="2" t="s">
        <v>3832</v>
      </c>
      <c r="D5" s="7" t="s">
        <v>3833</v>
      </c>
      <c r="E5" s="26">
        <f>VLOOKUP(A5,'Web_of_Science_20251015 '!A:E,5,0)</f>
        <v>1</v>
      </c>
      <c r="F5" s="28">
        <v>1.0</v>
      </c>
      <c r="G5" s="28">
        <v>0.0</v>
      </c>
      <c r="H5" s="24" t="s">
        <v>21</v>
      </c>
      <c r="I5" s="12"/>
      <c r="J5" s="12"/>
      <c r="K5" s="12"/>
      <c r="L5" s="12"/>
      <c r="M5" s="10">
        <f t="shared" si="1"/>
        <v>1</v>
      </c>
      <c r="N5" s="10">
        <f t="shared" si="2"/>
        <v>0</v>
      </c>
      <c r="O5" s="10">
        <f>IFERROR(__xludf.DUMMYFUNCTION("INT(FILTER(GT(F5,0),ISNUMBER(F5)))"),1.0)</f>
        <v>1</v>
      </c>
      <c r="P5" s="10">
        <f t="shared" si="3"/>
        <v>1</v>
      </c>
      <c r="Q5" s="10">
        <f>IFERROR(__xludf.DUMMYFUNCTION("INT(FILTER(EQ(E5,F5),ISNUMBER(E5),ISNUMBER(F5)))"),1.0)</f>
        <v>1</v>
      </c>
    </row>
    <row r="6">
      <c r="A6" s="1" t="s">
        <v>58</v>
      </c>
      <c r="B6" s="7" t="s">
        <v>59</v>
      </c>
      <c r="C6" s="2" t="s">
        <v>3834</v>
      </c>
      <c r="D6" s="1" t="s">
        <v>3835</v>
      </c>
      <c r="E6" s="26">
        <f>VLOOKUP(A6,'Web_of_Science_20251015 '!A:E,5,0)</f>
        <v>2</v>
      </c>
      <c r="F6" s="28">
        <v>2.0</v>
      </c>
      <c r="G6" s="28">
        <v>0.0</v>
      </c>
      <c r="H6" s="24" t="s">
        <v>21</v>
      </c>
      <c r="I6" s="12"/>
      <c r="J6" s="12"/>
      <c r="K6" s="12"/>
      <c r="L6" s="12"/>
      <c r="M6" s="10">
        <f t="shared" si="1"/>
        <v>1</v>
      </c>
      <c r="N6" s="10">
        <f t="shared" si="2"/>
        <v>0</v>
      </c>
      <c r="O6" s="10">
        <f>IFERROR(__xludf.DUMMYFUNCTION("INT(FILTER(GT(F6,0),ISNUMBER(F6)))"),1.0)</f>
        <v>1</v>
      </c>
      <c r="P6" s="10">
        <f t="shared" si="3"/>
        <v>1</v>
      </c>
      <c r="Q6" s="10">
        <f>IFERROR(__xludf.DUMMYFUNCTION("INT(FILTER(EQ(E6,F6),ISNUMBER(E6),ISNUMBER(F6)))"),1.0)</f>
        <v>1</v>
      </c>
    </row>
    <row r="7">
      <c r="A7" s="1" t="s">
        <v>62</v>
      </c>
      <c r="B7" s="7" t="s">
        <v>63</v>
      </c>
      <c r="C7" s="2" t="s">
        <v>3836</v>
      </c>
      <c r="D7" s="1" t="s">
        <v>3837</v>
      </c>
      <c r="E7" s="26">
        <f>VLOOKUP(A7,'Web_of_Science_20251015 '!A:E,5,0)</f>
        <v>2</v>
      </c>
      <c r="F7" s="28">
        <v>2.0</v>
      </c>
      <c r="G7" s="28">
        <v>0.0</v>
      </c>
      <c r="H7" s="24" t="s">
        <v>21</v>
      </c>
      <c r="I7" s="12"/>
      <c r="J7" s="12"/>
      <c r="K7" s="12"/>
      <c r="L7" s="12"/>
      <c r="M7" s="10">
        <f t="shared" si="1"/>
        <v>1</v>
      </c>
      <c r="N7" s="10">
        <f t="shared" si="2"/>
        <v>0</v>
      </c>
      <c r="O7" s="10">
        <f>IFERROR(__xludf.DUMMYFUNCTION("INT(FILTER(GT(F7,0),ISNUMBER(F7)))"),1.0)</f>
        <v>1</v>
      </c>
      <c r="P7" s="10">
        <f t="shared" si="3"/>
        <v>1</v>
      </c>
      <c r="Q7" s="10">
        <f>IFERROR(__xludf.DUMMYFUNCTION("INT(FILTER(EQ(E7,F7),ISNUMBER(E7),ISNUMBER(F7)))"),1.0)</f>
        <v>1</v>
      </c>
    </row>
    <row r="8">
      <c r="A8" s="1" t="s">
        <v>70</v>
      </c>
      <c r="B8" s="7" t="s">
        <v>71</v>
      </c>
      <c r="C8" s="2" t="s">
        <v>3838</v>
      </c>
      <c r="D8" s="7" t="s">
        <v>3839</v>
      </c>
      <c r="E8" s="26">
        <f>VLOOKUP(A8,'Web_of_Science_20251015 '!A:E,5,0)</f>
        <v>2</v>
      </c>
      <c r="F8" s="28">
        <v>0.0</v>
      </c>
      <c r="G8" s="28">
        <v>1.0</v>
      </c>
      <c r="H8" s="24" t="s">
        <v>21</v>
      </c>
      <c r="I8" s="12"/>
      <c r="J8" s="12"/>
      <c r="K8" s="12"/>
      <c r="L8" s="12"/>
      <c r="M8" s="10">
        <f t="shared" si="1"/>
        <v>0</v>
      </c>
      <c r="N8" s="10">
        <f t="shared" si="2"/>
        <v>0.5</v>
      </c>
      <c r="O8" s="10">
        <f>IFERROR(__xludf.DUMMYFUNCTION("INT(FILTER(GT(F8,0),ISNUMBER(F8)))"),0.0)</f>
        <v>0</v>
      </c>
      <c r="P8" s="10">
        <f t="shared" si="3"/>
        <v>0</v>
      </c>
      <c r="Q8" s="10">
        <f>IFERROR(__xludf.DUMMYFUNCTION("INT(FILTER(EQ(E8,F8),ISNUMBER(E8),ISNUMBER(F8)))"),0.0)</f>
        <v>0</v>
      </c>
    </row>
    <row r="9">
      <c r="A9" s="1" t="s">
        <v>74</v>
      </c>
      <c r="B9" s="7" t="s">
        <v>75</v>
      </c>
      <c r="C9" s="2" t="s">
        <v>3840</v>
      </c>
      <c r="D9" s="1" t="s">
        <v>3841</v>
      </c>
      <c r="E9" s="26">
        <f>VLOOKUP(A9,'Web_of_Science_20251015 '!A:E,5,0)</f>
        <v>1</v>
      </c>
      <c r="F9" s="28">
        <v>1.0</v>
      </c>
      <c r="G9" s="28">
        <v>1.0</v>
      </c>
      <c r="H9" s="24" t="s">
        <v>21</v>
      </c>
      <c r="I9" s="12"/>
      <c r="J9" s="12"/>
      <c r="K9" s="12"/>
      <c r="L9" s="12"/>
      <c r="M9" s="10">
        <f t="shared" si="1"/>
        <v>1</v>
      </c>
      <c r="N9" s="10">
        <f t="shared" si="2"/>
        <v>1</v>
      </c>
      <c r="O9" s="10">
        <f>IFERROR(__xludf.DUMMYFUNCTION("INT(FILTER(GT(F9,0),ISNUMBER(F9)))"),1.0)</f>
        <v>1</v>
      </c>
      <c r="P9" s="10">
        <f t="shared" si="3"/>
        <v>0.5</v>
      </c>
      <c r="Q9" s="10">
        <f>IFERROR(__xludf.DUMMYFUNCTION("INT(FILTER(EQ(E9,F9),ISNUMBER(E9),ISNUMBER(F9)))"),1.0)</f>
        <v>1</v>
      </c>
    </row>
    <row r="10">
      <c r="A10" s="1" t="s">
        <v>78</v>
      </c>
      <c r="B10" s="7" t="s">
        <v>79</v>
      </c>
      <c r="C10" s="2" t="s">
        <v>3842</v>
      </c>
      <c r="D10" s="7" t="s">
        <v>3843</v>
      </c>
      <c r="E10" s="26">
        <f>VLOOKUP(A10,'Web_of_Science_20251015 '!A:E,5,0)</f>
        <v>1</v>
      </c>
      <c r="F10" s="28">
        <v>1.0</v>
      </c>
      <c r="G10" s="28">
        <v>0.0</v>
      </c>
      <c r="H10" s="24" t="s">
        <v>21</v>
      </c>
      <c r="I10" s="12"/>
      <c r="J10" s="12"/>
      <c r="K10" s="12"/>
      <c r="L10" s="12"/>
      <c r="M10" s="10">
        <f t="shared" si="1"/>
        <v>1</v>
      </c>
      <c r="N10" s="10">
        <f t="shared" si="2"/>
        <v>0</v>
      </c>
      <c r="O10" s="10">
        <f>IFERROR(__xludf.DUMMYFUNCTION("INT(FILTER(GT(F10,0),ISNUMBER(F10)))"),1.0)</f>
        <v>1</v>
      </c>
      <c r="P10" s="10">
        <f t="shared" si="3"/>
        <v>1</v>
      </c>
      <c r="Q10" s="10">
        <f>IFERROR(__xludf.DUMMYFUNCTION("INT(FILTER(EQ(E10,F10),ISNUMBER(E10),ISNUMBER(F10)))"),1.0)</f>
        <v>1</v>
      </c>
    </row>
    <row r="11">
      <c r="A11" s="1" t="s">
        <v>82</v>
      </c>
      <c r="B11" s="7" t="s">
        <v>83</v>
      </c>
      <c r="C11" s="2" t="s">
        <v>3844</v>
      </c>
      <c r="D11" s="1" t="s">
        <v>3845</v>
      </c>
      <c r="E11" s="26">
        <f>VLOOKUP(A11,'Web_of_Science_20251015 '!A:E,5,0)</f>
        <v>4</v>
      </c>
      <c r="F11" s="28">
        <v>2.0</v>
      </c>
      <c r="G11" s="28">
        <v>0.0</v>
      </c>
      <c r="H11" s="24" t="s">
        <v>21</v>
      </c>
      <c r="I11" s="12"/>
      <c r="J11" s="12"/>
      <c r="K11" s="12"/>
      <c r="L11" s="12"/>
      <c r="M11" s="10">
        <f t="shared" si="1"/>
        <v>0.5</v>
      </c>
      <c r="N11" s="10">
        <f t="shared" si="2"/>
        <v>0</v>
      </c>
      <c r="O11" s="10">
        <f>IFERROR(__xludf.DUMMYFUNCTION("INT(FILTER(GT(F11,0),ISNUMBER(F11)))"),1.0)</f>
        <v>1</v>
      </c>
      <c r="P11" s="10">
        <f t="shared" si="3"/>
        <v>1</v>
      </c>
      <c r="Q11" s="12"/>
    </row>
    <row r="12">
      <c r="A12" s="1" t="s">
        <v>90</v>
      </c>
      <c r="B12" s="7" t="s">
        <v>91</v>
      </c>
      <c r="C12" s="2" t="s">
        <v>3838</v>
      </c>
      <c r="D12" s="7" t="s">
        <v>3839</v>
      </c>
      <c r="E12" s="26">
        <f>VLOOKUP(A12,'Web_of_Science_20251015 '!A:E,5,0)</f>
        <v>2</v>
      </c>
      <c r="F12" s="28">
        <v>1.0</v>
      </c>
      <c r="G12" s="28">
        <v>0.0</v>
      </c>
      <c r="H12" s="24" t="s">
        <v>21</v>
      </c>
      <c r="I12" s="12"/>
      <c r="J12" s="12"/>
      <c r="K12" s="12"/>
      <c r="L12" s="12"/>
      <c r="M12" s="10">
        <f t="shared" si="1"/>
        <v>0.5</v>
      </c>
      <c r="N12" s="10">
        <f t="shared" si="2"/>
        <v>0</v>
      </c>
      <c r="O12" s="10">
        <f>IFERROR(__xludf.DUMMYFUNCTION("INT(FILTER(GT(F12,0),ISNUMBER(F12)))"),1.0)</f>
        <v>1</v>
      </c>
      <c r="P12" s="10">
        <f t="shared" si="3"/>
        <v>1</v>
      </c>
      <c r="Q12" s="10">
        <f>IFERROR(__xludf.DUMMYFUNCTION("INT(FILTER(EQ(E12,F12),ISNUMBER(E12),ISNUMBER(F12)))"),0.0)</f>
        <v>0</v>
      </c>
    </row>
    <row r="13">
      <c r="A13" s="1" t="s">
        <v>110</v>
      </c>
      <c r="B13" s="7" t="s">
        <v>111</v>
      </c>
      <c r="C13" s="2" t="s">
        <v>3846</v>
      </c>
      <c r="D13" s="7" t="s">
        <v>3847</v>
      </c>
      <c r="E13" s="26">
        <f>VLOOKUP(A13,'Web_of_Science_20251015 '!A:E,5,0)</f>
        <v>3</v>
      </c>
      <c r="F13" s="28">
        <v>1.0</v>
      </c>
      <c r="G13" s="28">
        <v>0.0</v>
      </c>
      <c r="H13" s="24" t="s">
        <v>21</v>
      </c>
      <c r="I13" s="12"/>
      <c r="J13" s="12"/>
      <c r="K13" s="12"/>
      <c r="L13" s="12"/>
      <c r="M13" s="10">
        <f t="shared" si="1"/>
        <v>0.3333333333</v>
      </c>
      <c r="N13" s="10">
        <f t="shared" si="2"/>
        <v>0</v>
      </c>
      <c r="O13" s="10">
        <f>IFERROR(__xludf.DUMMYFUNCTION("INT(FILTER(GT(F13,0),ISNUMBER(F13)))"),1.0)</f>
        <v>1</v>
      </c>
      <c r="P13" s="10">
        <f t="shared" si="3"/>
        <v>1</v>
      </c>
      <c r="Q13" s="10">
        <f>IFERROR(__xludf.DUMMYFUNCTION("INT(FILTER(EQ(E13,F13),ISNUMBER(E13),ISNUMBER(F13)))"),0.0)</f>
        <v>0</v>
      </c>
    </row>
    <row r="14">
      <c r="A14" s="1" t="s">
        <v>122</v>
      </c>
      <c r="B14" s="7" t="s">
        <v>123</v>
      </c>
      <c r="C14" s="2" t="s">
        <v>3848</v>
      </c>
      <c r="D14" s="1" t="s">
        <v>3849</v>
      </c>
      <c r="E14" s="26">
        <f>VLOOKUP(A14,'Web_of_Science_20251015 '!A:E,5,0)</f>
        <v>2</v>
      </c>
      <c r="F14" s="28">
        <v>1.0</v>
      </c>
      <c r="G14" s="28">
        <v>1.0</v>
      </c>
      <c r="H14" s="24" t="s">
        <v>21</v>
      </c>
      <c r="I14" s="12"/>
      <c r="J14" s="12"/>
      <c r="K14" s="12"/>
      <c r="L14" s="12"/>
      <c r="M14" s="10">
        <f t="shared" si="1"/>
        <v>0.5</v>
      </c>
      <c r="N14" s="10">
        <f t="shared" si="2"/>
        <v>0.5</v>
      </c>
      <c r="O14" s="10">
        <f>IFERROR(__xludf.DUMMYFUNCTION("INT(FILTER(GT(F14,0),ISNUMBER(F14)))"),1.0)</f>
        <v>1</v>
      </c>
      <c r="P14" s="10">
        <f t="shared" si="3"/>
        <v>0.5</v>
      </c>
      <c r="Q14" s="10">
        <f>IFERROR(__xludf.DUMMYFUNCTION("INT(FILTER(EQ(E14,F14),ISNUMBER(E14),ISNUMBER(F14)))"),0.0)</f>
        <v>0</v>
      </c>
    </row>
    <row r="15">
      <c r="A15" s="1" t="s">
        <v>126</v>
      </c>
      <c r="B15" s="7" t="s">
        <v>127</v>
      </c>
      <c r="C15" s="2" t="s">
        <v>3850</v>
      </c>
      <c r="D15" s="7" t="s">
        <v>3851</v>
      </c>
      <c r="E15" s="26">
        <f>VLOOKUP(A15,'Web_of_Science_20251015 '!A:E,5,0)</f>
        <v>2</v>
      </c>
      <c r="F15" s="28">
        <v>1.0</v>
      </c>
      <c r="G15" s="28">
        <v>0.0</v>
      </c>
      <c r="H15" s="24" t="s">
        <v>21</v>
      </c>
      <c r="I15" s="12"/>
      <c r="J15" s="12"/>
      <c r="K15" s="12"/>
      <c r="L15" s="12"/>
      <c r="M15" s="10">
        <f t="shared" si="1"/>
        <v>0.5</v>
      </c>
      <c r="N15" s="10">
        <f t="shared" si="2"/>
        <v>0</v>
      </c>
      <c r="O15" s="10">
        <f>IFERROR(__xludf.DUMMYFUNCTION("INT(FILTER(GT(F15,0),ISNUMBER(F15)))"),1.0)</f>
        <v>1</v>
      </c>
      <c r="P15" s="10">
        <f t="shared" si="3"/>
        <v>1</v>
      </c>
      <c r="Q15" s="10">
        <f>IFERROR(__xludf.DUMMYFUNCTION("INT(FILTER(EQ(E15,F15),ISNUMBER(E15),ISNUMBER(F15)))"),0.0)</f>
        <v>0</v>
      </c>
    </row>
    <row r="16">
      <c r="A16" s="1" t="s">
        <v>150</v>
      </c>
      <c r="B16" s="7" t="s">
        <v>151</v>
      </c>
      <c r="C16" s="2" t="s">
        <v>3852</v>
      </c>
      <c r="D16" s="1" t="s">
        <v>3853</v>
      </c>
      <c r="E16" s="26">
        <f>VLOOKUP(A16,'Web_of_Science_20251015 '!A:E,5,0)</f>
        <v>6</v>
      </c>
      <c r="F16" s="28">
        <v>2.0</v>
      </c>
      <c r="G16" s="28">
        <v>0.0</v>
      </c>
      <c r="H16" s="24" t="s">
        <v>21</v>
      </c>
      <c r="I16" s="12"/>
      <c r="J16" s="12"/>
      <c r="K16" s="12"/>
      <c r="L16" s="12"/>
      <c r="M16" s="10">
        <f t="shared" si="1"/>
        <v>0.3333333333</v>
      </c>
      <c r="N16" s="10">
        <f t="shared" si="2"/>
        <v>0</v>
      </c>
      <c r="O16" s="10">
        <f>IFERROR(__xludf.DUMMYFUNCTION("INT(FILTER(GT(F16,0),ISNUMBER(F16)))"),1.0)</f>
        <v>1</v>
      </c>
      <c r="P16" s="10">
        <f t="shared" si="3"/>
        <v>1</v>
      </c>
      <c r="Q16" s="10">
        <f>IFERROR(__xludf.DUMMYFUNCTION("INT(FILTER(EQ(E16,F16),ISNUMBER(E16),ISNUMBER(F16)))"),0.0)</f>
        <v>0</v>
      </c>
    </row>
    <row r="17">
      <c r="A17" s="1" t="s">
        <v>154</v>
      </c>
      <c r="B17" s="7" t="s">
        <v>155</v>
      </c>
      <c r="C17" s="2" t="s">
        <v>3854</v>
      </c>
      <c r="D17" s="1" t="s">
        <v>3837</v>
      </c>
      <c r="E17" s="26">
        <f>VLOOKUP(A17,'Web_of_Science_20251015 '!A:E,5,0)</f>
        <v>3</v>
      </c>
      <c r="F17" s="28">
        <v>2.0</v>
      </c>
      <c r="G17" s="28">
        <v>0.0</v>
      </c>
      <c r="H17" s="24" t="s">
        <v>21</v>
      </c>
      <c r="I17" s="12"/>
      <c r="J17" s="12"/>
      <c r="K17" s="12"/>
      <c r="L17" s="12"/>
      <c r="M17" s="10">
        <f t="shared" si="1"/>
        <v>0.6666666667</v>
      </c>
      <c r="N17" s="10">
        <f t="shared" si="2"/>
        <v>0</v>
      </c>
      <c r="O17" s="10">
        <f>IFERROR(__xludf.DUMMYFUNCTION("INT(FILTER(GT(F17,0),ISNUMBER(F17)))"),1.0)</f>
        <v>1</v>
      </c>
      <c r="P17" s="10">
        <f t="shared" si="3"/>
        <v>1</v>
      </c>
      <c r="Q17" s="10">
        <f>IFERROR(__xludf.DUMMYFUNCTION("INT(FILTER(EQ(E17,F17),ISNUMBER(E17),ISNUMBER(F17)))"),0.0)</f>
        <v>0</v>
      </c>
    </row>
    <row r="18">
      <c r="A18" s="1" t="s">
        <v>158</v>
      </c>
      <c r="B18" s="7" t="s">
        <v>159</v>
      </c>
      <c r="C18" s="2" t="s">
        <v>3855</v>
      </c>
      <c r="D18" s="1" t="s">
        <v>3856</v>
      </c>
      <c r="E18" s="26">
        <f>VLOOKUP(A18,'Web_of_Science_20251015 '!A:E,5,0)</f>
        <v>2</v>
      </c>
      <c r="F18" s="28">
        <v>2.0</v>
      </c>
      <c r="G18" s="28">
        <v>0.0</v>
      </c>
      <c r="H18" s="24" t="s">
        <v>21</v>
      </c>
      <c r="I18" s="12"/>
      <c r="J18" s="12"/>
      <c r="K18" s="12"/>
      <c r="L18" s="12"/>
      <c r="M18" s="10">
        <f t="shared" si="1"/>
        <v>1</v>
      </c>
      <c r="N18" s="10">
        <f t="shared" si="2"/>
        <v>0</v>
      </c>
      <c r="O18" s="10">
        <f>IFERROR(__xludf.DUMMYFUNCTION("INT(FILTER(GT(F18,0),ISNUMBER(F18)))"),1.0)</f>
        <v>1</v>
      </c>
      <c r="P18" s="10">
        <f t="shared" si="3"/>
        <v>1</v>
      </c>
      <c r="Q18" s="10">
        <f>IFERROR(__xludf.DUMMYFUNCTION("INT(FILTER(EQ(E18,F18),ISNUMBER(E18),ISNUMBER(F18)))"),1.0)</f>
        <v>1</v>
      </c>
    </row>
    <row r="19">
      <c r="A19" s="1" t="s">
        <v>170</v>
      </c>
      <c r="B19" s="7" t="s">
        <v>171</v>
      </c>
      <c r="C19" s="2" t="s">
        <v>3857</v>
      </c>
      <c r="D19" s="1" t="s">
        <v>3858</v>
      </c>
      <c r="E19" s="26">
        <f>VLOOKUP(A19,'Web_of_Science_20251015 '!A:E,5,0)</f>
        <v>2</v>
      </c>
      <c r="F19" s="28">
        <v>2.0</v>
      </c>
      <c r="G19" s="28">
        <v>0.0</v>
      </c>
      <c r="H19" s="24" t="s">
        <v>21</v>
      </c>
      <c r="I19" s="12"/>
      <c r="J19" s="12"/>
      <c r="K19" s="12"/>
      <c r="L19" s="12"/>
      <c r="M19" s="10">
        <f t="shared" si="1"/>
        <v>1</v>
      </c>
      <c r="N19" s="10">
        <f t="shared" si="2"/>
        <v>0</v>
      </c>
      <c r="O19" s="10">
        <f>IFERROR(__xludf.DUMMYFUNCTION("INT(FILTER(GT(F19,0),ISNUMBER(F19)))"),1.0)</f>
        <v>1</v>
      </c>
      <c r="P19" s="10">
        <f t="shared" si="3"/>
        <v>1</v>
      </c>
      <c r="Q19" s="10">
        <f>IFERROR(__xludf.DUMMYFUNCTION("INT(FILTER(EQ(E19,F19),ISNUMBER(E19),ISNUMBER(F19)))"),1.0)</f>
        <v>1</v>
      </c>
    </row>
    <row r="20">
      <c r="A20" s="1" t="s">
        <v>174</v>
      </c>
      <c r="B20" s="7" t="s">
        <v>175</v>
      </c>
      <c r="C20" s="2" t="s">
        <v>3859</v>
      </c>
      <c r="D20" s="7" t="s">
        <v>3860</v>
      </c>
      <c r="E20" s="26">
        <f>VLOOKUP(A20,'Web_of_Science_20251015 '!A:E,5,0)</f>
        <v>1</v>
      </c>
      <c r="F20" s="28">
        <v>1.0</v>
      </c>
      <c r="G20" s="28">
        <v>0.0</v>
      </c>
      <c r="H20" s="24" t="s">
        <v>21</v>
      </c>
      <c r="I20" s="12"/>
      <c r="J20" s="12"/>
      <c r="K20" s="12"/>
      <c r="L20" s="12"/>
      <c r="M20" s="10">
        <f t="shared" si="1"/>
        <v>1</v>
      </c>
      <c r="N20" s="10">
        <f t="shared" si="2"/>
        <v>0</v>
      </c>
      <c r="O20" s="10">
        <f>IFERROR(__xludf.DUMMYFUNCTION("INT(FILTER(GT(F20,0),ISNUMBER(F20)))"),1.0)</f>
        <v>1</v>
      </c>
      <c r="P20" s="10">
        <f t="shared" si="3"/>
        <v>1</v>
      </c>
      <c r="Q20" s="10">
        <f>IFERROR(__xludf.DUMMYFUNCTION("INT(FILTER(EQ(E20,F20),ISNUMBER(E20),ISNUMBER(F20)))"),1.0)</f>
        <v>1</v>
      </c>
    </row>
    <row r="21">
      <c r="A21" s="1" t="s">
        <v>178</v>
      </c>
      <c r="B21" s="7" t="s">
        <v>179</v>
      </c>
      <c r="C21" s="2" t="s">
        <v>3861</v>
      </c>
      <c r="D21" s="7" t="s">
        <v>3862</v>
      </c>
      <c r="E21" s="26">
        <f>VLOOKUP(A21,'Web_of_Science_20251015 '!A:E,5,0)</f>
        <v>1</v>
      </c>
      <c r="F21" s="28">
        <v>1.0</v>
      </c>
      <c r="G21" s="28">
        <v>0.0</v>
      </c>
      <c r="H21" s="24" t="s">
        <v>21</v>
      </c>
      <c r="I21" s="12"/>
      <c r="J21" s="12"/>
      <c r="K21" s="12"/>
      <c r="L21" s="12"/>
      <c r="M21" s="10">
        <f t="shared" si="1"/>
        <v>1</v>
      </c>
      <c r="N21" s="10">
        <f t="shared" si="2"/>
        <v>0</v>
      </c>
      <c r="O21" s="10">
        <f>IFERROR(__xludf.DUMMYFUNCTION("INT(FILTER(GT(F21,0),ISNUMBER(F21)))"),1.0)</f>
        <v>1</v>
      </c>
      <c r="P21" s="10">
        <f t="shared" si="3"/>
        <v>1</v>
      </c>
      <c r="Q21" s="10">
        <f>IFERROR(__xludf.DUMMYFUNCTION("INT(FILTER(EQ(E21,F21),ISNUMBER(E21),ISNUMBER(F21)))"),1.0)</f>
        <v>1</v>
      </c>
    </row>
    <row r="22">
      <c r="A22" s="1" t="s">
        <v>182</v>
      </c>
      <c r="B22" s="7" t="s">
        <v>183</v>
      </c>
      <c r="C22" s="2" t="s">
        <v>3863</v>
      </c>
      <c r="D22" s="7" t="s">
        <v>3864</v>
      </c>
      <c r="E22" s="26">
        <f>VLOOKUP(A22,'Web_of_Science_20251015 '!A:E,5,0)</f>
        <v>1</v>
      </c>
      <c r="F22" s="28">
        <v>1.0</v>
      </c>
      <c r="G22" s="28">
        <v>0.0</v>
      </c>
      <c r="H22" s="24" t="s">
        <v>21</v>
      </c>
      <c r="I22" s="12"/>
      <c r="J22" s="12"/>
      <c r="K22" s="12"/>
      <c r="L22" s="12"/>
      <c r="M22" s="10">
        <f t="shared" si="1"/>
        <v>1</v>
      </c>
      <c r="N22" s="10">
        <f t="shared" si="2"/>
        <v>0</v>
      </c>
      <c r="O22" s="10">
        <f>IFERROR(__xludf.DUMMYFUNCTION("INT(FILTER(GT(F22,0),ISNUMBER(F22)))"),1.0)</f>
        <v>1</v>
      </c>
      <c r="P22" s="10">
        <f t="shared" si="3"/>
        <v>1</v>
      </c>
      <c r="Q22" s="12"/>
    </row>
    <row r="23">
      <c r="A23" s="1" t="s">
        <v>186</v>
      </c>
      <c r="B23" s="7" t="s">
        <v>187</v>
      </c>
      <c r="C23" s="2" t="s">
        <v>3865</v>
      </c>
      <c r="D23" s="1" t="s">
        <v>3866</v>
      </c>
      <c r="E23" s="26">
        <f>VLOOKUP(A23,'Web_of_Science_20251015 '!A:E,5,0)</f>
        <v>3</v>
      </c>
      <c r="F23" s="28">
        <v>2.0</v>
      </c>
      <c r="G23" s="28">
        <v>0.0</v>
      </c>
      <c r="H23" s="24" t="s">
        <v>21</v>
      </c>
      <c r="I23" s="12"/>
      <c r="J23" s="12"/>
      <c r="K23" s="12"/>
      <c r="L23" s="12"/>
      <c r="M23" s="10">
        <f t="shared" si="1"/>
        <v>0.6666666667</v>
      </c>
      <c r="N23" s="10">
        <f t="shared" si="2"/>
        <v>0</v>
      </c>
      <c r="O23" s="10">
        <f>IFERROR(__xludf.DUMMYFUNCTION("INT(FILTER(GT(F23,0),ISNUMBER(F23)))"),1.0)</f>
        <v>1</v>
      </c>
      <c r="P23" s="10">
        <f t="shared" si="3"/>
        <v>1</v>
      </c>
      <c r="Q23" s="10">
        <f>IFERROR(__xludf.DUMMYFUNCTION("INT(FILTER(EQ(E23,F23),ISNUMBER(E23),ISNUMBER(F23)))"),0.0)</f>
        <v>0</v>
      </c>
    </row>
    <row r="24">
      <c r="A24" s="1" t="s">
        <v>190</v>
      </c>
      <c r="B24" s="7" t="s">
        <v>191</v>
      </c>
      <c r="C24" s="2" t="s">
        <v>3867</v>
      </c>
      <c r="D24" s="7" t="s">
        <v>3868</v>
      </c>
      <c r="E24" s="26">
        <f>VLOOKUP(A24,'Web_of_Science_20251015 '!A:E,5,0)</f>
        <v>2</v>
      </c>
      <c r="F24" s="28">
        <v>1.0</v>
      </c>
      <c r="G24" s="28">
        <v>0.0</v>
      </c>
      <c r="H24" s="24" t="s">
        <v>21</v>
      </c>
      <c r="I24" s="12"/>
      <c r="J24" s="12"/>
      <c r="K24" s="12"/>
      <c r="L24" s="12"/>
      <c r="M24" s="10">
        <f t="shared" si="1"/>
        <v>0.5</v>
      </c>
      <c r="N24" s="10">
        <f t="shared" si="2"/>
        <v>0</v>
      </c>
      <c r="O24" s="10">
        <f>IFERROR(__xludf.DUMMYFUNCTION("INT(FILTER(GT(F24,0),ISNUMBER(F24)))"),1.0)</f>
        <v>1</v>
      </c>
      <c r="P24" s="10">
        <f t="shared" si="3"/>
        <v>1</v>
      </c>
      <c r="Q24" s="10">
        <f>IFERROR(__xludf.DUMMYFUNCTION("INT(FILTER(EQ(E24,F24),ISNUMBER(E24),ISNUMBER(F24)))"),0.0)</f>
        <v>0</v>
      </c>
    </row>
    <row r="25">
      <c r="A25" s="1" t="s">
        <v>194</v>
      </c>
      <c r="B25" s="7" t="s">
        <v>195</v>
      </c>
      <c r="C25" s="2" t="s">
        <v>3869</v>
      </c>
      <c r="D25" s="1" t="s">
        <v>3870</v>
      </c>
      <c r="E25" s="26">
        <f>VLOOKUP(A25,'Web_of_Science_20251015 '!A:E,5,0)</f>
        <v>4</v>
      </c>
      <c r="F25" s="28">
        <v>3.0</v>
      </c>
      <c r="G25" s="28">
        <v>2.0</v>
      </c>
      <c r="H25" s="24" t="s">
        <v>21</v>
      </c>
      <c r="I25" s="12"/>
      <c r="J25" s="12"/>
      <c r="K25" s="12"/>
      <c r="L25" s="12"/>
      <c r="M25" s="10">
        <f t="shared" si="1"/>
        <v>0.75</v>
      </c>
      <c r="N25" s="10">
        <f t="shared" si="2"/>
        <v>0.5</v>
      </c>
      <c r="O25" s="10">
        <f>IFERROR(__xludf.DUMMYFUNCTION("INT(FILTER(GT(F25,0),ISNUMBER(F25)))"),1.0)</f>
        <v>1</v>
      </c>
      <c r="P25" s="10">
        <f t="shared" si="3"/>
        <v>0.6</v>
      </c>
      <c r="Q25" s="10">
        <f>IFERROR(__xludf.DUMMYFUNCTION("INT(FILTER(EQ(E25,F25),ISNUMBER(E25),ISNUMBER(F25)))"),0.0)</f>
        <v>0</v>
      </c>
    </row>
    <row r="26">
      <c r="A26" s="1" t="s">
        <v>198</v>
      </c>
      <c r="B26" s="7" t="s">
        <v>199</v>
      </c>
      <c r="C26" s="2" t="s">
        <v>3871</v>
      </c>
      <c r="D26" s="1" t="s">
        <v>3872</v>
      </c>
      <c r="E26" s="26">
        <f>VLOOKUP(A26,'Web_of_Science_20251015 '!A:E,5,0)</f>
        <v>3</v>
      </c>
      <c r="F26" s="28">
        <v>1.0</v>
      </c>
      <c r="G26" s="28">
        <v>2.0</v>
      </c>
      <c r="H26" s="24" t="s">
        <v>21</v>
      </c>
      <c r="I26" s="12"/>
      <c r="J26" s="12"/>
      <c r="K26" s="12"/>
      <c r="L26" s="12"/>
      <c r="M26" s="10">
        <f t="shared" si="1"/>
        <v>0.3333333333</v>
      </c>
      <c r="N26" s="10">
        <f t="shared" si="2"/>
        <v>0.6666666667</v>
      </c>
      <c r="O26" s="10">
        <f>IFERROR(__xludf.DUMMYFUNCTION("INT(FILTER(GT(F26,0),ISNUMBER(F26)))"),1.0)</f>
        <v>1</v>
      </c>
      <c r="P26" s="10">
        <f t="shared" si="3"/>
        <v>0.3333333333</v>
      </c>
      <c r="Q26" s="10">
        <f>IFERROR(__xludf.DUMMYFUNCTION("INT(FILTER(EQ(E26,F26),ISNUMBER(E26),ISNUMBER(F26)))"),0.0)</f>
        <v>0</v>
      </c>
    </row>
    <row r="27">
      <c r="A27" s="1" t="s">
        <v>202</v>
      </c>
      <c r="B27" s="7" t="s">
        <v>203</v>
      </c>
      <c r="C27" s="2" t="s">
        <v>3873</v>
      </c>
      <c r="D27" s="7" t="s">
        <v>3874</v>
      </c>
      <c r="E27" s="26">
        <f>VLOOKUP(A27,'Web_of_Science_20251015 '!A:E,5,0)</f>
        <v>1</v>
      </c>
      <c r="F27" s="28">
        <v>1.0</v>
      </c>
      <c r="G27" s="28">
        <v>0.0</v>
      </c>
      <c r="H27" s="24" t="s">
        <v>21</v>
      </c>
      <c r="I27" s="12"/>
      <c r="J27" s="12"/>
      <c r="K27" s="12"/>
      <c r="L27" s="12"/>
      <c r="M27" s="10">
        <f t="shared" si="1"/>
        <v>1</v>
      </c>
      <c r="N27" s="10">
        <f t="shared" si="2"/>
        <v>0</v>
      </c>
      <c r="O27" s="10">
        <f>IFERROR(__xludf.DUMMYFUNCTION("INT(FILTER(GT(F27,0),ISNUMBER(F27)))"),1.0)</f>
        <v>1</v>
      </c>
      <c r="P27" s="10">
        <f t="shared" si="3"/>
        <v>1</v>
      </c>
      <c r="Q27" s="10">
        <f>IFERROR(__xludf.DUMMYFUNCTION("INT(FILTER(EQ(E27,F27),ISNUMBER(E27),ISNUMBER(F27)))"),1.0)</f>
        <v>1</v>
      </c>
    </row>
    <row r="28">
      <c r="A28" s="1" t="s">
        <v>206</v>
      </c>
      <c r="B28" s="7" t="s">
        <v>207</v>
      </c>
      <c r="C28" s="2" t="s">
        <v>3875</v>
      </c>
      <c r="D28" s="1" t="s">
        <v>3876</v>
      </c>
      <c r="E28" s="26">
        <f>VLOOKUP(A28,'Web_of_Science_20251015 '!A:E,5,0)</f>
        <v>2</v>
      </c>
      <c r="F28" s="28">
        <v>2.0</v>
      </c>
      <c r="G28" s="28">
        <v>0.0</v>
      </c>
      <c r="H28" s="24" t="s">
        <v>21</v>
      </c>
      <c r="I28" s="12"/>
      <c r="J28" s="12"/>
      <c r="K28" s="12"/>
      <c r="L28" s="12"/>
      <c r="M28" s="10">
        <f t="shared" si="1"/>
        <v>1</v>
      </c>
      <c r="N28" s="10">
        <f t="shared" si="2"/>
        <v>0</v>
      </c>
      <c r="O28" s="10">
        <f>IFERROR(__xludf.DUMMYFUNCTION("INT(FILTER(GT(F28,0),ISNUMBER(F28)))"),1.0)</f>
        <v>1</v>
      </c>
      <c r="P28" s="10">
        <f t="shared" si="3"/>
        <v>1</v>
      </c>
      <c r="Q28" s="10">
        <f>IFERROR(__xludf.DUMMYFUNCTION("INT(FILTER(EQ(E28,F28),ISNUMBER(E28),ISNUMBER(F28)))"),1.0)</f>
        <v>1</v>
      </c>
    </row>
    <row r="29">
      <c r="A29" s="1" t="s">
        <v>210</v>
      </c>
      <c r="B29" s="7" t="s">
        <v>211</v>
      </c>
      <c r="C29" s="2" t="s">
        <v>3877</v>
      </c>
      <c r="D29" s="1" t="s">
        <v>3878</v>
      </c>
      <c r="E29" s="26">
        <f>VLOOKUP(A29,'Web_of_Science_20251015 '!A:E,5,0)</f>
        <v>4</v>
      </c>
      <c r="F29" s="28">
        <v>4.0</v>
      </c>
      <c r="G29" s="28">
        <v>0.0</v>
      </c>
      <c r="H29" s="24" t="s">
        <v>21</v>
      </c>
      <c r="I29" s="12"/>
      <c r="J29" s="12"/>
      <c r="K29" s="12"/>
      <c r="L29" s="12"/>
      <c r="M29" s="10">
        <f t="shared" si="1"/>
        <v>1</v>
      </c>
      <c r="N29" s="10">
        <f t="shared" si="2"/>
        <v>0</v>
      </c>
      <c r="O29" s="10">
        <f>IFERROR(__xludf.DUMMYFUNCTION("INT(FILTER(GT(F29,0),ISNUMBER(F29)))"),1.0)</f>
        <v>1</v>
      </c>
      <c r="P29" s="10">
        <f t="shared" si="3"/>
        <v>1</v>
      </c>
      <c r="Q29" s="10">
        <f>IFERROR(__xludf.DUMMYFUNCTION("INT(FILTER(EQ(E29,F29),ISNUMBER(E29),ISNUMBER(F29)))"),1.0)</f>
        <v>1</v>
      </c>
    </row>
    <row r="30">
      <c r="A30" s="1" t="s">
        <v>214</v>
      </c>
      <c r="B30" s="7" t="s">
        <v>215</v>
      </c>
      <c r="C30" s="2" t="s">
        <v>3879</v>
      </c>
      <c r="D30" s="7" t="s">
        <v>3880</v>
      </c>
      <c r="E30" s="26">
        <f>VLOOKUP(A30,'Web_of_Science_20251015 '!A:E,5,0)</f>
        <v>2</v>
      </c>
      <c r="F30" s="28">
        <v>1.0</v>
      </c>
      <c r="G30" s="28">
        <v>0.0</v>
      </c>
      <c r="H30" s="24" t="s">
        <v>21</v>
      </c>
      <c r="I30" s="12"/>
      <c r="J30" s="12"/>
      <c r="K30" s="12"/>
      <c r="L30" s="12"/>
      <c r="M30" s="10">
        <f t="shared" si="1"/>
        <v>0.5</v>
      </c>
      <c r="N30" s="10">
        <f t="shared" si="2"/>
        <v>0</v>
      </c>
      <c r="O30" s="10">
        <f>IFERROR(__xludf.DUMMYFUNCTION("INT(FILTER(GT(F30,0),ISNUMBER(F30)))"),1.0)</f>
        <v>1</v>
      </c>
      <c r="P30" s="10">
        <f t="shared" si="3"/>
        <v>1</v>
      </c>
      <c r="Q30" s="10">
        <f>IFERROR(__xludf.DUMMYFUNCTION("INT(FILTER(EQ(E30,F30),ISNUMBER(E30),ISNUMBER(F30)))"),0.0)</f>
        <v>0</v>
      </c>
    </row>
    <row r="31">
      <c r="A31" s="1" t="s">
        <v>216</v>
      </c>
      <c r="B31" s="7" t="s">
        <v>217</v>
      </c>
      <c r="C31" s="2" t="s">
        <v>3881</v>
      </c>
      <c r="D31" s="7" t="s">
        <v>3882</v>
      </c>
      <c r="E31" s="26">
        <f>VLOOKUP(A31,'Web_of_Science_20251015 '!A:E,5,0)</f>
        <v>2</v>
      </c>
      <c r="F31" s="28">
        <v>1.0</v>
      </c>
      <c r="G31" s="28">
        <v>0.0</v>
      </c>
      <c r="H31" s="24" t="s">
        <v>21</v>
      </c>
      <c r="I31" s="12"/>
      <c r="J31" s="12"/>
      <c r="K31" s="12"/>
      <c r="L31" s="12"/>
      <c r="M31" s="18">
        <f t="shared" si="1"/>
        <v>0.5</v>
      </c>
      <c r="N31" s="18">
        <f t="shared" si="2"/>
        <v>0</v>
      </c>
      <c r="O31" s="10">
        <f t="shared" ref="O31:O686" si="4">IF(ISNUMBER(F31), INT(F31&gt;0), "")</f>
        <v>1</v>
      </c>
      <c r="P31" s="18">
        <f t="shared" si="3"/>
        <v>1</v>
      </c>
      <c r="Q31" s="12"/>
    </row>
    <row r="32">
      <c r="A32" s="1" t="s">
        <v>228</v>
      </c>
      <c r="B32" s="7" t="s">
        <v>229</v>
      </c>
      <c r="C32" s="2" t="s">
        <v>3883</v>
      </c>
      <c r="D32" s="1" t="s">
        <v>3884</v>
      </c>
      <c r="E32" s="26">
        <f>VLOOKUP(A32,'Web_of_Science_20251015 '!A:E,5,0)</f>
        <v>2</v>
      </c>
      <c r="F32" s="28">
        <v>2.0</v>
      </c>
      <c r="G32" s="28">
        <v>1.0</v>
      </c>
      <c r="H32" s="24" t="s">
        <v>21</v>
      </c>
      <c r="I32" s="12"/>
      <c r="J32" s="12"/>
      <c r="K32" s="12"/>
      <c r="L32" s="12"/>
      <c r="M32" s="18">
        <f t="shared" si="1"/>
        <v>1</v>
      </c>
      <c r="N32" s="18">
        <f t="shared" si="2"/>
        <v>0.5</v>
      </c>
      <c r="O32" s="10">
        <f t="shared" si="4"/>
        <v>1</v>
      </c>
      <c r="P32" s="18">
        <f t="shared" si="3"/>
        <v>0.6666666667</v>
      </c>
      <c r="Q32" s="12"/>
    </row>
    <row r="33">
      <c r="A33" s="1" t="s">
        <v>232</v>
      </c>
      <c r="B33" s="7" t="s">
        <v>233</v>
      </c>
      <c r="C33" s="2" t="s">
        <v>3885</v>
      </c>
      <c r="D33" s="1" t="s">
        <v>3886</v>
      </c>
      <c r="E33" s="26">
        <f>VLOOKUP(A33,'Web_of_Science_20251015 '!A:E,5,0)</f>
        <v>2</v>
      </c>
      <c r="F33" s="28">
        <v>2.0</v>
      </c>
      <c r="G33" s="28">
        <v>0.0</v>
      </c>
      <c r="H33" s="24" t="s">
        <v>21</v>
      </c>
      <c r="I33" s="12"/>
      <c r="J33" s="12"/>
      <c r="K33" s="12"/>
      <c r="L33" s="12"/>
      <c r="M33" s="18">
        <f t="shared" si="1"/>
        <v>1</v>
      </c>
      <c r="N33" s="18">
        <f t="shared" si="2"/>
        <v>0</v>
      </c>
      <c r="O33" s="10">
        <f t="shared" si="4"/>
        <v>1</v>
      </c>
      <c r="P33" s="18">
        <f t="shared" si="3"/>
        <v>1</v>
      </c>
      <c r="Q33" s="12"/>
    </row>
    <row r="34">
      <c r="A34" s="1" t="s">
        <v>256</v>
      </c>
      <c r="B34" s="7" t="s">
        <v>257</v>
      </c>
      <c r="C34" s="2" t="s">
        <v>3838</v>
      </c>
      <c r="D34" s="7" t="s">
        <v>3839</v>
      </c>
      <c r="E34" s="26">
        <f>VLOOKUP(A34,'Web_of_Science_20251015 '!A:E,5,0)</f>
        <v>2</v>
      </c>
      <c r="F34" s="28">
        <v>1.0</v>
      </c>
      <c r="G34" s="28">
        <v>0.0</v>
      </c>
      <c r="H34" s="24" t="s">
        <v>21</v>
      </c>
      <c r="I34" s="12"/>
      <c r="J34" s="12"/>
      <c r="K34" s="12"/>
      <c r="L34" s="12"/>
      <c r="M34" s="18">
        <f t="shared" si="1"/>
        <v>0.5</v>
      </c>
      <c r="N34" s="18">
        <f t="shared" si="2"/>
        <v>0</v>
      </c>
      <c r="O34" s="10">
        <f t="shared" si="4"/>
        <v>1</v>
      </c>
      <c r="P34" s="18">
        <f t="shared" si="3"/>
        <v>1</v>
      </c>
      <c r="Q34" s="12"/>
    </row>
    <row r="35">
      <c r="A35" s="1" t="s">
        <v>258</v>
      </c>
      <c r="B35" s="7" t="s">
        <v>259</v>
      </c>
      <c r="C35" s="2" t="s">
        <v>3887</v>
      </c>
      <c r="D35" s="7" t="s">
        <v>3888</v>
      </c>
      <c r="E35" s="26">
        <f>VLOOKUP(A35,'Web_of_Science_20251015 '!A:E,5,0)</f>
        <v>1</v>
      </c>
      <c r="F35" s="28">
        <v>1.0</v>
      </c>
      <c r="G35" s="28">
        <v>0.0</v>
      </c>
      <c r="H35" s="24" t="s">
        <v>21</v>
      </c>
      <c r="I35" s="12"/>
      <c r="J35" s="12"/>
      <c r="K35" s="12"/>
      <c r="L35" s="12"/>
      <c r="M35" s="18">
        <f t="shared" si="1"/>
        <v>1</v>
      </c>
      <c r="N35" s="18">
        <f t="shared" si="2"/>
        <v>0</v>
      </c>
      <c r="O35" s="10">
        <f t="shared" si="4"/>
        <v>1</v>
      </c>
      <c r="P35" s="18">
        <f t="shared" si="3"/>
        <v>1</v>
      </c>
      <c r="Q35" s="12"/>
    </row>
    <row r="36">
      <c r="A36" s="1" t="s">
        <v>262</v>
      </c>
      <c r="B36" s="7" t="s">
        <v>263</v>
      </c>
      <c r="C36" s="2" t="s">
        <v>3889</v>
      </c>
      <c r="D36" s="7" t="s">
        <v>3890</v>
      </c>
      <c r="E36" s="26">
        <f>VLOOKUP(A36,'Web_of_Science_20251015 '!A:E,5,0)</f>
        <v>3</v>
      </c>
      <c r="F36" s="28">
        <v>1.0</v>
      </c>
      <c r="G36" s="28">
        <v>0.0</v>
      </c>
      <c r="H36" s="24" t="s">
        <v>21</v>
      </c>
      <c r="I36" s="12"/>
      <c r="J36" s="12"/>
      <c r="K36" s="12"/>
      <c r="L36" s="12"/>
      <c r="M36" s="18">
        <f t="shared" si="1"/>
        <v>0.3333333333</v>
      </c>
      <c r="N36" s="18">
        <f t="shared" si="2"/>
        <v>0</v>
      </c>
      <c r="O36" s="10">
        <f t="shared" si="4"/>
        <v>1</v>
      </c>
      <c r="P36" s="18">
        <f t="shared" si="3"/>
        <v>1</v>
      </c>
      <c r="Q36" s="12"/>
    </row>
    <row r="37">
      <c r="A37" s="1" t="s">
        <v>266</v>
      </c>
      <c r="B37" s="7" t="s">
        <v>267</v>
      </c>
      <c r="C37" s="2" t="s">
        <v>3838</v>
      </c>
      <c r="D37" s="7" t="s">
        <v>3839</v>
      </c>
      <c r="E37" s="26">
        <f>VLOOKUP(A37,'Web_of_Science_20251015 '!A:E,5,0)</f>
        <v>1</v>
      </c>
      <c r="F37" s="28">
        <v>1.0</v>
      </c>
      <c r="G37" s="28">
        <v>0.0</v>
      </c>
      <c r="H37" s="24" t="s">
        <v>21</v>
      </c>
      <c r="I37" s="12"/>
      <c r="J37" s="12"/>
      <c r="K37" s="12"/>
      <c r="L37" s="12"/>
      <c r="M37" s="18">
        <f t="shared" si="1"/>
        <v>1</v>
      </c>
      <c r="N37" s="18">
        <f t="shared" si="2"/>
        <v>0</v>
      </c>
      <c r="O37" s="10">
        <f t="shared" si="4"/>
        <v>1</v>
      </c>
      <c r="P37" s="18">
        <f t="shared" si="3"/>
        <v>1</v>
      </c>
      <c r="Q37" s="12"/>
    </row>
    <row r="38">
      <c r="A38" s="1" t="s">
        <v>269</v>
      </c>
      <c r="B38" s="7" t="s">
        <v>270</v>
      </c>
      <c r="C38" s="2" t="s">
        <v>3838</v>
      </c>
      <c r="D38" s="7" t="s">
        <v>3839</v>
      </c>
      <c r="E38" s="26">
        <f>VLOOKUP(A38,'Web_of_Science_20251015 '!A:E,5,0)</f>
        <v>2</v>
      </c>
      <c r="F38" s="28">
        <v>1.0</v>
      </c>
      <c r="G38" s="28">
        <v>0.0</v>
      </c>
      <c r="H38" s="24" t="s">
        <v>21</v>
      </c>
      <c r="I38" s="12"/>
      <c r="J38" s="12"/>
      <c r="K38" s="12"/>
      <c r="L38" s="12"/>
      <c r="M38" s="18">
        <f t="shared" si="1"/>
        <v>0.5</v>
      </c>
      <c r="N38" s="18">
        <f t="shared" si="2"/>
        <v>0</v>
      </c>
      <c r="O38" s="10">
        <f t="shared" si="4"/>
        <v>1</v>
      </c>
      <c r="P38" s="18">
        <f t="shared" si="3"/>
        <v>1</v>
      </c>
      <c r="Q38" s="12"/>
    </row>
    <row r="39">
      <c r="A39" s="1" t="s">
        <v>273</v>
      </c>
      <c r="B39" s="7" t="s">
        <v>274</v>
      </c>
      <c r="C39" s="2" t="s">
        <v>3891</v>
      </c>
      <c r="D39" s="1" t="s">
        <v>3892</v>
      </c>
      <c r="E39" s="26">
        <f>VLOOKUP(A39,'Web_of_Science_20251015 '!A:E,5,0)</f>
        <v>4</v>
      </c>
      <c r="F39" s="28">
        <v>1.0</v>
      </c>
      <c r="G39" s="28">
        <v>1.0</v>
      </c>
      <c r="H39" s="24" t="s">
        <v>21</v>
      </c>
      <c r="I39" s="12"/>
      <c r="J39" s="12"/>
      <c r="K39" s="12"/>
      <c r="L39" s="12"/>
      <c r="M39" s="18">
        <f t="shared" si="1"/>
        <v>0.25</v>
      </c>
      <c r="N39" s="18">
        <f t="shared" si="2"/>
        <v>0.25</v>
      </c>
      <c r="O39" s="10">
        <f t="shared" si="4"/>
        <v>1</v>
      </c>
      <c r="P39" s="18">
        <f t="shared" si="3"/>
        <v>0.5</v>
      </c>
      <c r="Q39" s="12"/>
    </row>
    <row r="40">
      <c r="A40" s="1" t="s">
        <v>277</v>
      </c>
      <c r="B40" s="7" t="s">
        <v>278</v>
      </c>
      <c r="C40" s="2" t="s">
        <v>3893</v>
      </c>
      <c r="D40" s="1" t="s">
        <v>3894</v>
      </c>
      <c r="E40" s="26">
        <f>VLOOKUP(A40,'Web_of_Science_20251015 '!A:E,5,0)</f>
        <v>5</v>
      </c>
      <c r="F40" s="28">
        <v>3.0</v>
      </c>
      <c r="G40" s="28">
        <v>0.0</v>
      </c>
      <c r="H40" s="24" t="s">
        <v>21</v>
      </c>
      <c r="I40" s="12"/>
      <c r="J40" s="12"/>
      <c r="K40" s="12"/>
      <c r="L40" s="12"/>
      <c r="M40" s="18">
        <f t="shared" si="1"/>
        <v>0.6</v>
      </c>
      <c r="N40" s="18">
        <f t="shared" si="2"/>
        <v>0</v>
      </c>
      <c r="O40" s="10">
        <f t="shared" si="4"/>
        <v>1</v>
      </c>
      <c r="P40" s="18">
        <f t="shared" si="3"/>
        <v>1</v>
      </c>
      <c r="Q40" s="12"/>
    </row>
    <row r="41">
      <c r="A41" s="1" t="s">
        <v>281</v>
      </c>
      <c r="B41" s="7" t="s">
        <v>282</v>
      </c>
      <c r="C41" s="2" t="s">
        <v>3895</v>
      </c>
      <c r="D41" s="1" t="s">
        <v>3896</v>
      </c>
      <c r="E41" s="26">
        <f>VLOOKUP(A41,'Web_of_Science_20251015 '!A:E,5,0)</f>
        <v>3</v>
      </c>
      <c r="F41" s="28">
        <v>2.0</v>
      </c>
      <c r="G41" s="28">
        <v>1.0</v>
      </c>
      <c r="H41" s="24" t="s">
        <v>21</v>
      </c>
      <c r="I41" s="12"/>
      <c r="J41" s="12"/>
      <c r="K41" s="12"/>
      <c r="L41" s="12"/>
      <c r="M41" s="18">
        <f t="shared" si="1"/>
        <v>0.6666666667</v>
      </c>
      <c r="N41" s="18">
        <f t="shared" si="2"/>
        <v>0.3333333333</v>
      </c>
      <c r="O41" s="10">
        <f t="shared" si="4"/>
        <v>1</v>
      </c>
      <c r="P41" s="18">
        <f t="shared" si="3"/>
        <v>0.6666666667</v>
      </c>
      <c r="Q41" s="12"/>
    </row>
    <row r="42">
      <c r="A42" s="1" t="s">
        <v>285</v>
      </c>
      <c r="B42" s="7" t="s">
        <v>286</v>
      </c>
      <c r="C42" s="2" t="s">
        <v>3897</v>
      </c>
      <c r="D42" s="1" t="s">
        <v>3898</v>
      </c>
      <c r="E42" s="26">
        <f>VLOOKUP(A42,'Web_of_Science_20251015 '!A:E,5,0)</f>
        <v>3</v>
      </c>
      <c r="F42" s="28">
        <v>2.0</v>
      </c>
      <c r="G42" s="28">
        <v>1.0</v>
      </c>
      <c r="H42" s="24" t="s">
        <v>21</v>
      </c>
      <c r="I42" s="12"/>
      <c r="J42" s="12"/>
      <c r="K42" s="12"/>
      <c r="L42" s="12"/>
      <c r="M42" s="18">
        <f t="shared" si="1"/>
        <v>0.6666666667</v>
      </c>
      <c r="N42" s="18">
        <f t="shared" si="2"/>
        <v>0.3333333333</v>
      </c>
      <c r="O42" s="10">
        <f t="shared" si="4"/>
        <v>1</v>
      </c>
      <c r="P42" s="18">
        <f t="shared" si="3"/>
        <v>0.6666666667</v>
      </c>
      <c r="Q42" s="12"/>
    </row>
    <row r="43">
      <c r="A43" s="1" t="s">
        <v>289</v>
      </c>
      <c r="B43" s="7" t="s">
        <v>290</v>
      </c>
      <c r="C43" s="2" t="s">
        <v>3899</v>
      </c>
      <c r="D43" s="1" t="s">
        <v>3900</v>
      </c>
      <c r="E43" s="26">
        <f>VLOOKUP(A43,'Web_of_Science_20251015 '!A:E,5,0)</f>
        <v>2</v>
      </c>
      <c r="F43" s="28">
        <v>2.0</v>
      </c>
      <c r="G43" s="28">
        <v>0.0</v>
      </c>
      <c r="H43" s="24" t="s">
        <v>21</v>
      </c>
      <c r="I43" s="12"/>
      <c r="J43" s="12"/>
      <c r="K43" s="12"/>
      <c r="L43" s="12"/>
      <c r="M43" s="18">
        <f t="shared" si="1"/>
        <v>1</v>
      </c>
      <c r="N43" s="18">
        <f t="shared" si="2"/>
        <v>0</v>
      </c>
      <c r="O43" s="10">
        <f t="shared" si="4"/>
        <v>1</v>
      </c>
      <c r="P43" s="18">
        <f t="shared" si="3"/>
        <v>1</v>
      </c>
      <c r="Q43" s="12"/>
    </row>
    <row r="44">
      <c r="A44" s="1" t="s">
        <v>302</v>
      </c>
      <c r="B44" s="7" t="s">
        <v>303</v>
      </c>
      <c r="C44" s="2" t="s">
        <v>3901</v>
      </c>
      <c r="D44" s="1" t="s">
        <v>3902</v>
      </c>
      <c r="E44" s="26">
        <f>VLOOKUP(A44,'Web_of_Science_20251015 '!A:E,5,0)</f>
        <v>1</v>
      </c>
      <c r="F44" s="28">
        <v>1.0</v>
      </c>
      <c r="G44" s="28">
        <v>0.0</v>
      </c>
      <c r="H44" s="24" t="s">
        <v>21</v>
      </c>
      <c r="I44" s="12"/>
      <c r="J44" s="12"/>
      <c r="K44" s="12"/>
      <c r="L44" s="12"/>
      <c r="M44" s="18">
        <f t="shared" si="1"/>
        <v>1</v>
      </c>
      <c r="N44" s="18">
        <f t="shared" si="2"/>
        <v>0</v>
      </c>
      <c r="O44" s="10">
        <f t="shared" si="4"/>
        <v>1</v>
      </c>
      <c r="P44" s="18">
        <f t="shared" si="3"/>
        <v>1</v>
      </c>
      <c r="Q44" s="12"/>
    </row>
    <row r="45">
      <c r="A45" s="1" t="s">
        <v>310</v>
      </c>
      <c r="B45" s="7" t="s">
        <v>311</v>
      </c>
      <c r="C45" s="2" t="s">
        <v>3903</v>
      </c>
      <c r="D45" s="1" t="s">
        <v>3904</v>
      </c>
      <c r="E45" s="26">
        <f>VLOOKUP(A45,'Web_of_Science_20251015 '!A:E,5,0)</f>
        <v>3</v>
      </c>
      <c r="F45" s="28">
        <v>3.0</v>
      </c>
      <c r="G45" s="28">
        <v>0.0</v>
      </c>
      <c r="H45" s="24" t="s">
        <v>21</v>
      </c>
      <c r="I45" s="12"/>
      <c r="J45" s="12"/>
      <c r="K45" s="12"/>
      <c r="L45" s="12"/>
      <c r="M45" s="18">
        <f t="shared" si="1"/>
        <v>1</v>
      </c>
      <c r="N45" s="18">
        <f t="shared" si="2"/>
        <v>0</v>
      </c>
      <c r="O45" s="10">
        <f t="shared" si="4"/>
        <v>1</v>
      </c>
      <c r="P45" s="18">
        <f t="shared" si="3"/>
        <v>1</v>
      </c>
      <c r="Q45" s="12"/>
    </row>
    <row r="46">
      <c r="A46" s="1" t="s">
        <v>321</v>
      </c>
      <c r="B46" s="7" t="s">
        <v>322</v>
      </c>
      <c r="C46" s="2" t="s">
        <v>3905</v>
      </c>
      <c r="D46" s="7" t="s">
        <v>3906</v>
      </c>
      <c r="E46" s="26">
        <f>VLOOKUP(A46,'Web_of_Science_20251015 '!A:E,5,0)</f>
        <v>3</v>
      </c>
      <c r="F46" s="28">
        <v>1.0</v>
      </c>
      <c r="G46" s="28">
        <v>0.0</v>
      </c>
      <c r="H46" s="24" t="s">
        <v>21</v>
      </c>
      <c r="I46" s="12"/>
      <c r="J46" s="12"/>
      <c r="K46" s="12"/>
      <c r="L46" s="12"/>
      <c r="M46" s="18">
        <f t="shared" si="1"/>
        <v>0.3333333333</v>
      </c>
      <c r="N46" s="18">
        <f t="shared" si="2"/>
        <v>0</v>
      </c>
      <c r="O46" s="10">
        <f t="shared" si="4"/>
        <v>1</v>
      </c>
      <c r="P46" s="18">
        <f t="shared" si="3"/>
        <v>1</v>
      </c>
      <c r="Q46" s="12"/>
    </row>
    <row r="47">
      <c r="A47" s="1" t="s">
        <v>325</v>
      </c>
      <c r="B47" s="7" t="s">
        <v>326</v>
      </c>
      <c r="C47" s="2" t="s">
        <v>3907</v>
      </c>
      <c r="D47" s="1" t="s">
        <v>3908</v>
      </c>
      <c r="E47" s="26">
        <f>VLOOKUP(A47,'Web_of_Science_20251015 '!A:E,5,0)</f>
        <v>5</v>
      </c>
      <c r="F47" s="28">
        <v>2.0</v>
      </c>
      <c r="G47" s="28">
        <v>0.0</v>
      </c>
      <c r="H47" s="24" t="s">
        <v>21</v>
      </c>
      <c r="I47" s="12"/>
      <c r="J47" s="12"/>
      <c r="K47" s="12"/>
      <c r="L47" s="12"/>
      <c r="M47" s="18">
        <f t="shared" si="1"/>
        <v>0.4</v>
      </c>
      <c r="N47" s="18">
        <f t="shared" si="2"/>
        <v>0</v>
      </c>
      <c r="O47" s="10">
        <f t="shared" si="4"/>
        <v>1</v>
      </c>
      <c r="P47" s="18">
        <f t="shared" si="3"/>
        <v>1</v>
      </c>
      <c r="Q47" s="12"/>
    </row>
    <row r="48">
      <c r="A48" s="1" t="s">
        <v>329</v>
      </c>
      <c r="B48" s="7" t="s">
        <v>330</v>
      </c>
      <c r="C48" s="2" t="s">
        <v>3909</v>
      </c>
      <c r="D48" s="1" t="s">
        <v>3910</v>
      </c>
      <c r="E48" s="26">
        <f>VLOOKUP(A48,'Web_of_Science_20251015 '!A:E,5,0)</f>
        <v>8</v>
      </c>
      <c r="F48" s="28">
        <v>3.0</v>
      </c>
      <c r="G48" s="28">
        <v>0.0</v>
      </c>
      <c r="H48" s="24" t="s">
        <v>21</v>
      </c>
      <c r="I48" s="12"/>
      <c r="J48" s="12"/>
      <c r="K48" s="12"/>
      <c r="L48" s="12"/>
      <c r="M48" s="18">
        <f t="shared" si="1"/>
        <v>0.375</v>
      </c>
      <c r="N48" s="18">
        <f t="shared" si="2"/>
        <v>0</v>
      </c>
      <c r="O48" s="10">
        <f t="shared" si="4"/>
        <v>1</v>
      </c>
      <c r="P48" s="18">
        <f t="shared" si="3"/>
        <v>1</v>
      </c>
      <c r="Q48" s="12"/>
    </row>
    <row r="49">
      <c r="A49" s="1" t="s">
        <v>337</v>
      </c>
      <c r="B49" s="7" t="s">
        <v>338</v>
      </c>
      <c r="C49" s="2" t="s">
        <v>3911</v>
      </c>
      <c r="D49" s="1" t="s">
        <v>3837</v>
      </c>
      <c r="E49" s="26">
        <f>VLOOKUP(A49,'Web_of_Science_20251015 '!A:E,5,0)</f>
        <v>4</v>
      </c>
      <c r="F49" s="28">
        <v>2.0</v>
      </c>
      <c r="G49" s="28">
        <v>0.0</v>
      </c>
      <c r="H49" s="24" t="s">
        <v>21</v>
      </c>
      <c r="I49" s="12"/>
      <c r="J49" s="12"/>
      <c r="K49" s="12"/>
      <c r="L49" s="12"/>
      <c r="M49" s="18">
        <f t="shared" si="1"/>
        <v>0.5</v>
      </c>
      <c r="N49" s="18">
        <f t="shared" si="2"/>
        <v>0</v>
      </c>
      <c r="O49" s="10">
        <f t="shared" si="4"/>
        <v>1</v>
      </c>
      <c r="P49" s="18">
        <f t="shared" si="3"/>
        <v>1</v>
      </c>
      <c r="Q49" s="12"/>
    </row>
    <row r="50">
      <c r="A50" s="1" t="s">
        <v>341</v>
      </c>
      <c r="B50" s="7" t="s">
        <v>342</v>
      </c>
      <c r="C50" s="2" t="s">
        <v>3912</v>
      </c>
      <c r="D50" s="1" t="s">
        <v>3913</v>
      </c>
      <c r="E50" s="26">
        <f>VLOOKUP(A50,'Web_of_Science_20251015 '!A:E,5,0)</f>
        <v>3</v>
      </c>
      <c r="F50" s="28">
        <v>2.0</v>
      </c>
      <c r="G50" s="28">
        <v>0.0</v>
      </c>
      <c r="H50" s="24" t="s">
        <v>21</v>
      </c>
      <c r="I50" s="12"/>
      <c r="J50" s="12"/>
      <c r="K50" s="12"/>
      <c r="L50" s="12"/>
      <c r="M50" s="18">
        <f t="shared" si="1"/>
        <v>0.6666666667</v>
      </c>
      <c r="N50" s="18">
        <f t="shared" si="2"/>
        <v>0</v>
      </c>
      <c r="O50" s="10">
        <f t="shared" si="4"/>
        <v>1</v>
      </c>
      <c r="P50" s="18">
        <f t="shared" si="3"/>
        <v>1</v>
      </c>
      <c r="Q50" s="12"/>
    </row>
    <row r="51">
      <c r="A51" s="1" t="s">
        <v>345</v>
      </c>
      <c r="B51" s="7" t="s">
        <v>346</v>
      </c>
      <c r="C51" s="2" t="s">
        <v>3914</v>
      </c>
      <c r="D51" s="1" t="s">
        <v>3915</v>
      </c>
      <c r="E51" s="26">
        <f>VLOOKUP(A51,'Web_of_Science_20251015 '!A:E,5,0)</f>
        <v>2</v>
      </c>
      <c r="F51" s="28">
        <v>1.0</v>
      </c>
      <c r="G51" s="28">
        <v>0.0</v>
      </c>
      <c r="H51" s="24" t="s">
        <v>21</v>
      </c>
      <c r="I51" s="12"/>
      <c r="J51" s="12"/>
      <c r="K51" s="12"/>
      <c r="L51" s="12"/>
      <c r="M51" s="18">
        <f t="shared" si="1"/>
        <v>0.5</v>
      </c>
      <c r="N51" s="18">
        <f t="shared" si="2"/>
        <v>0</v>
      </c>
      <c r="O51" s="10">
        <f t="shared" si="4"/>
        <v>1</v>
      </c>
      <c r="P51" s="18">
        <f t="shared" si="3"/>
        <v>1</v>
      </c>
      <c r="Q51" s="12"/>
    </row>
    <row r="52">
      <c r="A52" s="1" t="s">
        <v>349</v>
      </c>
      <c r="B52" s="7" t="s">
        <v>350</v>
      </c>
      <c r="C52" s="2" t="s">
        <v>3916</v>
      </c>
      <c r="D52" s="1" t="s">
        <v>3917</v>
      </c>
      <c r="E52" s="26">
        <f>VLOOKUP(A52,'Web_of_Science_20251015 '!A:E,5,0)</f>
        <v>3</v>
      </c>
      <c r="F52" s="28">
        <v>3.0</v>
      </c>
      <c r="G52" s="28">
        <v>0.0</v>
      </c>
      <c r="H52" s="24" t="s">
        <v>21</v>
      </c>
      <c r="I52" s="12"/>
      <c r="J52" s="12"/>
      <c r="K52" s="12"/>
      <c r="L52" s="12"/>
      <c r="M52" s="18">
        <f t="shared" si="1"/>
        <v>1</v>
      </c>
      <c r="N52" s="18">
        <f t="shared" si="2"/>
        <v>0</v>
      </c>
      <c r="O52" s="10">
        <f t="shared" si="4"/>
        <v>1</v>
      </c>
      <c r="P52" s="18">
        <f t="shared" si="3"/>
        <v>1</v>
      </c>
      <c r="Q52" s="12"/>
    </row>
    <row r="53">
      <c r="A53" s="1" t="s">
        <v>353</v>
      </c>
      <c r="B53" s="7" t="s">
        <v>354</v>
      </c>
      <c r="C53" s="2" t="s">
        <v>3918</v>
      </c>
      <c r="D53" s="1" t="s">
        <v>3919</v>
      </c>
      <c r="E53" s="26">
        <f>VLOOKUP(A53,'Web_of_Science_20251015 '!A:E,5,0)</f>
        <v>1</v>
      </c>
      <c r="F53" s="28">
        <v>1.0</v>
      </c>
      <c r="G53" s="28">
        <v>2.0</v>
      </c>
      <c r="H53" s="24" t="s">
        <v>21</v>
      </c>
      <c r="I53" s="12"/>
      <c r="J53" s="12"/>
      <c r="K53" s="12"/>
      <c r="L53" s="12"/>
      <c r="M53" s="18">
        <f t="shared" si="1"/>
        <v>1</v>
      </c>
      <c r="N53" s="18">
        <f t="shared" si="2"/>
        <v>2</v>
      </c>
      <c r="O53" s="10">
        <f t="shared" si="4"/>
        <v>1</v>
      </c>
      <c r="P53" s="18">
        <f t="shared" si="3"/>
        <v>0.3333333333</v>
      </c>
      <c r="Q53" s="12"/>
    </row>
    <row r="54">
      <c r="A54" s="1" t="s">
        <v>357</v>
      </c>
      <c r="B54" s="7" t="s">
        <v>358</v>
      </c>
      <c r="C54" s="2" t="s">
        <v>3830</v>
      </c>
      <c r="D54" s="7" t="s">
        <v>3831</v>
      </c>
      <c r="E54" s="26">
        <f>VLOOKUP(A54,'Web_of_Science_20251015 '!A:E,5,0)</f>
        <v>2</v>
      </c>
      <c r="F54" s="28">
        <v>0.0</v>
      </c>
      <c r="G54" s="28">
        <v>1.0</v>
      </c>
      <c r="H54" s="24" t="s">
        <v>21</v>
      </c>
      <c r="I54" s="12"/>
      <c r="J54" s="12"/>
      <c r="K54" s="12"/>
      <c r="L54" s="12"/>
      <c r="M54" s="18">
        <f t="shared" si="1"/>
        <v>0</v>
      </c>
      <c r="N54" s="18">
        <f t="shared" si="2"/>
        <v>0.5</v>
      </c>
      <c r="O54" s="10">
        <f t="shared" si="4"/>
        <v>0</v>
      </c>
      <c r="P54" s="18">
        <f t="shared" si="3"/>
        <v>0</v>
      </c>
      <c r="Q54" s="12"/>
    </row>
    <row r="55">
      <c r="A55" s="1" t="s">
        <v>361</v>
      </c>
      <c r="B55" s="15" t="s">
        <v>362</v>
      </c>
      <c r="C55" s="2" t="s">
        <v>3920</v>
      </c>
      <c r="D55" s="1" t="s">
        <v>3921</v>
      </c>
      <c r="E55" s="26">
        <f>VLOOKUP(A55,'Web_of_Science_20251015 '!A:E,5,0)</f>
        <v>5</v>
      </c>
      <c r="F55" s="28">
        <v>3.0</v>
      </c>
      <c r="G55" s="28">
        <v>1.0</v>
      </c>
      <c r="H55" s="24" t="s">
        <v>462</v>
      </c>
      <c r="I55" s="12"/>
      <c r="J55" s="12"/>
      <c r="K55" s="12"/>
      <c r="L55" s="12"/>
      <c r="M55" s="18">
        <f t="shared" si="1"/>
        <v>0.6</v>
      </c>
      <c r="N55" s="18">
        <f t="shared" si="2"/>
        <v>0.2</v>
      </c>
      <c r="O55" s="10">
        <f t="shared" si="4"/>
        <v>1</v>
      </c>
      <c r="P55" s="18">
        <f t="shared" si="3"/>
        <v>0.75</v>
      </c>
      <c r="Q55" s="12"/>
    </row>
    <row r="56">
      <c r="A56" s="1" t="s">
        <v>373</v>
      </c>
      <c r="B56" s="7" t="s">
        <v>374</v>
      </c>
      <c r="C56" s="2" t="s">
        <v>3838</v>
      </c>
      <c r="D56" s="7" t="s">
        <v>3839</v>
      </c>
      <c r="E56" s="26">
        <f>VLOOKUP(A56,'Web_of_Science_20251015 '!A:E,5,0)</f>
        <v>3</v>
      </c>
      <c r="F56" s="28">
        <v>1.0</v>
      </c>
      <c r="G56" s="28">
        <v>0.0</v>
      </c>
      <c r="H56" s="24" t="s">
        <v>462</v>
      </c>
      <c r="I56" s="12"/>
      <c r="J56" s="12"/>
      <c r="K56" s="12"/>
      <c r="L56" s="12"/>
      <c r="M56" s="18">
        <f t="shared" si="1"/>
        <v>0.3333333333</v>
      </c>
      <c r="N56" s="18">
        <f t="shared" si="2"/>
        <v>0</v>
      </c>
      <c r="O56" s="10">
        <f t="shared" si="4"/>
        <v>1</v>
      </c>
      <c r="P56" s="18">
        <f t="shared" si="3"/>
        <v>1</v>
      </c>
      <c r="Q56" s="12"/>
    </row>
    <row r="57">
      <c r="A57" s="1" t="s">
        <v>377</v>
      </c>
      <c r="B57" s="7" t="s">
        <v>378</v>
      </c>
      <c r="C57" s="2" t="s">
        <v>3922</v>
      </c>
      <c r="D57" s="1" t="s">
        <v>3923</v>
      </c>
      <c r="E57" s="26">
        <f>VLOOKUP(A57,'Web_of_Science_20251015 '!A:E,5,0)</f>
        <v>3</v>
      </c>
      <c r="F57" s="28">
        <v>2.0</v>
      </c>
      <c r="G57" s="28">
        <v>0.0</v>
      </c>
      <c r="H57" s="24" t="s">
        <v>462</v>
      </c>
      <c r="I57" s="12"/>
      <c r="J57" s="12"/>
      <c r="K57" s="12"/>
      <c r="L57" s="12"/>
      <c r="M57" s="18">
        <f t="shared" si="1"/>
        <v>0.6666666667</v>
      </c>
      <c r="N57" s="18">
        <f t="shared" si="2"/>
        <v>0</v>
      </c>
      <c r="O57" s="10">
        <f t="shared" si="4"/>
        <v>1</v>
      </c>
      <c r="P57" s="18">
        <f t="shared" si="3"/>
        <v>1</v>
      </c>
      <c r="Q57" s="12"/>
    </row>
    <row r="58">
      <c r="A58" s="1" t="s">
        <v>385</v>
      </c>
      <c r="B58" s="7" t="s">
        <v>386</v>
      </c>
      <c r="C58" s="2" t="s">
        <v>3924</v>
      </c>
      <c r="D58" s="1" t="s">
        <v>3925</v>
      </c>
      <c r="E58" s="26">
        <f>VLOOKUP(A58,'Web_of_Science_20251015 '!A:E,5,0)</f>
        <v>7</v>
      </c>
      <c r="F58" s="28">
        <v>4.0</v>
      </c>
      <c r="G58" s="28">
        <v>0.0</v>
      </c>
      <c r="H58" s="24" t="s">
        <v>462</v>
      </c>
      <c r="I58" s="12"/>
      <c r="J58" s="12"/>
      <c r="K58" s="12"/>
      <c r="L58" s="12"/>
      <c r="M58" s="18">
        <f t="shared" si="1"/>
        <v>0.5714285714</v>
      </c>
      <c r="N58" s="18">
        <f t="shared" si="2"/>
        <v>0</v>
      </c>
      <c r="O58" s="10">
        <f t="shared" si="4"/>
        <v>1</v>
      </c>
      <c r="P58" s="18">
        <f t="shared" si="3"/>
        <v>1</v>
      </c>
      <c r="Q58" s="12"/>
    </row>
    <row r="59">
      <c r="A59" s="1" t="s">
        <v>389</v>
      </c>
      <c r="B59" s="7" t="s">
        <v>390</v>
      </c>
      <c r="C59" s="2" t="s">
        <v>3926</v>
      </c>
      <c r="D59" s="7" t="s">
        <v>3927</v>
      </c>
      <c r="E59" s="26">
        <f>VLOOKUP(A59,'Web_of_Science_20251015 '!A:E,5,0)</f>
        <v>1</v>
      </c>
      <c r="F59" s="28">
        <v>1.0</v>
      </c>
      <c r="G59" s="28">
        <v>0.0</v>
      </c>
      <c r="H59" s="24" t="s">
        <v>462</v>
      </c>
      <c r="I59" s="12"/>
      <c r="J59" s="12"/>
      <c r="K59" s="12"/>
      <c r="L59" s="12"/>
      <c r="M59" s="18">
        <f t="shared" si="1"/>
        <v>1</v>
      </c>
      <c r="N59" s="18">
        <f t="shared" si="2"/>
        <v>0</v>
      </c>
      <c r="O59" s="10">
        <f t="shared" si="4"/>
        <v>1</v>
      </c>
      <c r="P59" s="18">
        <f t="shared" si="3"/>
        <v>1</v>
      </c>
      <c r="Q59" s="12"/>
    </row>
    <row r="60">
      <c r="A60" s="1" t="s">
        <v>405</v>
      </c>
      <c r="B60" s="7" t="s">
        <v>406</v>
      </c>
      <c r="C60" s="2" t="s">
        <v>3928</v>
      </c>
      <c r="D60" s="1" t="s">
        <v>3853</v>
      </c>
      <c r="E60" s="26">
        <f>VLOOKUP(A60,'Web_of_Science_20251015 '!A:E,5,0)</f>
        <v>3</v>
      </c>
      <c r="F60" s="28">
        <v>2.0</v>
      </c>
      <c r="G60" s="28">
        <v>0.0</v>
      </c>
      <c r="H60" s="24" t="s">
        <v>462</v>
      </c>
      <c r="I60" s="12"/>
      <c r="J60" s="12"/>
      <c r="K60" s="12"/>
      <c r="L60" s="12"/>
      <c r="M60" s="18">
        <f t="shared" si="1"/>
        <v>0.6666666667</v>
      </c>
      <c r="N60" s="18">
        <f t="shared" si="2"/>
        <v>0</v>
      </c>
      <c r="O60" s="10">
        <f t="shared" si="4"/>
        <v>1</v>
      </c>
      <c r="P60" s="18">
        <f t="shared" si="3"/>
        <v>1</v>
      </c>
      <c r="Q60" s="12"/>
    </row>
    <row r="61">
      <c r="A61" s="1" t="s">
        <v>409</v>
      </c>
      <c r="B61" s="7" t="s">
        <v>410</v>
      </c>
      <c r="C61" s="2" t="s">
        <v>3929</v>
      </c>
      <c r="D61" s="1" t="s">
        <v>3930</v>
      </c>
      <c r="E61" s="26">
        <f>VLOOKUP(A61,'Web_of_Science_20251015 '!A:E,5,0)</f>
        <v>3</v>
      </c>
      <c r="F61" s="28">
        <v>3.0</v>
      </c>
      <c r="G61" s="28">
        <v>0.0</v>
      </c>
      <c r="H61" s="24" t="s">
        <v>462</v>
      </c>
      <c r="I61" s="12"/>
      <c r="J61" s="12"/>
      <c r="K61" s="12"/>
      <c r="L61" s="12"/>
      <c r="M61" s="18">
        <f t="shared" si="1"/>
        <v>1</v>
      </c>
      <c r="N61" s="18">
        <f t="shared" si="2"/>
        <v>0</v>
      </c>
      <c r="O61" s="10">
        <f t="shared" si="4"/>
        <v>1</v>
      </c>
      <c r="P61" s="18">
        <f t="shared" si="3"/>
        <v>1</v>
      </c>
      <c r="Q61" s="12"/>
    </row>
    <row r="62">
      <c r="A62" s="1" t="s">
        <v>415</v>
      </c>
      <c r="B62" s="7" t="s">
        <v>416</v>
      </c>
      <c r="C62" s="2" t="s">
        <v>3931</v>
      </c>
      <c r="D62" s="1" t="s">
        <v>3932</v>
      </c>
      <c r="E62" s="26">
        <f>VLOOKUP(A62,'Web_of_Science_20251015 '!A:E,5,0)</f>
        <v>7</v>
      </c>
      <c r="F62" s="28">
        <v>2.0</v>
      </c>
      <c r="G62" s="28">
        <v>0.0</v>
      </c>
      <c r="H62" s="24" t="s">
        <v>462</v>
      </c>
      <c r="I62" s="12"/>
      <c r="J62" s="12"/>
      <c r="K62" s="12"/>
      <c r="L62" s="12"/>
      <c r="M62" s="18">
        <f t="shared" si="1"/>
        <v>0.2857142857</v>
      </c>
      <c r="N62" s="18">
        <f t="shared" si="2"/>
        <v>0</v>
      </c>
      <c r="O62" s="10">
        <f t="shared" si="4"/>
        <v>1</v>
      </c>
      <c r="P62" s="18">
        <f t="shared" si="3"/>
        <v>1</v>
      </c>
      <c r="Q62" s="12"/>
    </row>
    <row r="63">
      <c r="A63" s="1" t="s">
        <v>419</v>
      </c>
      <c r="B63" s="7" t="s">
        <v>420</v>
      </c>
      <c r="C63" s="2" t="s">
        <v>3830</v>
      </c>
      <c r="D63" s="7" t="s">
        <v>3831</v>
      </c>
      <c r="E63" s="26">
        <f>VLOOKUP(A63,'Web_of_Science_20251015 '!A:E,5,0)</f>
        <v>2</v>
      </c>
      <c r="F63" s="28">
        <v>1.0</v>
      </c>
      <c r="G63" s="28">
        <v>0.0</v>
      </c>
      <c r="H63" s="24" t="s">
        <v>462</v>
      </c>
      <c r="I63" s="12"/>
      <c r="J63" s="12"/>
      <c r="K63" s="12"/>
      <c r="L63" s="12"/>
      <c r="M63" s="18">
        <f t="shared" si="1"/>
        <v>0.5</v>
      </c>
      <c r="N63" s="18">
        <f t="shared" si="2"/>
        <v>0</v>
      </c>
      <c r="O63" s="10">
        <f t="shared" si="4"/>
        <v>1</v>
      </c>
      <c r="P63" s="18">
        <f t="shared" si="3"/>
        <v>1</v>
      </c>
      <c r="Q63" s="12"/>
    </row>
    <row r="64">
      <c r="A64" s="1" t="s">
        <v>423</v>
      </c>
      <c r="B64" s="7" t="s">
        <v>424</v>
      </c>
      <c r="C64" s="2" t="s">
        <v>3933</v>
      </c>
      <c r="D64" s="1" t="s">
        <v>3934</v>
      </c>
      <c r="E64" s="26">
        <f>VLOOKUP(A64,'Web_of_Science_20251015 '!A:E,5,0)</f>
        <v>3</v>
      </c>
      <c r="F64" s="28">
        <v>2.0</v>
      </c>
      <c r="G64" s="28">
        <v>0.0</v>
      </c>
      <c r="H64" s="24" t="s">
        <v>462</v>
      </c>
      <c r="I64" s="12"/>
      <c r="J64" s="12"/>
      <c r="K64" s="12"/>
      <c r="L64" s="12"/>
      <c r="M64" s="18">
        <f t="shared" si="1"/>
        <v>0.6666666667</v>
      </c>
      <c r="N64" s="18">
        <f t="shared" si="2"/>
        <v>0</v>
      </c>
      <c r="O64" s="10">
        <f t="shared" si="4"/>
        <v>1</v>
      </c>
      <c r="P64" s="18">
        <f t="shared" si="3"/>
        <v>1</v>
      </c>
      <c r="Q64" s="12"/>
    </row>
    <row r="65">
      <c r="A65" s="1" t="s">
        <v>427</v>
      </c>
      <c r="B65" s="7" t="s">
        <v>428</v>
      </c>
      <c r="C65" s="2" t="s">
        <v>3935</v>
      </c>
      <c r="E65" s="26">
        <f>VLOOKUP(A65,'Web_of_Science_20251015 '!A:E,5,0)</f>
        <v>1</v>
      </c>
      <c r="F65" s="28">
        <v>1.0</v>
      </c>
      <c r="G65" s="28">
        <v>0.0</v>
      </c>
      <c r="H65" s="24" t="s">
        <v>462</v>
      </c>
      <c r="I65" s="12"/>
      <c r="J65" s="12"/>
      <c r="K65" s="12"/>
      <c r="L65" s="12"/>
      <c r="M65" s="18">
        <f t="shared" si="1"/>
        <v>1</v>
      </c>
      <c r="N65" s="18">
        <f t="shared" si="2"/>
        <v>0</v>
      </c>
      <c r="O65" s="10">
        <f t="shared" si="4"/>
        <v>1</v>
      </c>
      <c r="P65" s="18">
        <f t="shared" si="3"/>
        <v>1</v>
      </c>
      <c r="Q65" s="12"/>
    </row>
    <row r="66">
      <c r="A66" s="1" t="s">
        <v>431</v>
      </c>
      <c r="B66" s="15" t="s">
        <v>432</v>
      </c>
      <c r="C66" s="2" t="s">
        <v>3936</v>
      </c>
      <c r="D66" s="1" t="s">
        <v>3937</v>
      </c>
      <c r="E66" s="26">
        <f>VLOOKUP(A66,'Web_of_Science_20251015 '!A:E,5,0)</f>
        <v>4</v>
      </c>
      <c r="F66" s="28">
        <v>3.0</v>
      </c>
      <c r="G66" s="28">
        <v>0.0</v>
      </c>
      <c r="H66" s="24" t="s">
        <v>462</v>
      </c>
      <c r="I66" s="12"/>
      <c r="J66" s="12"/>
      <c r="K66" s="12"/>
      <c r="L66" s="12"/>
      <c r="M66" s="18">
        <f t="shared" si="1"/>
        <v>0.75</v>
      </c>
      <c r="N66" s="18">
        <f t="shared" si="2"/>
        <v>0</v>
      </c>
      <c r="O66" s="10">
        <f t="shared" si="4"/>
        <v>1</v>
      </c>
      <c r="P66" s="18">
        <f t="shared" si="3"/>
        <v>1</v>
      </c>
      <c r="Q66" s="12"/>
    </row>
    <row r="67">
      <c r="A67" s="1" t="s">
        <v>438</v>
      </c>
      <c r="B67" s="7" t="s">
        <v>439</v>
      </c>
      <c r="C67" s="2" t="s">
        <v>3938</v>
      </c>
      <c r="D67" s="7" t="s">
        <v>3939</v>
      </c>
      <c r="E67" s="26">
        <f>VLOOKUP(A67,'Web_of_Science_20251015 '!A:E,5,0)</f>
        <v>4</v>
      </c>
      <c r="F67" s="28">
        <v>1.0</v>
      </c>
      <c r="G67" s="28">
        <v>0.0</v>
      </c>
      <c r="H67" s="24" t="s">
        <v>462</v>
      </c>
      <c r="I67" s="12"/>
      <c r="J67" s="12"/>
      <c r="K67" s="12"/>
      <c r="L67" s="12"/>
      <c r="M67" s="18">
        <f t="shared" si="1"/>
        <v>0.25</v>
      </c>
      <c r="N67" s="18">
        <f t="shared" si="2"/>
        <v>0</v>
      </c>
      <c r="O67" s="10">
        <f t="shared" si="4"/>
        <v>1</v>
      </c>
      <c r="P67" s="18">
        <f t="shared" si="3"/>
        <v>1</v>
      </c>
      <c r="Q67" s="12"/>
    </row>
    <row r="68">
      <c r="A68" s="1" t="s">
        <v>442</v>
      </c>
      <c r="B68" s="7" t="s">
        <v>443</v>
      </c>
      <c r="C68" s="2" t="s">
        <v>3940</v>
      </c>
      <c r="E68" s="26">
        <f>VLOOKUP(A68,'Web_of_Science_20251015 '!A:E,5,0)</f>
        <v>3</v>
      </c>
      <c r="F68" s="28">
        <v>1.0</v>
      </c>
      <c r="G68" s="28">
        <v>0.0</v>
      </c>
      <c r="H68" s="24" t="s">
        <v>462</v>
      </c>
      <c r="I68" s="12"/>
      <c r="J68" s="12"/>
      <c r="K68" s="12"/>
      <c r="L68" s="12"/>
      <c r="M68" s="18">
        <f t="shared" si="1"/>
        <v>0.3333333333</v>
      </c>
      <c r="N68" s="18">
        <f t="shared" si="2"/>
        <v>0</v>
      </c>
      <c r="O68" s="10">
        <f t="shared" si="4"/>
        <v>1</v>
      </c>
      <c r="P68" s="18">
        <f t="shared" si="3"/>
        <v>1</v>
      </c>
      <c r="Q68" s="12"/>
    </row>
    <row r="69">
      <c r="A69" s="1" t="s">
        <v>446</v>
      </c>
      <c r="B69" s="7" t="s">
        <v>447</v>
      </c>
      <c r="C69" s="2" t="s">
        <v>3941</v>
      </c>
      <c r="D69" s="1" t="s">
        <v>3942</v>
      </c>
      <c r="E69" s="26">
        <f>VLOOKUP(A69,'Web_of_Science_20251015 '!A:E,5,0)</f>
        <v>4</v>
      </c>
      <c r="F69" s="28">
        <v>3.0</v>
      </c>
      <c r="G69" s="28">
        <v>0.0</v>
      </c>
      <c r="H69" s="24" t="s">
        <v>462</v>
      </c>
      <c r="I69" s="12"/>
      <c r="J69" s="12"/>
      <c r="K69" s="12"/>
      <c r="L69" s="12"/>
      <c r="M69" s="18">
        <f t="shared" si="1"/>
        <v>0.75</v>
      </c>
      <c r="N69" s="18">
        <f t="shared" si="2"/>
        <v>0</v>
      </c>
      <c r="O69" s="10">
        <f t="shared" si="4"/>
        <v>1</v>
      </c>
      <c r="P69" s="18">
        <f t="shared" si="3"/>
        <v>1</v>
      </c>
      <c r="Q69" s="12"/>
    </row>
    <row r="70">
      <c r="A70" s="1" t="s">
        <v>463</v>
      </c>
      <c r="B70" s="7" t="s">
        <v>464</v>
      </c>
      <c r="C70" s="2" t="s">
        <v>3943</v>
      </c>
      <c r="D70" s="1" t="s">
        <v>3944</v>
      </c>
      <c r="E70" s="26">
        <f>VLOOKUP(A70,'Web_of_Science_20251015 '!A:E,5,0)</f>
        <v>4</v>
      </c>
      <c r="F70" s="28">
        <v>3.0</v>
      </c>
      <c r="G70" s="28">
        <v>1.0</v>
      </c>
      <c r="H70" s="24" t="s">
        <v>462</v>
      </c>
      <c r="I70" s="12"/>
      <c r="J70" s="12"/>
      <c r="K70" s="12"/>
      <c r="L70" s="12"/>
      <c r="M70" s="18">
        <f t="shared" si="1"/>
        <v>0.75</v>
      </c>
      <c r="N70" s="18">
        <f t="shared" si="2"/>
        <v>0.25</v>
      </c>
      <c r="O70" s="12">
        <f t="shared" si="4"/>
        <v>1</v>
      </c>
      <c r="P70" s="18">
        <f t="shared" si="3"/>
        <v>0.75</v>
      </c>
      <c r="Q70" s="12"/>
    </row>
    <row r="71">
      <c r="A71" s="1" t="s">
        <v>467</v>
      </c>
      <c r="B71" s="7" t="s">
        <v>468</v>
      </c>
      <c r="C71" s="2" t="s">
        <v>3945</v>
      </c>
      <c r="D71" s="1" t="s">
        <v>3946</v>
      </c>
      <c r="E71" s="26">
        <f>VLOOKUP(A71,'Web_of_Science_20251015 '!A:E,5,0)</f>
        <v>1</v>
      </c>
      <c r="F71" s="28">
        <v>1.0</v>
      </c>
      <c r="G71" s="28">
        <v>1.0</v>
      </c>
      <c r="H71" s="24" t="s">
        <v>462</v>
      </c>
      <c r="I71" s="12"/>
      <c r="J71" s="12"/>
      <c r="K71" s="12"/>
      <c r="L71" s="12"/>
      <c r="M71" s="18">
        <f t="shared" si="1"/>
        <v>1</v>
      </c>
      <c r="N71" s="18">
        <f t="shared" si="2"/>
        <v>1</v>
      </c>
      <c r="O71" s="10">
        <f t="shared" si="4"/>
        <v>1</v>
      </c>
      <c r="P71" s="18">
        <f t="shared" si="3"/>
        <v>0.5</v>
      </c>
      <c r="Q71" s="12"/>
    </row>
    <row r="72">
      <c r="A72" s="1" t="s">
        <v>471</v>
      </c>
      <c r="B72" s="7" t="s">
        <v>472</v>
      </c>
      <c r="C72" s="2" t="s">
        <v>3947</v>
      </c>
      <c r="D72" s="1" t="s">
        <v>3948</v>
      </c>
      <c r="E72" s="26">
        <f>VLOOKUP(A72,'Web_of_Science_20251015 '!A:E,5,0)</f>
        <v>2</v>
      </c>
      <c r="F72" s="28">
        <v>2.0</v>
      </c>
      <c r="G72" s="28">
        <v>0.0</v>
      </c>
      <c r="H72" s="24" t="s">
        <v>462</v>
      </c>
      <c r="I72" s="12"/>
      <c r="J72" s="12"/>
      <c r="K72" s="12"/>
      <c r="L72" s="12"/>
      <c r="M72" s="18">
        <f t="shared" si="1"/>
        <v>1</v>
      </c>
      <c r="N72" s="18">
        <f t="shared" si="2"/>
        <v>0</v>
      </c>
      <c r="O72" s="10">
        <f t="shared" si="4"/>
        <v>1</v>
      </c>
      <c r="P72" s="18">
        <f t="shared" si="3"/>
        <v>1</v>
      </c>
      <c r="Q72" s="12"/>
    </row>
    <row r="73">
      <c r="A73" s="1" t="s">
        <v>483</v>
      </c>
      <c r="B73" s="7" t="s">
        <v>484</v>
      </c>
      <c r="C73" s="2" t="s">
        <v>3949</v>
      </c>
      <c r="E73" s="26">
        <f>VLOOKUP(A73,'Web_of_Science_20251015 '!A:E,5,0)</f>
        <v>2</v>
      </c>
      <c r="F73" s="28">
        <v>1.0</v>
      </c>
      <c r="G73" s="28">
        <v>0.0</v>
      </c>
      <c r="H73" s="24" t="s">
        <v>462</v>
      </c>
      <c r="I73" s="12"/>
      <c r="J73" s="12"/>
      <c r="K73" s="12"/>
      <c r="L73" s="12"/>
      <c r="M73" s="18">
        <f t="shared" si="1"/>
        <v>0.5</v>
      </c>
      <c r="N73" s="18">
        <f t="shared" si="2"/>
        <v>0</v>
      </c>
      <c r="O73" s="12">
        <f t="shared" si="4"/>
        <v>1</v>
      </c>
      <c r="P73" s="18">
        <f t="shared" si="3"/>
        <v>1</v>
      </c>
      <c r="Q73" s="12"/>
    </row>
    <row r="74">
      <c r="A74" s="1" t="s">
        <v>487</v>
      </c>
      <c r="B74" s="7" t="s">
        <v>488</v>
      </c>
      <c r="C74" s="2" t="s">
        <v>3950</v>
      </c>
      <c r="E74" s="26">
        <f>VLOOKUP(A74,'Web_of_Science_20251015 '!A:E,5,0)</f>
        <v>2</v>
      </c>
      <c r="F74" s="28">
        <v>2.0</v>
      </c>
      <c r="G74" s="28">
        <v>0.0</v>
      </c>
      <c r="H74" s="24" t="s">
        <v>462</v>
      </c>
      <c r="I74" s="12"/>
      <c r="J74" s="12"/>
      <c r="K74" s="12"/>
      <c r="L74" s="12"/>
      <c r="M74" s="18">
        <f t="shared" si="1"/>
        <v>1</v>
      </c>
      <c r="N74" s="18">
        <f t="shared" si="2"/>
        <v>0</v>
      </c>
      <c r="O74" s="12">
        <f t="shared" si="4"/>
        <v>1</v>
      </c>
      <c r="P74" s="18">
        <f t="shared" si="3"/>
        <v>1</v>
      </c>
      <c r="Q74" s="12"/>
    </row>
    <row r="75">
      <c r="A75" s="1" t="s">
        <v>491</v>
      </c>
      <c r="B75" s="7" t="s">
        <v>492</v>
      </c>
      <c r="C75" s="2" t="s">
        <v>3951</v>
      </c>
      <c r="D75" s="1" t="s">
        <v>3952</v>
      </c>
      <c r="E75" s="26">
        <f>VLOOKUP(A75,'Web_of_Science_20251015 '!A:E,5,0)</f>
        <v>3</v>
      </c>
      <c r="F75" s="28">
        <v>3.0</v>
      </c>
      <c r="G75" s="28">
        <v>0.0</v>
      </c>
      <c r="H75" s="24" t="s">
        <v>462</v>
      </c>
      <c r="I75" s="12"/>
      <c r="J75" s="12"/>
      <c r="K75" s="12"/>
      <c r="L75" s="12"/>
      <c r="M75" s="18">
        <f t="shared" si="1"/>
        <v>1</v>
      </c>
      <c r="N75" s="18">
        <f t="shared" si="2"/>
        <v>0</v>
      </c>
      <c r="O75" s="10">
        <f t="shared" si="4"/>
        <v>1</v>
      </c>
      <c r="P75" s="18">
        <f t="shared" si="3"/>
        <v>1</v>
      </c>
      <c r="Q75" s="12"/>
    </row>
    <row r="76">
      <c r="A76" s="1" t="s">
        <v>495</v>
      </c>
      <c r="B76" s="7" t="s">
        <v>496</v>
      </c>
      <c r="C76" s="2" t="s">
        <v>3953</v>
      </c>
      <c r="D76" s="1" t="s">
        <v>3954</v>
      </c>
      <c r="E76" s="26">
        <f>VLOOKUP(A76,'Web_of_Science_20251015 '!A:E,5,0)</f>
        <v>4</v>
      </c>
      <c r="F76" s="28">
        <v>2.0</v>
      </c>
      <c r="G76" s="28">
        <v>1.0</v>
      </c>
      <c r="H76" s="24" t="s">
        <v>462</v>
      </c>
      <c r="I76" s="12"/>
      <c r="J76" s="12"/>
      <c r="K76" s="12"/>
      <c r="L76" s="12"/>
      <c r="M76" s="18">
        <f t="shared" si="1"/>
        <v>0.5</v>
      </c>
      <c r="N76" s="18">
        <f t="shared" si="2"/>
        <v>0.25</v>
      </c>
      <c r="O76" s="12">
        <f t="shared" si="4"/>
        <v>1</v>
      </c>
      <c r="P76" s="18">
        <f t="shared" si="3"/>
        <v>0.6666666667</v>
      </c>
      <c r="Q76" s="12"/>
    </row>
    <row r="77">
      <c r="A77" s="1" t="s">
        <v>499</v>
      </c>
      <c r="B77" s="7" t="s">
        <v>500</v>
      </c>
      <c r="C77" s="2" t="s">
        <v>3955</v>
      </c>
      <c r="D77" s="7" t="s">
        <v>3956</v>
      </c>
      <c r="E77" s="26">
        <f>VLOOKUP(A77,'Web_of_Science_20251015 '!A:E,5,0)</f>
        <v>1</v>
      </c>
      <c r="F77" s="28">
        <v>1.0</v>
      </c>
      <c r="G77" s="28">
        <v>0.0</v>
      </c>
      <c r="H77" s="24" t="s">
        <v>462</v>
      </c>
      <c r="I77" s="12"/>
      <c r="J77" s="12"/>
      <c r="K77" s="12"/>
      <c r="L77" s="12"/>
      <c r="M77" s="18">
        <f t="shared" si="1"/>
        <v>1</v>
      </c>
      <c r="N77" s="18">
        <f t="shared" si="2"/>
        <v>0</v>
      </c>
      <c r="O77" s="10">
        <f t="shared" si="4"/>
        <v>1</v>
      </c>
      <c r="P77" s="18">
        <f t="shared" si="3"/>
        <v>1</v>
      </c>
      <c r="Q77" s="12"/>
    </row>
    <row r="78">
      <c r="A78" s="1" t="s">
        <v>502</v>
      </c>
      <c r="B78" s="7" t="s">
        <v>503</v>
      </c>
      <c r="C78" s="2" t="s">
        <v>3838</v>
      </c>
      <c r="D78" s="7" t="s">
        <v>3839</v>
      </c>
      <c r="E78" s="26">
        <f>VLOOKUP(A78,'Web_of_Science_20251015 '!A:E,5,0)</f>
        <v>3</v>
      </c>
      <c r="F78" s="28">
        <v>1.0</v>
      </c>
      <c r="G78" s="28">
        <v>0.0</v>
      </c>
      <c r="H78" s="24" t="s">
        <v>462</v>
      </c>
      <c r="I78" s="12"/>
      <c r="J78" s="12"/>
      <c r="K78" s="12"/>
      <c r="L78" s="12"/>
      <c r="M78" s="18">
        <f t="shared" si="1"/>
        <v>0.3333333333</v>
      </c>
      <c r="N78" s="18">
        <f t="shared" si="2"/>
        <v>0</v>
      </c>
      <c r="O78" s="12">
        <f t="shared" si="4"/>
        <v>1</v>
      </c>
      <c r="P78" s="18">
        <f t="shared" si="3"/>
        <v>1</v>
      </c>
      <c r="Q78" s="12"/>
    </row>
    <row r="79">
      <c r="A79" s="1" t="s">
        <v>506</v>
      </c>
      <c r="B79" s="7" t="s">
        <v>507</v>
      </c>
      <c r="C79" s="2" t="s">
        <v>3957</v>
      </c>
      <c r="D79" s="7" t="s">
        <v>3958</v>
      </c>
      <c r="E79" s="26">
        <f>VLOOKUP(A79,'Web_of_Science_20251015 '!A:E,5,0)</f>
        <v>1</v>
      </c>
      <c r="F79" s="28">
        <v>1.0</v>
      </c>
      <c r="G79" s="28">
        <v>0.0</v>
      </c>
      <c r="H79" s="24" t="s">
        <v>462</v>
      </c>
      <c r="I79" s="12"/>
      <c r="J79" s="12"/>
      <c r="K79" s="12"/>
      <c r="L79" s="12"/>
      <c r="M79" s="18">
        <f t="shared" si="1"/>
        <v>1</v>
      </c>
      <c r="N79" s="18">
        <f t="shared" si="2"/>
        <v>0</v>
      </c>
      <c r="O79" s="10">
        <f t="shared" si="4"/>
        <v>1</v>
      </c>
      <c r="P79" s="18">
        <f t="shared" si="3"/>
        <v>1</v>
      </c>
      <c r="Q79" s="12"/>
    </row>
    <row r="80">
      <c r="A80" s="1" t="s">
        <v>510</v>
      </c>
      <c r="B80" s="7" t="s">
        <v>511</v>
      </c>
      <c r="C80" s="2" t="s">
        <v>3959</v>
      </c>
      <c r="D80" s="7" t="s">
        <v>3960</v>
      </c>
      <c r="E80" s="26">
        <f>VLOOKUP(A80,'Web_of_Science_20251015 '!A:E,5,0)</f>
        <v>2</v>
      </c>
      <c r="F80" s="28">
        <v>1.0</v>
      </c>
      <c r="G80" s="28">
        <v>0.0</v>
      </c>
      <c r="H80" s="24" t="s">
        <v>462</v>
      </c>
      <c r="I80" s="12"/>
      <c r="J80" s="12"/>
      <c r="K80" s="12"/>
      <c r="L80" s="12"/>
      <c r="M80" s="18">
        <f t="shared" si="1"/>
        <v>0.5</v>
      </c>
      <c r="N80" s="18">
        <f t="shared" si="2"/>
        <v>0</v>
      </c>
      <c r="O80" s="12">
        <f t="shared" si="4"/>
        <v>1</v>
      </c>
      <c r="P80" s="18">
        <f t="shared" si="3"/>
        <v>1</v>
      </c>
      <c r="Q80" s="12"/>
    </row>
    <row r="81">
      <c r="A81" s="1" t="s">
        <v>513</v>
      </c>
      <c r="B81" s="7" t="s">
        <v>514</v>
      </c>
      <c r="C81" s="2" t="s">
        <v>3961</v>
      </c>
      <c r="D81" s="1" t="s">
        <v>3962</v>
      </c>
      <c r="E81" s="26">
        <f>VLOOKUP(A81,'Web_of_Science_20251015 '!A:E,5,0)</f>
        <v>2</v>
      </c>
      <c r="F81" s="28">
        <v>2.0</v>
      </c>
      <c r="G81" s="28">
        <v>0.0</v>
      </c>
      <c r="H81" s="24" t="s">
        <v>462</v>
      </c>
      <c r="I81" s="12"/>
      <c r="J81" s="12"/>
      <c r="K81" s="12"/>
      <c r="L81" s="12"/>
      <c r="M81" s="18">
        <f t="shared" si="1"/>
        <v>1</v>
      </c>
      <c r="N81" s="18">
        <f t="shared" si="2"/>
        <v>0</v>
      </c>
      <c r="O81" s="10">
        <f t="shared" si="4"/>
        <v>1</v>
      </c>
      <c r="P81" s="18">
        <f t="shared" si="3"/>
        <v>1</v>
      </c>
      <c r="Q81" s="12"/>
    </row>
    <row r="82">
      <c r="A82" s="1" t="s">
        <v>517</v>
      </c>
      <c r="B82" s="7" t="s">
        <v>518</v>
      </c>
      <c r="C82" s="2" t="s">
        <v>3963</v>
      </c>
      <c r="D82" s="1" t="s">
        <v>3964</v>
      </c>
      <c r="E82" s="26">
        <f>VLOOKUP(A82,'Web_of_Science_20251015 '!A:E,5,0)</f>
        <v>4</v>
      </c>
      <c r="F82" s="28">
        <v>3.0</v>
      </c>
      <c r="G82" s="28">
        <v>0.0</v>
      </c>
      <c r="H82" s="24" t="s">
        <v>462</v>
      </c>
      <c r="I82" s="12"/>
      <c r="J82" s="12"/>
      <c r="K82" s="12"/>
      <c r="L82" s="12"/>
      <c r="M82" s="18">
        <f t="shared" si="1"/>
        <v>0.75</v>
      </c>
      <c r="N82" s="18">
        <f t="shared" si="2"/>
        <v>0</v>
      </c>
      <c r="O82" s="10">
        <f t="shared" si="4"/>
        <v>1</v>
      </c>
      <c r="P82" s="18">
        <f t="shared" si="3"/>
        <v>1</v>
      </c>
      <c r="Q82" s="12"/>
    </row>
    <row r="83">
      <c r="A83" s="1" t="s">
        <v>521</v>
      </c>
      <c r="B83" s="7" t="s">
        <v>522</v>
      </c>
      <c r="C83" s="2" t="s">
        <v>3965</v>
      </c>
      <c r="D83" s="1" t="s">
        <v>3966</v>
      </c>
      <c r="E83" s="26">
        <f>VLOOKUP(A83,'Web_of_Science_20251015 '!A:E,5,0)</f>
        <v>3</v>
      </c>
      <c r="F83" s="28">
        <v>1.0</v>
      </c>
      <c r="G83" s="28">
        <v>1.0</v>
      </c>
      <c r="H83" s="24" t="s">
        <v>462</v>
      </c>
      <c r="I83" s="12"/>
      <c r="J83" s="12"/>
      <c r="K83" s="12"/>
      <c r="L83" s="12"/>
      <c r="M83" s="18">
        <f t="shared" si="1"/>
        <v>0.3333333333</v>
      </c>
      <c r="N83" s="18">
        <f t="shared" si="2"/>
        <v>0.3333333333</v>
      </c>
      <c r="O83" s="12">
        <f t="shared" si="4"/>
        <v>1</v>
      </c>
      <c r="P83" s="18">
        <f t="shared" si="3"/>
        <v>0.5</v>
      </c>
      <c r="Q83" s="12"/>
    </row>
    <row r="84">
      <c r="A84" s="1" t="s">
        <v>525</v>
      </c>
      <c r="B84" s="7" t="s">
        <v>526</v>
      </c>
      <c r="C84" s="2" t="s">
        <v>3955</v>
      </c>
      <c r="D84" s="7" t="s">
        <v>3956</v>
      </c>
      <c r="E84" s="26">
        <f>VLOOKUP(A84,'Web_of_Science_20251015 '!A:E,5,0)</f>
        <v>4</v>
      </c>
      <c r="F84" s="28">
        <v>0.0</v>
      </c>
      <c r="G84" s="28">
        <v>1.0</v>
      </c>
      <c r="H84" s="24" t="s">
        <v>462</v>
      </c>
      <c r="I84" s="12"/>
      <c r="J84" s="12"/>
      <c r="K84" s="12"/>
      <c r="L84" s="12"/>
      <c r="M84" s="18">
        <f t="shared" si="1"/>
        <v>0</v>
      </c>
      <c r="N84" s="18">
        <f t="shared" si="2"/>
        <v>0.25</v>
      </c>
      <c r="O84" s="12">
        <f t="shared" si="4"/>
        <v>0</v>
      </c>
      <c r="P84" s="18">
        <f t="shared" si="3"/>
        <v>0</v>
      </c>
      <c r="Q84" s="12"/>
    </row>
    <row r="85">
      <c r="A85" s="1" t="s">
        <v>529</v>
      </c>
      <c r="B85" s="7" t="s">
        <v>530</v>
      </c>
      <c r="C85" s="2" t="s">
        <v>3967</v>
      </c>
      <c r="D85" s="1" t="s">
        <v>3968</v>
      </c>
      <c r="E85" s="26">
        <f>VLOOKUP(A85,'Web_of_Science_20251015 '!A:E,5,0)</f>
        <v>4</v>
      </c>
      <c r="F85" s="28">
        <v>2.0</v>
      </c>
      <c r="G85" s="28">
        <v>0.0</v>
      </c>
      <c r="H85" s="24" t="s">
        <v>462</v>
      </c>
      <c r="I85" s="12"/>
      <c r="J85" s="12"/>
      <c r="K85" s="12"/>
      <c r="L85" s="12"/>
      <c r="M85" s="18">
        <f t="shared" si="1"/>
        <v>0.5</v>
      </c>
      <c r="N85" s="18">
        <f t="shared" si="2"/>
        <v>0</v>
      </c>
      <c r="O85" s="12">
        <f t="shared" si="4"/>
        <v>1</v>
      </c>
      <c r="P85" s="18">
        <f t="shared" si="3"/>
        <v>1</v>
      </c>
      <c r="Q85" s="12"/>
    </row>
    <row r="86">
      <c r="A86" s="1" t="s">
        <v>533</v>
      </c>
      <c r="B86" s="7" t="s">
        <v>534</v>
      </c>
      <c r="C86" s="2" t="s">
        <v>3969</v>
      </c>
      <c r="D86" s="1" t="s">
        <v>3970</v>
      </c>
      <c r="E86" s="26">
        <f>VLOOKUP(A86,'Web_of_Science_20251015 '!A:E,5,0)</f>
        <v>2</v>
      </c>
      <c r="F86" s="28">
        <v>2.0</v>
      </c>
      <c r="G86" s="28">
        <v>0.0</v>
      </c>
      <c r="H86" s="24" t="s">
        <v>462</v>
      </c>
      <c r="I86" s="12"/>
      <c r="J86" s="12"/>
      <c r="K86" s="12"/>
      <c r="L86" s="12"/>
      <c r="M86" s="18">
        <f t="shared" si="1"/>
        <v>1</v>
      </c>
      <c r="N86" s="18">
        <f t="shared" si="2"/>
        <v>0</v>
      </c>
      <c r="O86" s="10">
        <f t="shared" si="4"/>
        <v>1</v>
      </c>
      <c r="P86" s="18">
        <f t="shared" si="3"/>
        <v>1</v>
      </c>
      <c r="Q86" s="12"/>
    </row>
    <row r="87">
      <c r="A87" s="1" t="s">
        <v>541</v>
      </c>
      <c r="B87" s="7" t="s">
        <v>542</v>
      </c>
      <c r="C87" s="2" t="s">
        <v>3971</v>
      </c>
      <c r="D87" s="1" t="s">
        <v>3962</v>
      </c>
      <c r="E87" s="26">
        <f>VLOOKUP(A87,'Web_of_Science_20251015 '!A:E,5,0)</f>
        <v>1</v>
      </c>
      <c r="F87" s="28">
        <v>1.0</v>
      </c>
      <c r="G87" s="28">
        <v>1.0</v>
      </c>
      <c r="H87" s="24" t="s">
        <v>462</v>
      </c>
      <c r="I87" s="12"/>
      <c r="J87" s="12"/>
      <c r="K87" s="12"/>
      <c r="L87" s="12"/>
      <c r="M87" s="18">
        <f t="shared" si="1"/>
        <v>1</v>
      </c>
      <c r="N87" s="18">
        <f t="shared" si="2"/>
        <v>1</v>
      </c>
      <c r="O87" s="12">
        <f t="shared" si="4"/>
        <v>1</v>
      </c>
      <c r="P87" s="18">
        <f t="shared" si="3"/>
        <v>0.5</v>
      </c>
      <c r="Q87" s="12"/>
    </row>
    <row r="88">
      <c r="A88" s="1" t="s">
        <v>557</v>
      </c>
      <c r="B88" s="7" t="s">
        <v>558</v>
      </c>
      <c r="C88" s="2" t="s">
        <v>3972</v>
      </c>
      <c r="D88" s="1" t="s">
        <v>3973</v>
      </c>
      <c r="E88" s="26">
        <f>VLOOKUP(A88,'Web_of_Science_20251015 '!A:E,5,0)</f>
        <v>3</v>
      </c>
      <c r="F88" s="28">
        <v>2.0</v>
      </c>
      <c r="G88" s="28">
        <v>0.0</v>
      </c>
      <c r="H88" s="24" t="s">
        <v>462</v>
      </c>
      <c r="I88" s="12"/>
      <c r="J88" s="12"/>
      <c r="K88" s="12"/>
      <c r="L88" s="12"/>
      <c r="M88" s="18">
        <f t="shared" si="1"/>
        <v>0.6666666667</v>
      </c>
      <c r="N88" s="18">
        <f t="shared" si="2"/>
        <v>0</v>
      </c>
      <c r="O88" s="12">
        <f t="shared" si="4"/>
        <v>1</v>
      </c>
      <c r="P88" s="18">
        <f t="shared" si="3"/>
        <v>1</v>
      </c>
      <c r="Q88" s="12"/>
    </row>
    <row r="89">
      <c r="A89" s="1" t="s">
        <v>567</v>
      </c>
      <c r="B89" s="7" t="s">
        <v>568</v>
      </c>
      <c r="C89" s="2" t="s">
        <v>3974</v>
      </c>
      <c r="D89" s="7" t="s">
        <v>3975</v>
      </c>
      <c r="E89" s="26">
        <f>VLOOKUP(A89,'Web_of_Science_20251015 '!A:E,5,0)</f>
        <v>1</v>
      </c>
      <c r="F89" s="28">
        <v>1.0</v>
      </c>
      <c r="G89" s="28">
        <v>0.0</v>
      </c>
      <c r="H89" s="24" t="s">
        <v>462</v>
      </c>
      <c r="I89" s="12"/>
      <c r="J89" s="12"/>
      <c r="K89" s="12"/>
      <c r="L89" s="12"/>
      <c r="M89" s="18">
        <f t="shared" si="1"/>
        <v>1</v>
      </c>
      <c r="N89" s="18">
        <f t="shared" si="2"/>
        <v>0</v>
      </c>
      <c r="O89" s="10">
        <f t="shared" si="4"/>
        <v>1</v>
      </c>
      <c r="P89" s="18">
        <f t="shared" si="3"/>
        <v>1</v>
      </c>
      <c r="Q89" s="12"/>
    </row>
    <row r="90">
      <c r="A90" s="1" t="s">
        <v>571</v>
      </c>
      <c r="B90" s="7" t="s">
        <v>572</v>
      </c>
      <c r="C90" s="2" t="s">
        <v>3976</v>
      </c>
      <c r="D90" s="7" t="s">
        <v>3977</v>
      </c>
      <c r="E90" s="26">
        <f>VLOOKUP(A90,'Web_of_Science_20251015 '!A:E,5,0)</f>
        <v>2</v>
      </c>
      <c r="F90" s="28">
        <v>1.0</v>
      </c>
      <c r="G90" s="28">
        <v>0.0</v>
      </c>
      <c r="H90" s="24" t="s">
        <v>462</v>
      </c>
      <c r="I90" s="12"/>
      <c r="J90" s="12"/>
      <c r="K90" s="12"/>
      <c r="L90" s="12"/>
      <c r="M90" s="18">
        <f t="shared" si="1"/>
        <v>0.5</v>
      </c>
      <c r="N90" s="18">
        <f t="shared" si="2"/>
        <v>0</v>
      </c>
      <c r="O90" s="12">
        <f t="shared" si="4"/>
        <v>1</v>
      </c>
      <c r="P90" s="18">
        <f t="shared" si="3"/>
        <v>1</v>
      </c>
      <c r="Q90" s="12"/>
    </row>
    <row r="91">
      <c r="A91" s="1" t="s">
        <v>575</v>
      </c>
      <c r="B91" s="7" t="s">
        <v>576</v>
      </c>
      <c r="C91" s="2" t="s">
        <v>3978</v>
      </c>
      <c r="D91" s="7" t="s">
        <v>3979</v>
      </c>
      <c r="E91" s="26">
        <f>VLOOKUP(A91,'Web_of_Science_20251015 '!A:E,5,0)</f>
        <v>1</v>
      </c>
      <c r="F91" s="28">
        <v>1.0</v>
      </c>
      <c r="G91" s="28">
        <v>0.0</v>
      </c>
      <c r="H91" s="24" t="s">
        <v>462</v>
      </c>
      <c r="I91" s="12"/>
      <c r="J91" s="12"/>
      <c r="K91" s="12"/>
      <c r="L91" s="12"/>
      <c r="M91" s="18">
        <f t="shared" si="1"/>
        <v>1</v>
      </c>
      <c r="N91" s="18">
        <f t="shared" si="2"/>
        <v>0</v>
      </c>
      <c r="O91" s="10">
        <f t="shared" si="4"/>
        <v>1</v>
      </c>
      <c r="P91" s="18">
        <f t="shared" si="3"/>
        <v>1</v>
      </c>
      <c r="Q91" s="12"/>
    </row>
    <row r="92">
      <c r="A92" s="1" t="s">
        <v>578</v>
      </c>
      <c r="B92" s="7" t="s">
        <v>579</v>
      </c>
      <c r="C92" s="2" t="s">
        <v>3980</v>
      </c>
      <c r="D92" s="1" t="s">
        <v>3981</v>
      </c>
      <c r="E92" s="26">
        <f>VLOOKUP(A92,'Web_of_Science_20251015 '!A:E,5,0)</f>
        <v>3</v>
      </c>
      <c r="F92" s="28">
        <v>2.0</v>
      </c>
      <c r="G92" s="28">
        <v>0.0</v>
      </c>
      <c r="H92" s="24" t="s">
        <v>462</v>
      </c>
      <c r="I92" s="12"/>
      <c r="J92" s="12"/>
      <c r="K92" s="12"/>
      <c r="L92" s="12"/>
      <c r="M92" s="18">
        <f t="shared" si="1"/>
        <v>0.6666666667</v>
      </c>
      <c r="N92" s="18">
        <f t="shared" si="2"/>
        <v>0</v>
      </c>
      <c r="O92" s="10">
        <f t="shared" si="4"/>
        <v>1</v>
      </c>
      <c r="P92" s="18">
        <f t="shared" si="3"/>
        <v>1</v>
      </c>
      <c r="Q92" s="12"/>
    </row>
    <row r="93">
      <c r="A93" s="1" t="s">
        <v>582</v>
      </c>
      <c r="B93" s="7" t="s">
        <v>583</v>
      </c>
      <c r="C93" s="2" t="s">
        <v>3982</v>
      </c>
      <c r="D93" s="7" t="s">
        <v>3983</v>
      </c>
      <c r="E93" s="26">
        <f>VLOOKUP(A93,'Web_of_Science_20251015 '!A:E,5,0)</f>
        <v>1</v>
      </c>
      <c r="F93" s="28">
        <v>1.0</v>
      </c>
      <c r="G93" s="28">
        <v>0.0</v>
      </c>
      <c r="H93" s="24" t="s">
        <v>462</v>
      </c>
      <c r="I93" s="12"/>
      <c r="J93" s="12"/>
      <c r="K93" s="12"/>
      <c r="L93" s="12"/>
      <c r="M93" s="18">
        <f t="shared" si="1"/>
        <v>1</v>
      </c>
      <c r="N93" s="18">
        <f t="shared" si="2"/>
        <v>0</v>
      </c>
      <c r="O93" s="10">
        <f t="shared" si="4"/>
        <v>1</v>
      </c>
      <c r="P93" s="18">
        <f t="shared" si="3"/>
        <v>1</v>
      </c>
      <c r="Q93" s="12"/>
    </row>
    <row r="94">
      <c r="A94" s="1" t="s">
        <v>586</v>
      </c>
      <c r="B94" s="7" t="s">
        <v>587</v>
      </c>
      <c r="C94" s="2" t="s">
        <v>3838</v>
      </c>
      <c r="D94" s="7" t="s">
        <v>3839</v>
      </c>
      <c r="E94" s="26">
        <f>VLOOKUP(A94,'Web_of_Science_20251015 '!A:E,5,0)</f>
        <v>3</v>
      </c>
      <c r="F94" s="28">
        <v>1.0</v>
      </c>
      <c r="G94" s="28">
        <v>0.0</v>
      </c>
      <c r="H94" s="24" t="s">
        <v>462</v>
      </c>
      <c r="I94" s="12"/>
      <c r="J94" s="12"/>
      <c r="K94" s="12"/>
      <c r="L94" s="12"/>
      <c r="M94" s="18">
        <f t="shared" si="1"/>
        <v>0.3333333333</v>
      </c>
      <c r="N94" s="18">
        <f t="shared" si="2"/>
        <v>0</v>
      </c>
      <c r="O94" s="12">
        <f t="shared" si="4"/>
        <v>1</v>
      </c>
      <c r="P94" s="18">
        <f t="shared" si="3"/>
        <v>1</v>
      </c>
      <c r="Q94" s="12"/>
    </row>
    <row r="95">
      <c r="A95" s="1" t="s">
        <v>588</v>
      </c>
      <c r="B95" s="7" t="s">
        <v>589</v>
      </c>
      <c r="C95" s="2" t="s">
        <v>3984</v>
      </c>
      <c r="D95" s="1" t="s">
        <v>3985</v>
      </c>
      <c r="E95" s="26">
        <f>VLOOKUP(A95,'Web_of_Science_20251015 '!A:E,5,0)</f>
        <v>5</v>
      </c>
      <c r="F95" s="28">
        <v>1.0</v>
      </c>
      <c r="G95" s="28">
        <v>1.0</v>
      </c>
      <c r="H95" s="24" t="s">
        <v>462</v>
      </c>
      <c r="I95" s="12"/>
      <c r="J95" s="12"/>
      <c r="K95" s="12"/>
      <c r="L95" s="12"/>
      <c r="M95" s="18">
        <f t="shared" si="1"/>
        <v>0.2</v>
      </c>
      <c r="N95" s="18">
        <f t="shared" si="2"/>
        <v>0.2</v>
      </c>
      <c r="O95" s="12">
        <f t="shared" si="4"/>
        <v>1</v>
      </c>
      <c r="P95" s="18">
        <f t="shared" si="3"/>
        <v>0.5</v>
      </c>
      <c r="Q95" s="12"/>
    </row>
    <row r="96">
      <c r="A96" s="1" t="s">
        <v>592</v>
      </c>
      <c r="B96" s="7" t="s">
        <v>593</v>
      </c>
      <c r="C96" s="2" t="s">
        <v>3986</v>
      </c>
      <c r="D96" s="7" t="s">
        <v>3987</v>
      </c>
      <c r="E96" s="26">
        <f>VLOOKUP(A96,'Web_of_Science_20251015 '!A:E,5,0)</f>
        <v>1</v>
      </c>
      <c r="F96" s="28">
        <v>1.0</v>
      </c>
      <c r="G96" s="28">
        <v>0.0</v>
      </c>
      <c r="H96" s="24" t="s">
        <v>462</v>
      </c>
      <c r="I96" s="12"/>
      <c r="J96" s="12"/>
      <c r="K96" s="12"/>
      <c r="L96" s="12"/>
      <c r="M96" s="18">
        <f t="shared" si="1"/>
        <v>1</v>
      </c>
      <c r="N96" s="18">
        <f t="shared" si="2"/>
        <v>0</v>
      </c>
      <c r="O96" s="10">
        <f t="shared" si="4"/>
        <v>1</v>
      </c>
      <c r="P96" s="18">
        <f t="shared" si="3"/>
        <v>1</v>
      </c>
      <c r="Q96" s="12"/>
    </row>
    <row r="97">
      <c r="A97" s="1" t="s">
        <v>594</v>
      </c>
      <c r="B97" s="7" t="s">
        <v>595</v>
      </c>
      <c r="C97" s="2" t="s">
        <v>3988</v>
      </c>
      <c r="D97" s="1" t="s">
        <v>3989</v>
      </c>
      <c r="E97" s="26">
        <f>VLOOKUP(A97,'Web_of_Science_20251015 '!A:E,5,0)</f>
        <v>2</v>
      </c>
      <c r="F97" s="28">
        <v>2.0</v>
      </c>
      <c r="G97" s="28">
        <v>0.0</v>
      </c>
      <c r="H97" s="24" t="s">
        <v>462</v>
      </c>
      <c r="I97" s="12"/>
      <c r="J97" s="12"/>
      <c r="K97" s="12"/>
      <c r="L97" s="12"/>
      <c r="M97" s="18">
        <f t="shared" si="1"/>
        <v>1</v>
      </c>
      <c r="N97" s="18">
        <f t="shared" si="2"/>
        <v>0</v>
      </c>
      <c r="O97" s="10">
        <f t="shared" si="4"/>
        <v>1</v>
      </c>
      <c r="P97" s="18">
        <f t="shared" si="3"/>
        <v>1</v>
      </c>
      <c r="Q97" s="12"/>
    </row>
    <row r="98">
      <c r="A98" s="1" t="s">
        <v>598</v>
      </c>
      <c r="B98" s="7" t="s">
        <v>599</v>
      </c>
      <c r="C98" s="2" t="s">
        <v>3838</v>
      </c>
      <c r="D98" s="7" t="s">
        <v>3839</v>
      </c>
      <c r="E98" s="26">
        <f>VLOOKUP(A98,'Web_of_Science_20251015 '!A:E,5,0)</f>
        <v>4</v>
      </c>
      <c r="F98" s="28">
        <v>1.0</v>
      </c>
      <c r="G98" s="28">
        <v>0.0</v>
      </c>
      <c r="H98" s="24" t="s">
        <v>462</v>
      </c>
      <c r="I98" s="12"/>
      <c r="J98" s="12"/>
      <c r="K98" s="12"/>
      <c r="L98" s="12"/>
      <c r="M98" s="18">
        <f t="shared" si="1"/>
        <v>0.25</v>
      </c>
      <c r="N98" s="18">
        <f t="shared" si="2"/>
        <v>0</v>
      </c>
      <c r="O98" s="12">
        <f t="shared" si="4"/>
        <v>1</v>
      </c>
      <c r="P98" s="18">
        <f t="shared" si="3"/>
        <v>1</v>
      </c>
      <c r="Q98" s="12"/>
    </row>
    <row r="99">
      <c r="A99" s="1" t="s">
        <v>602</v>
      </c>
      <c r="B99" s="7" t="s">
        <v>603</v>
      </c>
      <c r="C99" s="2" t="s">
        <v>3990</v>
      </c>
      <c r="D99" s="1" t="s">
        <v>3991</v>
      </c>
      <c r="E99" s="26">
        <f>VLOOKUP(A99,'Web_of_Science_20251015 '!A:E,5,0)</f>
        <v>3</v>
      </c>
      <c r="F99" s="28">
        <v>3.0</v>
      </c>
      <c r="G99" s="28">
        <v>0.0</v>
      </c>
      <c r="H99" s="24" t="s">
        <v>462</v>
      </c>
      <c r="I99" s="12"/>
      <c r="J99" s="12"/>
      <c r="K99" s="12"/>
      <c r="L99" s="12"/>
      <c r="M99" s="18">
        <f t="shared" si="1"/>
        <v>1</v>
      </c>
      <c r="N99" s="18">
        <f t="shared" si="2"/>
        <v>0</v>
      </c>
      <c r="O99" s="12">
        <f t="shared" si="4"/>
        <v>1</v>
      </c>
      <c r="P99" s="18">
        <f t="shared" si="3"/>
        <v>1</v>
      </c>
      <c r="Q99" s="12"/>
    </row>
    <row r="100">
      <c r="A100" s="1" t="s">
        <v>606</v>
      </c>
      <c r="B100" s="7" t="s">
        <v>607</v>
      </c>
      <c r="C100" s="2" t="s">
        <v>3836</v>
      </c>
      <c r="D100" s="1" t="s">
        <v>3837</v>
      </c>
      <c r="E100" s="26">
        <f>VLOOKUP(A100,'Web_of_Science_20251015 '!A:E,5,0)</f>
        <v>3</v>
      </c>
      <c r="F100" s="28">
        <v>2.0</v>
      </c>
      <c r="G100" s="28">
        <v>0.0</v>
      </c>
      <c r="H100" s="24" t="s">
        <v>462</v>
      </c>
      <c r="I100" s="12"/>
      <c r="J100" s="12"/>
      <c r="K100" s="12"/>
      <c r="L100" s="12"/>
      <c r="M100" s="18">
        <f t="shared" si="1"/>
        <v>0.6666666667</v>
      </c>
      <c r="N100" s="18">
        <f t="shared" si="2"/>
        <v>0</v>
      </c>
      <c r="O100" s="12">
        <f t="shared" si="4"/>
        <v>1</v>
      </c>
      <c r="P100" s="18">
        <f t="shared" si="3"/>
        <v>1</v>
      </c>
      <c r="Q100" s="12"/>
    </row>
    <row r="101">
      <c r="A101" s="1" t="s">
        <v>619</v>
      </c>
      <c r="B101" s="7" t="s">
        <v>620</v>
      </c>
      <c r="C101" s="2" t="s">
        <v>3838</v>
      </c>
      <c r="D101" s="7" t="s">
        <v>3839</v>
      </c>
      <c r="E101" s="27"/>
      <c r="F101" s="27"/>
      <c r="G101" s="27"/>
      <c r="H101" s="29"/>
      <c r="I101" s="12"/>
      <c r="J101" s="12"/>
      <c r="K101" s="12"/>
      <c r="L101" s="12"/>
      <c r="M101" s="18" t="str">
        <f t="shared" si="1"/>
        <v>#DIV/0!</v>
      </c>
      <c r="N101" s="18" t="str">
        <f t="shared" si="2"/>
        <v>#DIV/0!</v>
      </c>
      <c r="O101" s="12" t="str">
        <f t="shared" si="4"/>
        <v/>
      </c>
      <c r="P101" s="18" t="str">
        <f t="shared" si="3"/>
        <v>#DIV/0!</v>
      </c>
      <c r="Q101" s="12"/>
    </row>
    <row r="102">
      <c r="A102" s="1" t="s">
        <v>621</v>
      </c>
      <c r="B102" s="7" t="s">
        <v>622</v>
      </c>
      <c r="C102" s="2" t="s">
        <v>3889</v>
      </c>
      <c r="D102" s="7" t="s">
        <v>3890</v>
      </c>
      <c r="E102" s="27"/>
      <c r="F102" s="27"/>
      <c r="G102" s="27"/>
      <c r="H102" s="29"/>
      <c r="I102" s="12"/>
      <c r="J102" s="12"/>
      <c r="K102" s="12"/>
      <c r="L102" s="12"/>
      <c r="M102" s="18" t="str">
        <f t="shared" si="1"/>
        <v>#DIV/0!</v>
      </c>
      <c r="N102" s="18" t="str">
        <f t="shared" si="2"/>
        <v>#DIV/0!</v>
      </c>
      <c r="O102" s="10" t="str">
        <f t="shared" si="4"/>
        <v/>
      </c>
      <c r="P102" s="18" t="str">
        <f t="shared" si="3"/>
        <v>#DIV/0!</v>
      </c>
      <c r="Q102" s="12"/>
    </row>
    <row r="103">
      <c r="A103" s="1" t="s">
        <v>625</v>
      </c>
      <c r="B103" s="7" t="s">
        <v>626</v>
      </c>
      <c r="C103" s="2" t="s">
        <v>3838</v>
      </c>
      <c r="D103" s="7" t="s">
        <v>3839</v>
      </c>
      <c r="E103" s="27"/>
      <c r="F103" s="27"/>
      <c r="G103" s="27"/>
      <c r="H103" s="29"/>
      <c r="I103" s="12"/>
      <c r="J103" s="12"/>
      <c r="K103" s="12"/>
      <c r="L103" s="12"/>
      <c r="M103" s="18" t="str">
        <f t="shared" si="1"/>
        <v>#DIV/0!</v>
      </c>
      <c r="N103" s="18" t="str">
        <f t="shared" si="2"/>
        <v>#DIV/0!</v>
      </c>
      <c r="O103" s="12" t="str">
        <f t="shared" si="4"/>
        <v/>
      </c>
      <c r="P103" s="18" t="str">
        <f t="shared" si="3"/>
        <v>#DIV/0!</v>
      </c>
      <c r="Q103" s="12"/>
    </row>
    <row r="104">
      <c r="A104" s="1" t="s">
        <v>629</v>
      </c>
      <c r="B104" s="7" t="s">
        <v>630</v>
      </c>
      <c r="C104" s="2" t="s">
        <v>3980</v>
      </c>
      <c r="D104" s="1" t="s">
        <v>3992</v>
      </c>
      <c r="E104" s="27"/>
      <c r="F104" s="27"/>
      <c r="G104" s="27"/>
      <c r="H104" s="29"/>
      <c r="I104" s="12"/>
      <c r="J104" s="12"/>
      <c r="K104" s="12"/>
      <c r="L104" s="12"/>
      <c r="M104" s="18" t="str">
        <f t="shared" si="1"/>
        <v>#DIV/0!</v>
      </c>
      <c r="N104" s="18" t="str">
        <f t="shared" si="2"/>
        <v>#DIV/0!</v>
      </c>
      <c r="O104" s="12" t="str">
        <f t="shared" si="4"/>
        <v/>
      </c>
      <c r="P104" s="18" t="str">
        <f t="shared" si="3"/>
        <v>#DIV/0!</v>
      </c>
      <c r="Q104" s="12"/>
    </row>
    <row r="105">
      <c r="A105" s="1" t="s">
        <v>631</v>
      </c>
      <c r="B105" s="7" t="s">
        <v>632</v>
      </c>
      <c r="C105" s="2" t="s">
        <v>3993</v>
      </c>
      <c r="D105" s="1" t="s">
        <v>3853</v>
      </c>
      <c r="E105" s="27"/>
      <c r="F105" s="27"/>
      <c r="G105" s="27"/>
      <c r="H105" s="29"/>
      <c r="I105" s="12"/>
      <c r="J105" s="12"/>
      <c r="K105" s="12"/>
      <c r="L105" s="12"/>
      <c r="M105" s="18" t="str">
        <f t="shared" si="1"/>
        <v>#DIV/0!</v>
      </c>
      <c r="N105" s="18" t="str">
        <f t="shared" si="2"/>
        <v>#DIV/0!</v>
      </c>
      <c r="O105" s="12" t="str">
        <f t="shared" si="4"/>
        <v/>
      </c>
      <c r="P105" s="18" t="str">
        <f t="shared" si="3"/>
        <v>#DIV/0!</v>
      </c>
      <c r="Q105" s="12"/>
    </row>
    <row r="106">
      <c r="A106" s="1" t="s">
        <v>635</v>
      </c>
      <c r="B106" s="7" t="s">
        <v>636</v>
      </c>
      <c r="C106" s="2" t="s">
        <v>3838</v>
      </c>
      <c r="D106" s="7" t="s">
        <v>3839</v>
      </c>
      <c r="E106" s="27"/>
      <c r="F106" s="27"/>
      <c r="G106" s="27"/>
      <c r="H106" s="29"/>
      <c r="I106" s="12"/>
      <c r="J106" s="12"/>
      <c r="K106" s="12"/>
      <c r="L106" s="12"/>
      <c r="M106" s="18" t="str">
        <f t="shared" si="1"/>
        <v>#DIV/0!</v>
      </c>
      <c r="N106" s="18" t="str">
        <f t="shared" si="2"/>
        <v>#DIV/0!</v>
      </c>
      <c r="O106" s="10" t="str">
        <f t="shared" si="4"/>
        <v/>
      </c>
      <c r="P106" s="18" t="str">
        <f t="shared" si="3"/>
        <v>#DIV/0!</v>
      </c>
      <c r="Q106" s="12"/>
    </row>
    <row r="107">
      <c r="A107" s="1" t="s">
        <v>637</v>
      </c>
      <c r="B107" s="7" t="s">
        <v>638</v>
      </c>
      <c r="C107" s="2" t="s">
        <v>3994</v>
      </c>
      <c r="D107" s="1" t="s">
        <v>3995</v>
      </c>
      <c r="E107" s="27"/>
      <c r="F107" s="27"/>
      <c r="G107" s="27"/>
      <c r="H107" s="29"/>
      <c r="I107" s="12"/>
      <c r="J107" s="12"/>
      <c r="K107" s="12"/>
      <c r="L107" s="12"/>
      <c r="M107" s="18" t="str">
        <f t="shared" si="1"/>
        <v>#DIV/0!</v>
      </c>
      <c r="N107" s="18" t="str">
        <f t="shared" si="2"/>
        <v>#DIV/0!</v>
      </c>
      <c r="O107" s="10" t="str">
        <f t="shared" si="4"/>
        <v/>
      </c>
      <c r="P107" s="18" t="str">
        <f t="shared" si="3"/>
        <v>#DIV/0!</v>
      </c>
      <c r="Q107" s="12"/>
    </row>
    <row r="108">
      <c r="A108" s="1" t="s">
        <v>641</v>
      </c>
      <c r="B108" s="7" t="s">
        <v>642</v>
      </c>
      <c r="C108" s="2" t="s">
        <v>3996</v>
      </c>
      <c r="D108" s="7" t="s">
        <v>3997</v>
      </c>
      <c r="E108" s="27"/>
      <c r="F108" s="27"/>
      <c r="G108" s="27"/>
      <c r="H108" s="29"/>
      <c r="I108" s="12"/>
      <c r="J108" s="12"/>
      <c r="K108" s="12"/>
      <c r="L108" s="12"/>
      <c r="M108" s="18" t="str">
        <f t="shared" si="1"/>
        <v>#DIV/0!</v>
      </c>
      <c r="N108" s="18" t="str">
        <f t="shared" si="2"/>
        <v>#DIV/0!</v>
      </c>
      <c r="O108" s="10" t="str">
        <f t="shared" si="4"/>
        <v/>
      </c>
      <c r="P108" s="18" t="str">
        <f t="shared" si="3"/>
        <v>#DIV/0!</v>
      </c>
      <c r="Q108" s="12"/>
    </row>
    <row r="109">
      <c r="A109" s="1" t="s">
        <v>657</v>
      </c>
      <c r="B109" s="7" t="s">
        <v>658</v>
      </c>
      <c r="C109" s="2" t="s">
        <v>3998</v>
      </c>
      <c r="D109" s="1" t="s">
        <v>3999</v>
      </c>
      <c r="E109" s="28">
        <v>3.0</v>
      </c>
      <c r="F109" s="28">
        <v>2.0</v>
      </c>
      <c r="G109" s="28">
        <v>0.0</v>
      </c>
      <c r="H109" s="24" t="s">
        <v>462</v>
      </c>
      <c r="I109" s="12"/>
      <c r="J109" s="12"/>
      <c r="K109" s="12"/>
      <c r="L109" s="12"/>
      <c r="M109" s="18">
        <f t="shared" si="1"/>
        <v>0.6666666667</v>
      </c>
      <c r="N109" s="18">
        <f t="shared" si="2"/>
        <v>0</v>
      </c>
      <c r="O109" s="12">
        <f t="shared" si="4"/>
        <v>1</v>
      </c>
      <c r="P109" s="18">
        <f t="shared" si="3"/>
        <v>1</v>
      </c>
      <c r="Q109" s="12"/>
    </row>
    <row r="110">
      <c r="A110" s="1" t="s">
        <v>661</v>
      </c>
      <c r="B110" s="7" t="s">
        <v>662</v>
      </c>
      <c r="C110" s="2" t="s">
        <v>4000</v>
      </c>
      <c r="D110" s="1" t="s">
        <v>4001</v>
      </c>
      <c r="E110" s="28">
        <v>7.0</v>
      </c>
      <c r="F110" s="28">
        <v>4.0</v>
      </c>
      <c r="G110" s="28">
        <v>0.0</v>
      </c>
      <c r="H110" s="24" t="s">
        <v>462</v>
      </c>
      <c r="I110" s="12"/>
      <c r="J110" s="12"/>
      <c r="K110" s="12"/>
      <c r="L110" s="12"/>
      <c r="M110" s="18">
        <f t="shared" si="1"/>
        <v>0.5714285714</v>
      </c>
      <c r="N110" s="18">
        <f t="shared" si="2"/>
        <v>0</v>
      </c>
      <c r="O110" s="12">
        <f t="shared" si="4"/>
        <v>1</v>
      </c>
      <c r="P110" s="18">
        <f t="shared" si="3"/>
        <v>1</v>
      </c>
      <c r="Q110" s="12"/>
    </row>
    <row r="111">
      <c r="A111" s="1" t="s">
        <v>665</v>
      </c>
      <c r="B111" s="7" t="s">
        <v>666</v>
      </c>
      <c r="C111" s="2" t="s">
        <v>4002</v>
      </c>
      <c r="D111" s="7" t="s">
        <v>4003</v>
      </c>
      <c r="E111" s="27"/>
      <c r="F111" s="27"/>
      <c r="G111" s="27"/>
      <c r="H111" s="29"/>
      <c r="I111" s="12"/>
      <c r="J111" s="12"/>
      <c r="K111" s="12"/>
      <c r="L111" s="12"/>
      <c r="M111" s="18" t="str">
        <f t="shared" si="1"/>
        <v>#DIV/0!</v>
      </c>
      <c r="N111" s="18" t="str">
        <f t="shared" si="2"/>
        <v>#DIV/0!</v>
      </c>
      <c r="O111" s="10" t="str">
        <f t="shared" si="4"/>
        <v/>
      </c>
      <c r="P111" s="18" t="str">
        <f t="shared" si="3"/>
        <v>#DIV/0!</v>
      </c>
      <c r="Q111" s="12"/>
    </row>
    <row r="112">
      <c r="A112" s="1" t="s">
        <v>669</v>
      </c>
      <c r="B112" s="7" t="s">
        <v>670</v>
      </c>
      <c r="C112" s="2" t="s">
        <v>4004</v>
      </c>
      <c r="D112" s="1" t="s">
        <v>3853</v>
      </c>
      <c r="E112" s="28">
        <v>2.0</v>
      </c>
      <c r="F112" s="28">
        <v>2.0</v>
      </c>
      <c r="G112" s="28">
        <v>0.0</v>
      </c>
      <c r="H112" s="24" t="s">
        <v>462</v>
      </c>
      <c r="I112" s="12"/>
      <c r="J112" s="12"/>
      <c r="K112" s="12"/>
      <c r="L112" s="12"/>
      <c r="M112" s="18">
        <f t="shared" si="1"/>
        <v>1</v>
      </c>
      <c r="N112" s="18">
        <f t="shared" si="2"/>
        <v>0</v>
      </c>
      <c r="O112" s="12">
        <f t="shared" si="4"/>
        <v>1</v>
      </c>
      <c r="P112" s="18">
        <f t="shared" si="3"/>
        <v>1</v>
      </c>
      <c r="Q112" s="12"/>
    </row>
    <row r="113">
      <c r="A113" s="1" t="s">
        <v>673</v>
      </c>
      <c r="B113" s="7" t="s">
        <v>674</v>
      </c>
      <c r="C113" s="2" t="s">
        <v>4005</v>
      </c>
      <c r="D113" s="1" t="s">
        <v>4006</v>
      </c>
      <c r="E113" s="27"/>
      <c r="F113" s="27"/>
      <c r="G113" s="27"/>
      <c r="H113" s="24" t="s">
        <v>4007</v>
      </c>
      <c r="I113" s="12"/>
      <c r="J113" s="12"/>
      <c r="K113" s="12"/>
      <c r="L113" s="12"/>
      <c r="M113" s="18" t="str">
        <f t="shared" si="1"/>
        <v>#DIV/0!</v>
      </c>
      <c r="N113" s="18" t="str">
        <f t="shared" si="2"/>
        <v>#DIV/0!</v>
      </c>
      <c r="O113" s="12" t="str">
        <f t="shared" si="4"/>
        <v/>
      </c>
      <c r="P113" s="18" t="str">
        <f t="shared" si="3"/>
        <v>#DIV/0!</v>
      </c>
      <c r="Q113" s="12"/>
    </row>
    <row r="114">
      <c r="A114" s="1" t="s">
        <v>679</v>
      </c>
      <c r="B114" s="7" t="s">
        <v>680</v>
      </c>
      <c r="C114" s="2" t="s">
        <v>4008</v>
      </c>
      <c r="E114" s="27"/>
      <c r="F114" s="30"/>
      <c r="G114" s="30"/>
      <c r="H114" s="29"/>
      <c r="I114" s="12"/>
      <c r="J114" s="12"/>
      <c r="K114" s="12"/>
      <c r="L114" s="12"/>
      <c r="M114" s="18" t="str">
        <f t="shared" si="1"/>
        <v>#DIV/0!</v>
      </c>
      <c r="N114" s="18" t="str">
        <f t="shared" si="2"/>
        <v>#DIV/0!</v>
      </c>
      <c r="O114" s="10" t="str">
        <f t="shared" si="4"/>
        <v/>
      </c>
      <c r="P114" s="18" t="str">
        <f t="shared" si="3"/>
        <v>#DIV/0!</v>
      </c>
      <c r="Q114" s="12"/>
    </row>
    <row r="115">
      <c r="A115" s="1" t="s">
        <v>682</v>
      </c>
      <c r="B115" s="7" t="s">
        <v>683</v>
      </c>
      <c r="C115" s="2" t="s">
        <v>4009</v>
      </c>
      <c r="D115" s="1" t="s">
        <v>4010</v>
      </c>
      <c r="E115" s="27"/>
      <c r="F115" s="30"/>
      <c r="G115" s="30"/>
      <c r="H115" s="24" t="s">
        <v>4007</v>
      </c>
      <c r="I115" s="12"/>
      <c r="J115" s="12"/>
      <c r="K115" s="12"/>
      <c r="L115" s="12"/>
      <c r="M115" s="18" t="str">
        <f t="shared" si="1"/>
        <v>#DIV/0!</v>
      </c>
      <c r="N115" s="18" t="str">
        <f t="shared" si="2"/>
        <v>#DIV/0!</v>
      </c>
      <c r="O115" s="12" t="str">
        <f t="shared" si="4"/>
        <v/>
      </c>
      <c r="P115" s="18" t="str">
        <f t="shared" si="3"/>
        <v>#DIV/0!</v>
      </c>
      <c r="Q115" s="12"/>
    </row>
    <row r="116">
      <c r="A116" s="1" t="s">
        <v>687</v>
      </c>
      <c r="B116" s="7" t="s">
        <v>688</v>
      </c>
      <c r="C116" s="2" t="s">
        <v>4011</v>
      </c>
      <c r="D116" s="1" t="s">
        <v>4012</v>
      </c>
      <c r="E116" s="27"/>
      <c r="F116" s="27"/>
      <c r="G116" s="27"/>
      <c r="H116" s="24" t="s">
        <v>4007</v>
      </c>
      <c r="I116" s="12"/>
      <c r="J116" s="12"/>
      <c r="K116" s="12"/>
      <c r="L116" s="12"/>
      <c r="M116" s="18" t="str">
        <f t="shared" si="1"/>
        <v>#DIV/0!</v>
      </c>
      <c r="N116" s="18" t="str">
        <f t="shared" si="2"/>
        <v>#DIV/0!</v>
      </c>
      <c r="O116" s="12" t="str">
        <f t="shared" si="4"/>
        <v/>
      </c>
      <c r="P116" s="18" t="str">
        <f t="shared" si="3"/>
        <v>#DIV/0!</v>
      </c>
      <c r="Q116" s="12"/>
    </row>
    <row r="117">
      <c r="A117" s="1" t="s">
        <v>691</v>
      </c>
      <c r="B117" s="7" t="s">
        <v>692</v>
      </c>
      <c r="C117" s="2" t="s">
        <v>4013</v>
      </c>
      <c r="D117" s="1" t="s">
        <v>4014</v>
      </c>
      <c r="E117" s="27"/>
      <c r="F117" s="27"/>
      <c r="G117" s="27"/>
      <c r="H117" s="24" t="s">
        <v>4007</v>
      </c>
      <c r="I117" s="12"/>
      <c r="J117" s="12"/>
      <c r="K117" s="12"/>
      <c r="L117" s="12"/>
      <c r="M117" s="18" t="str">
        <f t="shared" si="1"/>
        <v>#DIV/0!</v>
      </c>
      <c r="N117" s="18" t="str">
        <f t="shared" si="2"/>
        <v>#DIV/0!</v>
      </c>
      <c r="O117" s="12" t="str">
        <f t="shared" si="4"/>
        <v/>
      </c>
      <c r="P117" s="18" t="str">
        <f t="shared" si="3"/>
        <v>#DIV/0!</v>
      </c>
      <c r="Q117" s="12"/>
    </row>
    <row r="118">
      <c r="A118" s="1" t="s">
        <v>695</v>
      </c>
      <c r="B118" s="7" t="s">
        <v>696</v>
      </c>
      <c r="C118" s="2" t="s">
        <v>4015</v>
      </c>
      <c r="D118" s="7" t="s">
        <v>4016</v>
      </c>
      <c r="E118" s="27"/>
      <c r="F118" s="27"/>
      <c r="G118" s="27"/>
      <c r="H118" s="29"/>
      <c r="I118" s="12"/>
      <c r="J118" s="12"/>
      <c r="K118" s="12"/>
      <c r="L118" s="12"/>
      <c r="M118" s="18" t="str">
        <f t="shared" si="1"/>
        <v>#DIV/0!</v>
      </c>
      <c r="N118" s="18" t="str">
        <f t="shared" si="2"/>
        <v>#DIV/0!</v>
      </c>
      <c r="O118" s="10" t="str">
        <f t="shared" si="4"/>
        <v/>
      </c>
      <c r="P118" s="18" t="str">
        <f t="shared" si="3"/>
        <v>#DIV/0!</v>
      </c>
      <c r="Q118" s="12"/>
    </row>
    <row r="119">
      <c r="A119" s="1" t="s">
        <v>703</v>
      </c>
      <c r="B119" s="7" t="s">
        <v>704</v>
      </c>
      <c r="C119" s="2" t="s">
        <v>3982</v>
      </c>
      <c r="D119" s="7" t="s">
        <v>3983</v>
      </c>
      <c r="E119" s="27"/>
      <c r="F119" s="30"/>
      <c r="G119" s="30"/>
      <c r="H119" s="29"/>
      <c r="I119" s="12"/>
      <c r="J119" s="12"/>
      <c r="K119" s="12"/>
      <c r="L119" s="12"/>
      <c r="M119" s="18" t="str">
        <f t="shared" si="1"/>
        <v>#DIV/0!</v>
      </c>
      <c r="N119" s="18" t="str">
        <f t="shared" si="2"/>
        <v>#DIV/0!</v>
      </c>
      <c r="O119" s="10" t="str">
        <f t="shared" si="4"/>
        <v/>
      </c>
      <c r="P119" s="18" t="str">
        <f t="shared" si="3"/>
        <v>#DIV/0!</v>
      </c>
      <c r="Q119" s="12"/>
    </row>
    <row r="120">
      <c r="A120" s="1" t="s">
        <v>709</v>
      </c>
      <c r="B120" s="7" t="s">
        <v>710</v>
      </c>
      <c r="C120" s="2" t="s">
        <v>4017</v>
      </c>
      <c r="D120" s="1" t="s">
        <v>4018</v>
      </c>
      <c r="E120" s="27"/>
      <c r="F120" s="30"/>
      <c r="G120" s="30"/>
      <c r="H120" s="24" t="s">
        <v>4007</v>
      </c>
      <c r="I120" s="12"/>
      <c r="J120" s="12"/>
      <c r="K120" s="12"/>
      <c r="L120" s="12"/>
      <c r="M120" s="18" t="str">
        <f t="shared" si="1"/>
        <v>#DIV/0!</v>
      </c>
      <c r="N120" s="18" t="str">
        <f t="shared" si="2"/>
        <v>#DIV/0!</v>
      </c>
      <c r="O120" s="12" t="str">
        <f t="shared" si="4"/>
        <v/>
      </c>
      <c r="P120" s="18" t="str">
        <f t="shared" si="3"/>
        <v>#DIV/0!</v>
      </c>
      <c r="Q120" s="12"/>
    </row>
    <row r="121">
      <c r="A121" s="1" t="s">
        <v>717</v>
      </c>
      <c r="B121" s="7" t="s">
        <v>718</v>
      </c>
      <c r="C121" s="2" t="s">
        <v>3941</v>
      </c>
      <c r="D121" s="1" t="s">
        <v>4019</v>
      </c>
      <c r="E121" s="27"/>
      <c r="F121" s="30"/>
      <c r="G121" s="30"/>
      <c r="H121" s="29"/>
      <c r="I121" s="12"/>
      <c r="J121" s="12"/>
      <c r="K121" s="12"/>
      <c r="L121" s="12"/>
      <c r="M121" s="18" t="str">
        <f t="shared" si="1"/>
        <v>#DIV/0!</v>
      </c>
      <c r="N121" s="18" t="str">
        <f t="shared" si="2"/>
        <v>#DIV/0!</v>
      </c>
      <c r="O121" s="10" t="str">
        <f t="shared" si="4"/>
        <v/>
      </c>
      <c r="P121" s="18" t="str">
        <f t="shared" si="3"/>
        <v>#DIV/0!</v>
      </c>
      <c r="Q121" s="12"/>
    </row>
    <row r="122">
      <c r="A122" s="1" t="s">
        <v>721</v>
      </c>
      <c r="B122" s="7" t="s">
        <v>722</v>
      </c>
      <c r="C122" s="2" t="s">
        <v>3865</v>
      </c>
      <c r="D122" s="1" t="s">
        <v>4020</v>
      </c>
      <c r="E122" s="27"/>
      <c r="F122" s="27"/>
      <c r="G122" s="27"/>
      <c r="H122" s="24" t="s">
        <v>4007</v>
      </c>
      <c r="I122" s="12"/>
      <c r="J122" s="12"/>
      <c r="K122" s="12"/>
      <c r="L122" s="12"/>
      <c r="M122" s="18" t="str">
        <f t="shared" si="1"/>
        <v>#DIV/0!</v>
      </c>
      <c r="N122" s="18" t="str">
        <f t="shared" si="2"/>
        <v>#DIV/0!</v>
      </c>
      <c r="O122" s="12" t="str">
        <f t="shared" si="4"/>
        <v/>
      </c>
      <c r="P122" s="18" t="str">
        <f t="shared" si="3"/>
        <v>#DIV/0!</v>
      </c>
      <c r="Q122" s="12"/>
    </row>
    <row r="123">
      <c r="A123" s="1" t="s">
        <v>729</v>
      </c>
      <c r="B123" s="7" t="s">
        <v>730</v>
      </c>
      <c r="C123" s="2" t="s">
        <v>4021</v>
      </c>
      <c r="D123" s="7" t="s">
        <v>4022</v>
      </c>
      <c r="E123" s="27"/>
      <c r="F123" s="30"/>
      <c r="G123" s="30"/>
      <c r="H123" s="24" t="s">
        <v>4007</v>
      </c>
      <c r="I123" s="12"/>
      <c r="J123" s="12"/>
      <c r="K123" s="12"/>
      <c r="L123" s="12"/>
      <c r="M123" s="18" t="str">
        <f t="shared" si="1"/>
        <v>#DIV/0!</v>
      </c>
      <c r="N123" s="18" t="str">
        <f t="shared" si="2"/>
        <v>#DIV/0!</v>
      </c>
      <c r="O123" s="12" t="str">
        <f t="shared" si="4"/>
        <v/>
      </c>
      <c r="P123" s="18" t="str">
        <f t="shared" si="3"/>
        <v>#DIV/0!</v>
      </c>
      <c r="Q123" s="12"/>
    </row>
    <row r="124">
      <c r="A124" s="1" t="s">
        <v>733</v>
      </c>
      <c r="B124" s="7" t="s">
        <v>734</v>
      </c>
      <c r="C124" s="2" t="s">
        <v>3838</v>
      </c>
      <c r="D124" s="7" t="s">
        <v>3839</v>
      </c>
      <c r="E124" s="27"/>
      <c r="F124" s="27"/>
      <c r="G124" s="27"/>
      <c r="H124" s="29"/>
      <c r="I124" s="12"/>
      <c r="J124" s="12"/>
      <c r="K124" s="12"/>
      <c r="L124" s="12"/>
      <c r="M124" s="18" t="str">
        <f t="shared" si="1"/>
        <v>#DIV/0!</v>
      </c>
      <c r="N124" s="18" t="str">
        <f t="shared" si="2"/>
        <v>#DIV/0!</v>
      </c>
      <c r="O124" s="10" t="str">
        <f t="shared" si="4"/>
        <v/>
      </c>
      <c r="P124" s="18" t="str">
        <f t="shared" si="3"/>
        <v>#DIV/0!</v>
      </c>
      <c r="Q124" s="12"/>
    </row>
    <row r="125">
      <c r="A125" s="1" t="s">
        <v>737</v>
      </c>
      <c r="B125" s="7" t="s">
        <v>738</v>
      </c>
      <c r="C125" s="2" t="s">
        <v>3861</v>
      </c>
      <c r="D125" s="7" t="s">
        <v>3862</v>
      </c>
      <c r="E125" s="27"/>
      <c r="F125" s="30"/>
      <c r="G125" s="30"/>
      <c r="H125" s="29"/>
      <c r="I125" s="12"/>
      <c r="J125" s="12"/>
      <c r="K125" s="12"/>
      <c r="L125" s="12"/>
      <c r="M125" s="18" t="str">
        <f t="shared" si="1"/>
        <v>#DIV/0!</v>
      </c>
      <c r="N125" s="18" t="str">
        <f t="shared" si="2"/>
        <v>#DIV/0!</v>
      </c>
      <c r="O125" s="10" t="str">
        <f t="shared" si="4"/>
        <v/>
      </c>
      <c r="P125" s="18" t="str">
        <f t="shared" si="3"/>
        <v>#DIV/0!</v>
      </c>
      <c r="Q125" s="12"/>
    </row>
    <row r="126">
      <c r="A126" s="1" t="s">
        <v>741</v>
      </c>
      <c r="B126" s="7" t="s">
        <v>742</v>
      </c>
      <c r="C126" s="2" t="s">
        <v>4023</v>
      </c>
      <c r="D126" s="1" t="s">
        <v>4024</v>
      </c>
      <c r="E126" s="27"/>
      <c r="F126" s="27"/>
      <c r="G126" s="27"/>
      <c r="H126" s="29"/>
      <c r="I126" s="12"/>
      <c r="J126" s="12"/>
      <c r="K126" s="12"/>
      <c r="L126" s="12"/>
      <c r="M126" s="18" t="str">
        <f t="shared" si="1"/>
        <v>#DIV/0!</v>
      </c>
      <c r="N126" s="18" t="str">
        <f t="shared" si="2"/>
        <v>#DIV/0!</v>
      </c>
      <c r="O126" s="10" t="str">
        <f t="shared" si="4"/>
        <v/>
      </c>
      <c r="P126" s="18" t="str">
        <f t="shared" si="3"/>
        <v>#DIV/0!</v>
      </c>
      <c r="Q126" s="12"/>
    </row>
    <row r="127">
      <c r="A127" s="1" t="s">
        <v>745</v>
      </c>
      <c r="B127" s="7" t="s">
        <v>746</v>
      </c>
      <c r="C127" s="2" t="s">
        <v>4025</v>
      </c>
      <c r="D127" s="1" t="s">
        <v>4026</v>
      </c>
      <c r="E127" s="27"/>
      <c r="F127" s="30"/>
      <c r="G127" s="30"/>
      <c r="H127" s="29"/>
      <c r="I127" s="12"/>
      <c r="J127" s="12"/>
      <c r="K127" s="12"/>
      <c r="L127" s="12"/>
      <c r="M127" s="18" t="str">
        <f t="shared" si="1"/>
        <v>#DIV/0!</v>
      </c>
      <c r="N127" s="18" t="str">
        <f t="shared" si="2"/>
        <v>#DIV/0!</v>
      </c>
      <c r="O127" s="10" t="str">
        <f t="shared" si="4"/>
        <v/>
      </c>
      <c r="P127" s="18" t="str">
        <f t="shared" si="3"/>
        <v>#DIV/0!</v>
      </c>
      <c r="Q127" s="12"/>
    </row>
    <row r="128">
      <c r="A128" s="1" t="s">
        <v>749</v>
      </c>
      <c r="B128" s="7" t="s">
        <v>750</v>
      </c>
      <c r="C128" s="2" t="s">
        <v>3844</v>
      </c>
      <c r="D128" s="1" t="s">
        <v>3845</v>
      </c>
      <c r="E128" s="27"/>
      <c r="F128" s="27"/>
      <c r="G128" s="27"/>
      <c r="H128" s="24" t="s">
        <v>4007</v>
      </c>
      <c r="I128" s="12"/>
      <c r="J128" s="12"/>
      <c r="K128" s="12"/>
      <c r="L128" s="12"/>
      <c r="M128" s="18" t="str">
        <f t="shared" si="1"/>
        <v>#DIV/0!</v>
      </c>
      <c r="N128" s="18" t="str">
        <f t="shared" si="2"/>
        <v>#DIV/0!</v>
      </c>
      <c r="O128" s="12" t="str">
        <f t="shared" si="4"/>
        <v/>
      </c>
      <c r="P128" s="18" t="str">
        <f t="shared" si="3"/>
        <v>#DIV/0!</v>
      </c>
      <c r="Q128" s="12"/>
    </row>
    <row r="129">
      <c r="A129" s="1" t="s">
        <v>753</v>
      </c>
      <c r="B129" s="7" t="s">
        <v>754</v>
      </c>
      <c r="C129" s="2" t="s">
        <v>4027</v>
      </c>
      <c r="D129" s="1" t="s">
        <v>4028</v>
      </c>
      <c r="E129" s="27"/>
      <c r="F129" s="27"/>
      <c r="G129" s="27"/>
      <c r="H129" s="24" t="s">
        <v>4007</v>
      </c>
      <c r="I129" s="12"/>
      <c r="J129" s="12"/>
      <c r="K129" s="12"/>
      <c r="L129" s="12"/>
      <c r="M129" s="18" t="str">
        <f t="shared" si="1"/>
        <v>#DIV/0!</v>
      </c>
      <c r="N129" s="18" t="str">
        <f t="shared" si="2"/>
        <v>#DIV/0!</v>
      </c>
      <c r="O129" s="12" t="str">
        <f t="shared" si="4"/>
        <v/>
      </c>
      <c r="P129" s="18" t="str">
        <f t="shared" si="3"/>
        <v>#DIV/0!</v>
      </c>
      <c r="Q129" s="12"/>
    </row>
    <row r="130">
      <c r="A130" s="1" t="s">
        <v>763</v>
      </c>
      <c r="B130" s="7" t="s">
        <v>764</v>
      </c>
      <c r="C130" s="2" t="s">
        <v>3838</v>
      </c>
      <c r="D130" s="7" t="s">
        <v>3839</v>
      </c>
      <c r="E130" s="27"/>
      <c r="F130" s="30"/>
      <c r="G130" s="30"/>
      <c r="H130" s="29"/>
      <c r="I130" s="12"/>
      <c r="J130" s="12"/>
      <c r="K130" s="12"/>
      <c r="L130" s="12"/>
      <c r="M130" s="18" t="str">
        <f t="shared" si="1"/>
        <v>#DIV/0!</v>
      </c>
      <c r="N130" s="18" t="str">
        <f t="shared" si="2"/>
        <v>#DIV/0!</v>
      </c>
      <c r="O130" s="10" t="str">
        <f t="shared" si="4"/>
        <v/>
      </c>
      <c r="P130" s="18" t="str">
        <f t="shared" si="3"/>
        <v>#DIV/0!</v>
      </c>
      <c r="Q130" s="12"/>
    </row>
    <row r="131">
      <c r="A131" s="1" t="s">
        <v>767</v>
      </c>
      <c r="B131" s="7" t="s">
        <v>768</v>
      </c>
      <c r="C131" s="2" t="s">
        <v>4029</v>
      </c>
      <c r="D131" s="1" t="s">
        <v>4030</v>
      </c>
      <c r="E131" s="27"/>
      <c r="F131" s="30"/>
      <c r="G131" s="30"/>
      <c r="H131" s="29"/>
      <c r="I131" s="12"/>
      <c r="J131" s="12"/>
      <c r="K131" s="12"/>
      <c r="L131" s="12"/>
      <c r="M131" s="18" t="str">
        <f t="shared" si="1"/>
        <v>#DIV/0!</v>
      </c>
      <c r="N131" s="18" t="str">
        <f t="shared" si="2"/>
        <v>#DIV/0!</v>
      </c>
      <c r="O131" s="10" t="str">
        <f t="shared" si="4"/>
        <v/>
      </c>
      <c r="P131" s="18" t="str">
        <f t="shared" si="3"/>
        <v>#DIV/0!</v>
      </c>
      <c r="Q131" s="12"/>
    </row>
    <row r="132">
      <c r="A132" s="1" t="s">
        <v>783</v>
      </c>
      <c r="B132" s="7" t="s">
        <v>784</v>
      </c>
      <c r="C132" s="2" t="s">
        <v>4031</v>
      </c>
      <c r="E132" s="27"/>
      <c r="F132" s="30"/>
      <c r="G132" s="30"/>
      <c r="H132" s="29"/>
      <c r="I132" s="12"/>
      <c r="J132" s="12"/>
      <c r="K132" s="12"/>
      <c r="L132" s="12"/>
      <c r="M132" s="18" t="str">
        <f t="shared" si="1"/>
        <v>#DIV/0!</v>
      </c>
      <c r="N132" s="18" t="str">
        <f t="shared" si="2"/>
        <v>#DIV/0!</v>
      </c>
      <c r="O132" s="10" t="str">
        <f t="shared" si="4"/>
        <v/>
      </c>
      <c r="P132" s="18" t="str">
        <f t="shared" si="3"/>
        <v>#DIV/0!</v>
      </c>
      <c r="Q132" s="12"/>
    </row>
    <row r="133">
      <c r="A133" s="1" t="s">
        <v>791</v>
      </c>
      <c r="B133" s="7" t="s">
        <v>792</v>
      </c>
      <c r="C133" s="2" t="s">
        <v>4032</v>
      </c>
      <c r="D133" s="7" t="s">
        <v>4033</v>
      </c>
      <c r="E133" s="27"/>
      <c r="F133" s="27"/>
      <c r="G133" s="27"/>
      <c r="H133" s="29"/>
      <c r="I133" s="12"/>
      <c r="J133" s="12"/>
      <c r="K133" s="12"/>
      <c r="L133" s="12"/>
      <c r="M133" s="18" t="str">
        <f t="shared" si="1"/>
        <v>#DIV/0!</v>
      </c>
      <c r="N133" s="18" t="str">
        <f t="shared" si="2"/>
        <v>#DIV/0!</v>
      </c>
      <c r="O133" s="10" t="str">
        <f t="shared" si="4"/>
        <v/>
      </c>
      <c r="P133" s="18" t="str">
        <f t="shared" si="3"/>
        <v>#DIV/0!</v>
      </c>
      <c r="Q133" s="12"/>
    </row>
    <row r="134">
      <c r="A134" s="1" t="s">
        <v>795</v>
      </c>
      <c r="B134" s="7" t="s">
        <v>796</v>
      </c>
      <c r="C134" s="2" t="s">
        <v>3838</v>
      </c>
      <c r="D134" s="7" t="s">
        <v>3839</v>
      </c>
      <c r="E134" s="27"/>
      <c r="F134" s="30"/>
      <c r="G134" s="30"/>
      <c r="H134" s="29"/>
      <c r="I134" s="12"/>
      <c r="J134" s="12"/>
      <c r="K134" s="12"/>
      <c r="L134" s="12"/>
      <c r="M134" s="18" t="str">
        <f t="shared" si="1"/>
        <v>#DIV/0!</v>
      </c>
      <c r="N134" s="18" t="str">
        <f t="shared" si="2"/>
        <v>#DIV/0!</v>
      </c>
      <c r="O134" s="12" t="str">
        <f t="shared" si="4"/>
        <v/>
      </c>
      <c r="P134" s="18" t="str">
        <f t="shared" si="3"/>
        <v>#DIV/0!</v>
      </c>
      <c r="Q134" s="12"/>
    </row>
    <row r="135">
      <c r="A135" s="1" t="s">
        <v>799</v>
      </c>
      <c r="B135" s="7" t="s">
        <v>800</v>
      </c>
      <c r="C135" s="2" t="s">
        <v>3838</v>
      </c>
      <c r="D135" s="7" t="s">
        <v>3839</v>
      </c>
      <c r="E135" s="27"/>
      <c r="F135" s="30"/>
      <c r="G135" s="30"/>
      <c r="H135" s="29"/>
      <c r="I135" s="12"/>
      <c r="J135" s="12"/>
      <c r="K135" s="12"/>
      <c r="L135" s="12"/>
      <c r="M135" s="18" t="str">
        <f t="shared" si="1"/>
        <v>#DIV/0!</v>
      </c>
      <c r="N135" s="18" t="str">
        <f t="shared" si="2"/>
        <v>#DIV/0!</v>
      </c>
      <c r="O135" s="10" t="str">
        <f t="shared" si="4"/>
        <v/>
      </c>
      <c r="P135" s="18" t="str">
        <f t="shared" si="3"/>
        <v>#DIV/0!</v>
      </c>
      <c r="Q135" s="12"/>
    </row>
    <row r="136">
      <c r="A136" s="1" t="s">
        <v>803</v>
      </c>
      <c r="B136" s="7" t="s">
        <v>804</v>
      </c>
      <c r="C136" s="2" t="s">
        <v>3838</v>
      </c>
      <c r="D136" s="7" t="s">
        <v>3839</v>
      </c>
      <c r="E136" s="27"/>
      <c r="F136" s="30"/>
      <c r="G136" s="30"/>
      <c r="H136" s="29"/>
      <c r="I136" s="12"/>
      <c r="J136" s="12"/>
      <c r="K136" s="12"/>
      <c r="L136" s="12"/>
      <c r="M136" s="18" t="str">
        <f t="shared" si="1"/>
        <v>#DIV/0!</v>
      </c>
      <c r="N136" s="18" t="str">
        <f t="shared" si="2"/>
        <v>#DIV/0!</v>
      </c>
      <c r="O136" s="10" t="str">
        <f t="shared" si="4"/>
        <v/>
      </c>
      <c r="P136" s="18" t="str">
        <f t="shared" si="3"/>
        <v>#DIV/0!</v>
      </c>
      <c r="Q136" s="12"/>
    </row>
    <row r="137">
      <c r="A137" s="1" t="s">
        <v>805</v>
      </c>
      <c r="B137" s="7" t="s">
        <v>806</v>
      </c>
      <c r="C137" s="2" t="s">
        <v>4034</v>
      </c>
      <c r="D137" s="1" t="s">
        <v>4035</v>
      </c>
      <c r="E137" s="27"/>
      <c r="F137" s="30"/>
      <c r="G137" s="30"/>
      <c r="H137" s="24" t="s">
        <v>4007</v>
      </c>
      <c r="I137" s="12"/>
      <c r="J137" s="12"/>
      <c r="K137" s="12"/>
      <c r="L137" s="12"/>
      <c r="M137" s="18" t="str">
        <f t="shared" si="1"/>
        <v>#DIV/0!</v>
      </c>
      <c r="N137" s="18" t="str">
        <f t="shared" si="2"/>
        <v>#DIV/0!</v>
      </c>
      <c r="O137" s="12" t="str">
        <f t="shared" si="4"/>
        <v/>
      </c>
      <c r="P137" s="18" t="str">
        <f t="shared" si="3"/>
        <v>#DIV/0!</v>
      </c>
      <c r="Q137" s="12"/>
    </row>
    <row r="138">
      <c r="A138" s="1" t="s">
        <v>809</v>
      </c>
      <c r="B138" s="7" t="s">
        <v>810</v>
      </c>
      <c r="C138" s="2" t="s">
        <v>4036</v>
      </c>
      <c r="D138" s="7" t="s">
        <v>4037</v>
      </c>
      <c r="E138" s="27"/>
      <c r="F138" s="27"/>
      <c r="G138" s="27"/>
      <c r="H138" s="29"/>
      <c r="I138" s="12"/>
      <c r="J138" s="12"/>
      <c r="K138" s="12"/>
      <c r="L138" s="12"/>
      <c r="M138" s="18" t="str">
        <f t="shared" si="1"/>
        <v>#DIV/0!</v>
      </c>
      <c r="N138" s="18" t="str">
        <f t="shared" si="2"/>
        <v>#DIV/0!</v>
      </c>
      <c r="O138" s="12" t="str">
        <f t="shared" si="4"/>
        <v/>
      </c>
      <c r="P138" s="18" t="str">
        <f t="shared" si="3"/>
        <v>#DIV/0!</v>
      </c>
      <c r="Q138" s="12"/>
    </row>
    <row r="139">
      <c r="A139" s="1" t="s">
        <v>813</v>
      </c>
      <c r="B139" s="7" t="s">
        <v>814</v>
      </c>
      <c r="C139" s="2" t="s">
        <v>4038</v>
      </c>
      <c r="D139" s="1" t="s">
        <v>4039</v>
      </c>
      <c r="E139" s="27"/>
      <c r="F139" s="30"/>
      <c r="G139" s="30"/>
      <c r="H139" s="24" t="s">
        <v>4007</v>
      </c>
      <c r="I139" s="12"/>
      <c r="J139" s="12"/>
      <c r="K139" s="12"/>
      <c r="L139" s="12"/>
      <c r="M139" s="18" t="str">
        <f t="shared" si="1"/>
        <v>#DIV/0!</v>
      </c>
      <c r="N139" s="18" t="str">
        <f t="shared" si="2"/>
        <v>#DIV/0!</v>
      </c>
      <c r="O139" s="12" t="str">
        <f t="shared" si="4"/>
        <v/>
      </c>
      <c r="P139" s="18" t="str">
        <f t="shared" si="3"/>
        <v>#DIV/0!</v>
      </c>
      <c r="Q139" s="12"/>
    </row>
    <row r="140">
      <c r="A140" s="1" t="s">
        <v>825</v>
      </c>
      <c r="B140" s="7" t="s">
        <v>826</v>
      </c>
      <c r="C140" s="2" t="s">
        <v>4040</v>
      </c>
      <c r="D140" s="7" t="s">
        <v>4041</v>
      </c>
      <c r="E140" s="27"/>
      <c r="F140" s="27"/>
      <c r="G140" s="27"/>
      <c r="H140" s="29"/>
      <c r="I140" s="12"/>
      <c r="J140" s="12"/>
      <c r="K140" s="12"/>
      <c r="L140" s="12"/>
      <c r="M140" s="18" t="str">
        <f t="shared" si="1"/>
        <v>#DIV/0!</v>
      </c>
      <c r="N140" s="18" t="str">
        <f t="shared" si="2"/>
        <v>#DIV/0!</v>
      </c>
      <c r="O140" s="10" t="str">
        <f t="shared" si="4"/>
        <v/>
      </c>
      <c r="P140" s="18" t="str">
        <f t="shared" si="3"/>
        <v>#DIV/0!</v>
      </c>
      <c r="Q140" s="12"/>
    </row>
    <row r="141">
      <c r="A141" s="1" t="s">
        <v>829</v>
      </c>
      <c r="B141" s="7" t="s">
        <v>830</v>
      </c>
      <c r="C141" s="2" t="s">
        <v>3838</v>
      </c>
      <c r="D141" s="7" t="s">
        <v>3839</v>
      </c>
      <c r="E141" s="27"/>
      <c r="F141" s="27"/>
      <c r="G141" s="27"/>
      <c r="H141" s="29"/>
      <c r="I141" s="12"/>
      <c r="J141" s="12"/>
      <c r="K141" s="12"/>
      <c r="L141" s="12"/>
      <c r="M141" s="18" t="str">
        <f t="shared" si="1"/>
        <v>#DIV/0!</v>
      </c>
      <c r="N141" s="18" t="str">
        <f t="shared" si="2"/>
        <v>#DIV/0!</v>
      </c>
      <c r="O141" s="10" t="str">
        <f t="shared" si="4"/>
        <v/>
      </c>
      <c r="P141" s="18" t="str">
        <f t="shared" si="3"/>
        <v>#DIV/0!</v>
      </c>
      <c r="Q141" s="12"/>
    </row>
    <row r="142">
      <c r="A142" s="1" t="s">
        <v>833</v>
      </c>
      <c r="B142" s="7" t="s">
        <v>834</v>
      </c>
      <c r="C142" s="2" t="s">
        <v>4042</v>
      </c>
      <c r="E142" s="27"/>
      <c r="F142" s="27"/>
      <c r="G142" s="27"/>
      <c r="H142" s="24" t="s">
        <v>4007</v>
      </c>
      <c r="I142" s="12"/>
      <c r="J142" s="12"/>
      <c r="K142" s="12"/>
      <c r="L142" s="12"/>
      <c r="M142" s="18" t="str">
        <f t="shared" si="1"/>
        <v>#DIV/0!</v>
      </c>
      <c r="N142" s="18" t="str">
        <f t="shared" si="2"/>
        <v>#DIV/0!</v>
      </c>
      <c r="O142" s="12" t="str">
        <f t="shared" si="4"/>
        <v/>
      </c>
      <c r="P142" s="18" t="str">
        <f t="shared" si="3"/>
        <v>#DIV/0!</v>
      </c>
      <c r="Q142" s="12"/>
    </row>
    <row r="143">
      <c r="A143" s="1" t="s">
        <v>841</v>
      </c>
      <c r="B143" s="7" t="s">
        <v>842</v>
      </c>
      <c r="C143" s="2" t="s">
        <v>4043</v>
      </c>
      <c r="D143" s="7" t="s">
        <v>4044</v>
      </c>
      <c r="E143" s="27"/>
      <c r="F143" s="30"/>
      <c r="G143" s="30"/>
      <c r="H143" s="24" t="s">
        <v>4007</v>
      </c>
      <c r="I143" s="12"/>
      <c r="J143" s="12"/>
      <c r="K143" s="12"/>
      <c r="L143" s="12"/>
      <c r="M143" s="18" t="str">
        <f t="shared" si="1"/>
        <v>#DIV/0!</v>
      </c>
      <c r="N143" s="18" t="str">
        <f t="shared" si="2"/>
        <v>#DIV/0!</v>
      </c>
      <c r="O143" s="12" t="str">
        <f t="shared" si="4"/>
        <v/>
      </c>
      <c r="P143" s="18" t="str">
        <f t="shared" si="3"/>
        <v>#DIV/0!</v>
      </c>
      <c r="Q143" s="12"/>
    </row>
    <row r="144">
      <c r="A144" s="1" t="s">
        <v>845</v>
      </c>
      <c r="B144" s="7" t="s">
        <v>846</v>
      </c>
      <c r="C144" s="2" t="s">
        <v>4045</v>
      </c>
      <c r="D144" s="1" t="s">
        <v>4046</v>
      </c>
      <c r="E144" s="27"/>
      <c r="F144" s="27"/>
      <c r="G144" s="27"/>
      <c r="H144" s="29"/>
      <c r="I144" s="12"/>
      <c r="J144" s="12"/>
      <c r="K144" s="12"/>
      <c r="L144" s="12"/>
      <c r="M144" s="18" t="str">
        <f t="shared" si="1"/>
        <v>#DIV/0!</v>
      </c>
      <c r="N144" s="18" t="str">
        <f t="shared" si="2"/>
        <v>#DIV/0!</v>
      </c>
      <c r="O144" s="10" t="str">
        <f t="shared" si="4"/>
        <v/>
      </c>
      <c r="P144" s="18" t="str">
        <f t="shared" si="3"/>
        <v>#DIV/0!</v>
      </c>
      <c r="Q144" s="12"/>
    </row>
    <row r="145">
      <c r="A145" s="1" t="s">
        <v>849</v>
      </c>
      <c r="B145" s="7" t="s">
        <v>850</v>
      </c>
      <c r="C145" s="2" t="s">
        <v>4047</v>
      </c>
      <c r="D145" s="1" t="s">
        <v>4048</v>
      </c>
      <c r="E145" s="27"/>
      <c r="F145" s="27"/>
      <c r="G145" s="27"/>
      <c r="H145" s="29"/>
      <c r="I145" s="12"/>
      <c r="J145" s="12"/>
      <c r="K145" s="12"/>
      <c r="L145" s="12"/>
      <c r="M145" s="18" t="str">
        <f t="shared" si="1"/>
        <v>#DIV/0!</v>
      </c>
      <c r="N145" s="18" t="str">
        <f t="shared" si="2"/>
        <v>#DIV/0!</v>
      </c>
      <c r="O145" s="10" t="str">
        <f t="shared" si="4"/>
        <v/>
      </c>
      <c r="P145" s="18" t="str">
        <f t="shared" si="3"/>
        <v>#DIV/0!</v>
      </c>
      <c r="Q145" s="12"/>
    </row>
    <row r="146">
      <c r="A146" s="1" t="s">
        <v>861</v>
      </c>
      <c r="B146" s="7" t="s">
        <v>862</v>
      </c>
      <c r="C146" s="2" t="s">
        <v>3980</v>
      </c>
      <c r="D146" s="1" t="s">
        <v>3992</v>
      </c>
      <c r="E146" s="27"/>
      <c r="F146" s="27"/>
      <c r="G146" s="27"/>
      <c r="H146" s="24" t="s">
        <v>4007</v>
      </c>
      <c r="I146" s="12"/>
      <c r="J146" s="12"/>
      <c r="K146" s="12"/>
      <c r="L146" s="12"/>
      <c r="M146" s="18" t="str">
        <f t="shared" si="1"/>
        <v>#DIV/0!</v>
      </c>
      <c r="N146" s="18" t="str">
        <f t="shared" si="2"/>
        <v>#DIV/0!</v>
      </c>
      <c r="O146" s="12" t="str">
        <f t="shared" si="4"/>
        <v/>
      </c>
      <c r="P146" s="18" t="str">
        <f t="shared" si="3"/>
        <v>#DIV/0!</v>
      </c>
      <c r="Q146" s="12"/>
    </row>
    <row r="147">
      <c r="A147" s="1" t="s">
        <v>869</v>
      </c>
      <c r="B147" s="7" t="s">
        <v>870</v>
      </c>
      <c r="C147" s="2" t="s">
        <v>4049</v>
      </c>
      <c r="D147" s="1" t="s">
        <v>3981</v>
      </c>
      <c r="E147" s="27"/>
      <c r="F147" s="30"/>
      <c r="G147" s="30"/>
      <c r="H147" s="24" t="s">
        <v>4007</v>
      </c>
      <c r="I147" s="12"/>
      <c r="J147" s="12"/>
      <c r="K147" s="12"/>
      <c r="L147" s="12"/>
      <c r="M147" s="18" t="str">
        <f t="shared" si="1"/>
        <v>#DIV/0!</v>
      </c>
      <c r="N147" s="18" t="str">
        <f t="shared" si="2"/>
        <v>#DIV/0!</v>
      </c>
      <c r="O147" s="12" t="str">
        <f t="shared" si="4"/>
        <v/>
      </c>
      <c r="P147" s="18" t="str">
        <f t="shared" si="3"/>
        <v>#DIV/0!</v>
      </c>
      <c r="Q147" s="12"/>
    </row>
    <row r="148">
      <c r="A148" s="1" t="s">
        <v>873</v>
      </c>
      <c r="B148" s="7" t="s">
        <v>874</v>
      </c>
      <c r="C148" s="2" t="s">
        <v>3982</v>
      </c>
      <c r="D148" s="7" t="s">
        <v>3983</v>
      </c>
      <c r="E148" s="27"/>
      <c r="F148" s="30"/>
      <c r="G148" s="30"/>
      <c r="H148" s="29"/>
      <c r="I148" s="12"/>
      <c r="J148" s="12"/>
      <c r="K148" s="12"/>
      <c r="L148" s="12"/>
      <c r="M148" s="18" t="str">
        <f t="shared" si="1"/>
        <v>#DIV/0!</v>
      </c>
      <c r="N148" s="18" t="str">
        <f t="shared" si="2"/>
        <v>#DIV/0!</v>
      </c>
      <c r="O148" s="12" t="str">
        <f t="shared" si="4"/>
        <v/>
      </c>
      <c r="P148" s="18" t="str">
        <f t="shared" si="3"/>
        <v>#DIV/0!</v>
      </c>
      <c r="Q148" s="12"/>
    </row>
    <row r="149">
      <c r="A149" s="1" t="s">
        <v>877</v>
      </c>
      <c r="B149" s="7" t="s">
        <v>878</v>
      </c>
      <c r="C149" s="2" t="s">
        <v>4050</v>
      </c>
      <c r="D149" s="1" t="s">
        <v>4051</v>
      </c>
      <c r="E149" s="27"/>
      <c r="F149" s="27"/>
      <c r="G149" s="27"/>
      <c r="H149" s="24" t="s">
        <v>4007</v>
      </c>
      <c r="I149" s="12"/>
      <c r="J149" s="12"/>
      <c r="K149" s="12"/>
      <c r="L149" s="12"/>
      <c r="M149" s="18" t="str">
        <f t="shared" si="1"/>
        <v>#DIV/0!</v>
      </c>
      <c r="N149" s="18" t="str">
        <f t="shared" si="2"/>
        <v>#DIV/0!</v>
      </c>
      <c r="O149" s="12" t="str">
        <f t="shared" si="4"/>
        <v/>
      </c>
      <c r="P149" s="18" t="str">
        <f t="shared" si="3"/>
        <v>#DIV/0!</v>
      </c>
      <c r="Q149" s="12"/>
    </row>
    <row r="150">
      <c r="A150" s="1" t="s">
        <v>885</v>
      </c>
      <c r="B150" s="7" t="s">
        <v>886</v>
      </c>
      <c r="C150" s="2" t="s">
        <v>4052</v>
      </c>
      <c r="D150" s="7" t="s">
        <v>4053</v>
      </c>
      <c r="E150" s="27"/>
      <c r="F150" s="27"/>
      <c r="G150" s="27"/>
      <c r="H150" s="29"/>
      <c r="I150" s="12"/>
      <c r="J150" s="12"/>
      <c r="K150" s="12"/>
      <c r="L150" s="12"/>
      <c r="M150" s="18" t="str">
        <f t="shared" si="1"/>
        <v>#DIV/0!</v>
      </c>
      <c r="N150" s="18" t="str">
        <f t="shared" si="2"/>
        <v>#DIV/0!</v>
      </c>
      <c r="O150" s="10" t="str">
        <f t="shared" si="4"/>
        <v/>
      </c>
      <c r="P150" s="18" t="str">
        <f t="shared" si="3"/>
        <v>#DIV/0!</v>
      </c>
      <c r="Q150" s="12"/>
    </row>
    <row r="151">
      <c r="A151" s="1" t="s">
        <v>893</v>
      </c>
      <c r="B151" s="7" t="s">
        <v>894</v>
      </c>
      <c r="C151" s="2" t="s">
        <v>3889</v>
      </c>
      <c r="D151" s="7" t="s">
        <v>3890</v>
      </c>
      <c r="E151" s="27"/>
      <c r="F151" s="30"/>
      <c r="G151" s="30"/>
      <c r="H151" s="29"/>
      <c r="I151" s="12"/>
      <c r="J151" s="12"/>
      <c r="K151" s="12"/>
      <c r="L151" s="12"/>
      <c r="M151" s="18" t="str">
        <f t="shared" si="1"/>
        <v>#DIV/0!</v>
      </c>
      <c r="N151" s="18" t="str">
        <f t="shared" si="2"/>
        <v>#DIV/0!</v>
      </c>
      <c r="O151" s="10" t="str">
        <f t="shared" si="4"/>
        <v/>
      </c>
      <c r="P151" s="18" t="str">
        <f t="shared" si="3"/>
        <v>#DIV/0!</v>
      </c>
      <c r="Q151" s="12"/>
    </row>
    <row r="152">
      <c r="A152" s="1" t="s">
        <v>901</v>
      </c>
      <c r="B152" s="7" t="s">
        <v>902</v>
      </c>
      <c r="C152" s="2" t="s">
        <v>3634</v>
      </c>
      <c r="E152" s="27"/>
      <c r="F152" s="30"/>
      <c r="G152" s="30"/>
      <c r="H152" s="24" t="s">
        <v>4007</v>
      </c>
      <c r="I152" s="12"/>
      <c r="J152" s="12"/>
      <c r="K152" s="12"/>
      <c r="L152" s="12"/>
      <c r="M152" s="18" t="str">
        <f t="shared" si="1"/>
        <v>#DIV/0!</v>
      </c>
      <c r="N152" s="18" t="str">
        <f t="shared" si="2"/>
        <v>#DIV/0!</v>
      </c>
      <c r="O152" s="12" t="str">
        <f t="shared" si="4"/>
        <v/>
      </c>
      <c r="P152" s="18" t="str">
        <f t="shared" si="3"/>
        <v>#DIV/0!</v>
      </c>
      <c r="Q152" s="12"/>
    </row>
    <row r="153">
      <c r="A153" s="1" t="s">
        <v>909</v>
      </c>
      <c r="B153" s="7" t="s">
        <v>910</v>
      </c>
      <c r="C153" s="2" t="s">
        <v>4054</v>
      </c>
      <c r="D153" s="1" t="s">
        <v>4055</v>
      </c>
      <c r="E153" s="27"/>
      <c r="F153" s="30"/>
      <c r="G153" s="30"/>
      <c r="H153" s="29"/>
      <c r="I153" s="12"/>
      <c r="J153" s="12"/>
      <c r="K153" s="12"/>
      <c r="L153" s="12"/>
      <c r="M153" s="18" t="str">
        <f t="shared" si="1"/>
        <v>#DIV/0!</v>
      </c>
      <c r="N153" s="18" t="str">
        <f t="shared" si="2"/>
        <v>#DIV/0!</v>
      </c>
      <c r="O153" s="10" t="str">
        <f t="shared" si="4"/>
        <v/>
      </c>
      <c r="P153" s="18" t="str">
        <f t="shared" si="3"/>
        <v>#DIV/0!</v>
      </c>
      <c r="Q153" s="12"/>
    </row>
    <row r="154">
      <c r="A154" s="1" t="s">
        <v>913</v>
      </c>
      <c r="B154" s="7" t="s">
        <v>914</v>
      </c>
      <c r="C154" s="2" t="s">
        <v>3957</v>
      </c>
      <c r="D154" s="7" t="s">
        <v>3958</v>
      </c>
      <c r="E154" s="27"/>
      <c r="F154" s="30"/>
      <c r="G154" s="30"/>
      <c r="H154" s="24" t="s">
        <v>4007</v>
      </c>
      <c r="I154" s="12"/>
      <c r="J154" s="12"/>
      <c r="K154" s="12"/>
      <c r="L154" s="12"/>
      <c r="M154" s="18" t="str">
        <f t="shared" si="1"/>
        <v>#DIV/0!</v>
      </c>
      <c r="N154" s="18" t="str">
        <f t="shared" si="2"/>
        <v>#DIV/0!</v>
      </c>
      <c r="O154" s="12" t="str">
        <f t="shared" si="4"/>
        <v/>
      </c>
      <c r="P154" s="18" t="str">
        <f t="shared" si="3"/>
        <v>#DIV/0!</v>
      </c>
      <c r="Q154" s="12"/>
    </row>
    <row r="155">
      <c r="A155" s="1" t="s">
        <v>916</v>
      </c>
      <c r="B155" s="7" t="s">
        <v>917</v>
      </c>
      <c r="C155" s="2" t="s">
        <v>3887</v>
      </c>
      <c r="D155" s="7" t="s">
        <v>3888</v>
      </c>
      <c r="E155" s="27"/>
      <c r="F155" s="30"/>
      <c r="G155" s="30"/>
      <c r="H155" s="29"/>
      <c r="I155" s="12"/>
      <c r="J155" s="12"/>
      <c r="K155" s="12"/>
      <c r="L155" s="12"/>
      <c r="M155" s="18" t="str">
        <f t="shared" si="1"/>
        <v>#DIV/0!</v>
      </c>
      <c r="N155" s="18" t="str">
        <f t="shared" si="2"/>
        <v>#DIV/0!</v>
      </c>
      <c r="O155" s="10" t="str">
        <f t="shared" si="4"/>
        <v/>
      </c>
      <c r="P155" s="18" t="str">
        <f t="shared" si="3"/>
        <v>#DIV/0!</v>
      </c>
      <c r="Q155" s="12"/>
    </row>
    <row r="156">
      <c r="A156" s="1" t="s">
        <v>920</v>
      </c>
      <c r="B156" s="7" t="s">
        <v>921</v>
      </c>
      <c r="C156" s="2" t="s">
        <v>3980</v>
      </c>
      <c r="D156" s="1" t="s">
        <v>3992</v>
      </c>
      <c r="E156" s="27"/>
      <c r="F156" s="30"/>
      <c r="G156" s="30"/>
      <c r="H156" s="29"/>
      <c r="I156" s="12"/>
      <c r="J156" s="12"/>
      <c r="K156" s="12"/>
      <c r="L156" s="12"/>
      <c r="M156" s="18" t="str">
        <f t="shared" si="1"/>
        <v>#DIV/0!</v>
      </c>
      <c r="N156" s="18" t="str">
        <f t="shared" si="2"/>
        <v>#DIV/0!</v>
      </c>
      <c r="O156" s="10" t="str">
        <f t="shared" si="4"/>
        <v/>
      </c>
      <c r="P156" s="18" t="str">
        <f t="shared" si="3"/>
        <v>#DIV/0!</v>
      </c>
      <c r="Q156" s="12"/>
    </row>
    <row r="157">
      <c r="A157" s="1" t="s">
        <v>924</v>
      </c>
      <c r="B157" s="7" t="s">
        <v>925</v>
      </c>
      <c r="C157" s="2" t="s">
        <v>3838</v>
      </c>
      <c r="D157" s="7" t="s">
        <v>3839</v>
      </c>
      <c r="E157" s="27"/>
      <c r="F157" s="30"/>
      <c r="G157" s="30"/>
      <c r="H157" s="29"/>
      <c r="I157" s="12"/>
      <c r="J157" s="12"/>
      <c r="K157" s="12"/>
      <c r="L157" s="12"/>
      <c r="M157" s="18" t="str">
        <f t="shared" si="1"/>
        <v>#DIV/0!</v>
      </c>
      <c r="N157" s="18" t="str">
        <f t="shared" si="2"/>
        <v>#DIV/0!</v>
      </c>
      <c r="O157" s="10" t="str">
        <f t="shared" si="4"/>
        <v/>
      </c>
      <c r="P157" s="18" t="str">
        <f t="shared" si="3"/>
        <v>#DIV/0!</v>
      </c>
      <c r="Q157" s="12"/>
    </row>
    <row r="158">
      <c r="A158" s="1" t="s">
        <v>926</v>
      </c>
      <c r="B158" s="7" t="s">
        <v>927</v>
      </c>
      <c r="C158" s="2" t="s">
        <v>4056</v>
      </c>
      <c r="D158" s="1" t="s">
        <v>4057</v>
      </c>
      <c r="E158" s="27"/>
      <c r="F158" s="27"/>
      <c r="G158" s="27"/>
      <c r="H158" s="29"/>
      <c r="I158" s="12"/>
      <c r="J158" s="12"/>
      <c r="K158" s="12"/>
      <c r="L158" s="12"/>
      <c r="M158" s="18" t="str">
        <f t="shared" si="1"/>
        <v>#DIV/0!</v>
      </c>
      <c r="N158" s="18" t="str">
        <f t="shared" si="2"/>
        <v>#DIV/0!</v>
      </c>
      <c r="O158" s="10" t="str">
        <f t="shared" si="4"/>
        <v/>
      </c>
      <c r="P158" s="18" t="str">
        <f t="shared" si="3"/>
        <v>#DIV/0!</v>
      </c>
      <c r="Q158" s="12"/>
    </row>
    <row r="159">
      <c r="A159" s="1" t="s">
        <v>930</v>
      </c>
      <c r="B159" s="7" t="s">
        <v>931</v>
      </c>
      <c r="C159" s="2" t="s">
        <v>3838</v>
      </c>
      <c r="D159" s="7" t="s">
        <v>3839</v>
      </c>
      <c r="E159" s="27"/>
      <c r="F159" s="30"/>
      <c r="G159" s="30"/>
      <c r="H159" s="24" t="s">
        <v>4007</v>
      </c>
      <c r="I159" s="12"/>
      <c r="J159" s="12"/>
      <c r="K159" s="12"/>
      <c r="L159" s="12"/>
      <c r="M159" s="18" t="str">
        <f t="shared" si="1"/>
        <v>#DIV/0!</v>
      </c>
      <c r="N159" s="18" t="str">
        <f t="shared" si="2"/>
        <v>#DIV/0!</v>
      </c>
      <c r="O159" s="12" t="str">
        <f t="shared" si="4"/>
        <v/>
      </c>
      <c r="P159" s="18" t="str">
        <f t="shared" si="3"/>
        <v>#DIV/0!</v>
      </c>
      <c r="Q159" s="12"/>
    </row>
    <row r="160">
      <c r="A160" s="1" t="s">
        <v>938</v>
      </c>
      <c r="B160" s="7" t="s">
        <v>939</v>
      </c>
      <c r="C160" s="2" t="s">
        <v>3978</v>
      </c>
      <c r="D160" s="7" t="s">
        <v>3979</v>
      </c>
      <c r="E160" s="27"/>
      <c r="F160" s="30"/>
      <c r="G160" s="30"/>
      <c r="H160" s="29"/>
      <c r="I160" s="12"/>
      <c r="J160" s="12"/>
      <c r="K160" s="12"/>
      <c r="L160" s="12"/>
      <c r="M160" s="18" t="str">
        <f t="shared" si="1"/>
        <v>#DIV/0!</v>
      </c>
      <c r="N160" s="18" t="str">
        <f t="shared" si="2"/>
        <v>#DIV/0!</v>
      </c>
      <c r="O160" s="10" t="str">
        <f t="shared" si="4"/>
        <v/>
      </c>
      <c r="P160" s="18" t="str">
        <f t="shared" si="3"/>
        <v>#DIV/0!</v>
      </c>
      <c r="Q160" s="12"/>
    </row>
    <row r="161">
      <c r="A161" s="1" t="s">
        <v>940</v>
      </c>
      <c r="B161" s="7" t="s">
        <v>941</v>
      </c>
      <c r="C161" s="2" t="s">
        <v>4058</v>
      </c>
      <c r="D161" s="1" t="s">
        <v>4059</v>
      </c>
      <c r="E161" s="27"/>
      <c r="F161" s="30"/>
      <c r="G161" s="30"/>
      <c r="H161" s="29"/>
      <c r="I161" s="12"/>
      <c r="J161" s="12"/>
      <c r="K161" s="12"/>
      <c r="L161" s="12"/>
      <c r="M161" s="18" t="str">
        <f t="shared" si="1"/>
        <v>#DIV/0!</v>
      </c>
      <c r="N161" s="18" t="str">
        <f t="shared" si="2"/>
        <v>#DIV/0!</v>
      </c>
      <c r="O161" s="12" t="str">
        <f t="shared" si="4"/>
        <v/>
      </c>
      <c r="P161" s="18" t="str">
        <f t="shared" si="3"/>
        <v>#DIV/0!</v>
      </c>
      <c r="Q161" s="12"/>
    </row>
    <row r="162">
      <c r="A162" s="1" t="s">
        <v>948</v>
      </c>
      <c r="B162" s="7" t="s">
        <v>949</v>
      </c>
      <c r="C162" s="2" t="s">
        <v>4060</v>
      </c>
      <c r="D162" s="1" t="s">
        <v>4061</v>
      </c>
      <c r="E162" s="27"/>
      <c r="F162" s="27"/>
      <c r="G162" s="27"/>
      <c r="H162" s="29"/>
      <c r="I162" s="12"/>
      <c r="J162" s="12"/>
      <c r="K162" s="12"/>
      <c r="L162" s="12"/>
      <c r="M162" s="18" t="str">
        <f t="shared" si="1"/>
        <v>#DIV/0!</v>
      </c>
      <c r="N162" s="18" t="str">
        <f t="shared" si="2"/>
        <v>#DIV/0!</v>
      </c>
      <c r="O162" s="10" t="str">
        <f t="shared" si="4"/>
        <v/>
      </c>
      <c r="P162" s="18" t="str">
        <f t="shared" si="3"/>
        <v>#DIV/0!</v>
      </c>
      <c r="Q162" s="12"/>
    </row>
    <row r="163">
      <c r="A163" s="1" t="s">
        <v>952</v>
      </c>
      <c r="B163" s="7" t="s">
        <v>953</v>
      </c>
      <c r="C163" s="2" t="s">
        <v>4062</v>
      </c>
      <c r="D163" s="1" t="s">
        <v>4063</v>
      </c>
      <c r="E163" s="27"/>
      <c r="F163" s="27"/>
      <c r="G163" s="27"/>
      <c r="H163" s="24" t="s">
        <v>4007</v>
      </c>
      <c r="I163" s="12"/>
      <c r="J163" s="12"/>
      <c r="K163" s="12"/>
      <c r="L163" s="12"/>
      <c r="M163" s="18" t="str">
        <f t="shared" si="1"/>
        <v>#DIV/0!</v>
      </c>
      <c r="N163" s="18" t="str">
        <f t="shared" si="2"/>
        <v>#DIV/0!</v>
      </c>
      <c r="O163" s="12" t="str">
        <f t="shared" si="4"/>
        <v/>
      </c>
      <c r="P163" s="18" t="str">
        <f t="shared" si="3"/>
        <v>#DIV/0!</v>
      </c>
      <c r="Q163" s="12"/>
    </row>
    <row r="164">
      <c r="A164" s="1" t="s">
        <v>960</v>
      </c>
      <c r="B164" s="7" t="s">
        <v>961</v>
      </c>
      <c r="C164" s="2" t="s">
        <v>4064</v>
      </c>
      <c r="D164" s="1" t="s">
        <v>4065</v>
      </c>
      <c r="E164" s="27"/>
      <c r="F164" s="27"/>
      <c r="G164" s="27"/>
      <c r="H164" s="24" t="s">
        <v>4007</v>
      </c>
      <c r="I164" s="12"/>
      <c r="J164" s="12"/>
      <c r="K164" s="12"/>
      <c r="L164" s="12"/>
      <c r="M164" s="18" t="str">
        <f t="shared" si="1"/>
        <v>#DIV/0!</v>
      </c>
      <c r="N164" s="18" t="str">
        <f t="shared" si="2"/>
        <v>#DIV/0!</v>
      </c>
      <c r="O164" s="12" t="str">
        <f t="shared" si="4"/>
        <v/>
      </c>
      <c r="P164" s="18" t="str">
        <f t="shared" si="3"/>
        <v>#DIV/0!</v>
      </c>
      <c r="Q164" s="12"/>
    </row>
    <row r="165">
      <c r="A165" s="1" t="s">
        <v>964</v>
      </c>
      <c r="B165" s="7" t="s">
        <v>965</v>
      </c>
      <c r="C165" s="2" t="s">
        <v>4066</v>
      </c>
      <c r="D165" s="1" t="s">
        <v>4067</v>
      </c>
      <c r="E165" s="27"/>
      <c r="F165" s="27"/>
      <c r="G165" s="27"/>
      <c r="H165" s="29"/>
      <c r="I165" s="12"/>
      <c r="J165" s="12"/>
      <c r="K165" s="12"/>
      <c r="L165" s="12"/>
      <c r="M165" s="18" t="str">
        <f t="shared" si="1"/>
        <v>#DIV/0!</v>
      </c>
      <c r="N165" s="18" t="str">
        <f t="shared" si="2"/>
        <v>#DIV/0!</v>
      </c>
      <c r="O165" s="10" t="str">
        <f t="shared" si="4"/>
        <v/>
      </c>
      <c r="P165" s="18" t="str">
        <f t="shared" si="3"/>
        <v>#DIV/0!</v>
      </c>
      <c r="Q165" s="12"/>
    </row>
    <row r="166">
      <c r="A166" s="1" t="s">
        <v>968</v>
      </c>
      <c r="B166" s="7" t="s">
        <v>969</v>
      </c>
      <c r="C166" s="2" t="s">
        <v>3936</v>
      </c>
      <c r="D166" s="1" t="s">
        <v>4019</v>
      </c>
      <c r="E166" s="27"/>
      <c r="F166" s="27"/>
      <c r="G166" s="27"/>
      <c r="H166" s="24" t="s">
        <v>4007</v>
      </c>
      <c r="I166" s="12"/>
      <c r="J166" s="12"/>
      <c r="K166" s="12"/>
      <c r="L166" s="12"/>
      <c r="M166" s="18" t="str">
        <f t="shared" si="1"/>
        <v>#DIV/0!</v>
      </c>
      <c r="N166" s="18" t="str">
        <f t="shared" si="2"/>
        <v>#DIV/0!</v>
      </c>
      <c r="O166" s="12" t="str">
        <f t="shared" si="4"/>
        <v/>
      </c>
      <c r="P166" s="18" t="str">
        <f t="shared" si="3"/>
        <v>#DIV/0!</v>
      </c>
      <c r="Q166" s="12"/>
    </row>
    <row r="167">
      <c r="A167" s="1" t="s">
        <v>971</v>
      </c>
      <c r="B167" s="7" t="s">
        <v>972</v>
      </c>
      <c r="C167" s="2" t="s">
        <v>3838</v>
      </c>
      <c r="D167" s="7" t="s">
        <v>3839</v>
      </c>
      <c r="E167" s="27"/>
      <c r="F167" s="30"/>
      <c r="G167" s="30"/>
      <c r="H167" s="29"/>
      <c r="I167" s="12"/>
      <c r="J167" s="12"/>
      <c r="K167" s="12"/>
      <c r="L167" s="12"/>
      <c r="M167" s="18" t="str">
        <f t="shared" si="1"/>
        <v>#DIV/0!</v>
      </c>
      <c r="N167" s="18" t="str">
        <f t="shared" si="2"/>
        <v>#DIV/0!</v>
      </c>
      <c r="O167" s="10" t="str">
        <f t="shared" si="4"/>
        <v/>
      </c>
      <c r="P167" s="18" t="str">
        <f t="shared" si="3"/>
        <v>#DIV/0!</v>
      </c>
      <c r="Q167" s="12"/>
    </row>
    <row r="168">
      <c r="A168" s="1" t="s">
        <v>975</v>
      </c>
      <c r="B168" s="7" t="s">
        <v>976</v>
      </c>
      <c r="C168" s="2" t="s">
        <v>3830</v>
      </c>
      <c r="D168" s="7" t="s">
        <v>3831</v>
      </c>
      <c r="E168" s="27"/>
      <c r="F168" s="30"/>
      <c r="G168" s="30"/>
      <c r="H168" s="29"/>
      <c r="I168" s="12"/>
      <c r="J168" s="12"/>
      <c r="K168" s="12"/>
      <c r="L168" s="12"/>
      <c r="M168" s="18" t="str">
        <f t="shared" si="1"/>
        <v>#DIV/0!</v>
      </c>
      <c r="N168" s="18" t="str">
        <f t="shared" si="2"/>
        <v>#DIV/0!</v>
      </c>
      <c r="O168" s="12" t="str">
        <f t="shared" si="4"/>
        <v/>
      </c>
      <c r="P168" s="18" t="str">
        <f t="shared" si="3"/>
        <v>#DIV/0!</v>
      </c>
      <c r="Q168" s="12"/>
    </row>
    <row r="169">
      <c r="A169" s="1" t="s">
        <v>981</v>
      </c>
      <c r="B169" s="7" t="s">
        <v>982</v>
      </c>
      <c r="C169" s="2" t="s">
        <v>4068</v>
      </c>
      <c r="D169" s="7" t="s">
        <v>4069</v>
      </c>
      <c r="E169" s="27"/>
      <c r="F169" s="30"/>
      <c r="G169" s="30"/>
      <c r="H169" s="29"/>
      <c r="I169" s="12"/>
      <c r="J169" s="12"/>
      <c r="K169" s="12"/>
      <c r="L169" s="12"/>
      <c r="M169" s="18" t="str">
        <f t="shared" si="1"/>
        <v>#DIV/0!</v>
      </c>
      <c r="N169" s="18" t="str">
        <f t="shared" si="2"/>
        <v>#DIV/0!</v>
      </c>
      <c r="O169" s="12" t="str">
        <f t="shared" si="4"/>
        <v/>
      </c>
      <c r="P169" s="18" t="str">
        <f t="shared" si="3"/>
        <v>#DIV/0!</v>
      </c>
      <c r="Q169" s="12"/>
    </row>
    <row r="170">
      <c r="A170" s="1" t="s">
        <v>989</v>
      </c>
      <c r="B170" s="7" t="s">
        <v>990</v>
      </c>
      <c r="C170" s="2" t="s">
        <v>3846</v>
      </c>
      <c r="D170" s="7" t="s">
        <v>3847</v>
      </c>
      <c r="E170" s="27"/>
      <c r="F170" s="27"/>
      <c r="G170" s="27"/>
      <c r="H170" s="29"/>
      <c r="I170" s="12"/>
      <c r="J170" s="12"/>
      <c r="K170" s="12"/>
      <c r="L170" s="12"/>
      <c r="M170" s="18" t="str">
        <f t="shared" si="1"/>
        <v>#DIV/0!</v>
      </c>
      <c r="N170" s="18" t="str">
        <f t="shared" si="2"/>
        <v>#DIV/0!</v>
      </c>
      <c r="O170" s="12" t="str">
        <f t="shared" si="4"/>
        <v/>
      </c>
      <c r="P170" s="18" t="str">
        <f t="shared" si="3"/>
        <v>#DIV/0!</v>
      </c>
      <c r="Q170" s="12"/>
    </row>
    <row r="171">
      <c r="A171" s="1" t="s">
        <v>996</v>
      </c>
      <c r="B171" s="7" t="s">
        <v>997</v>
      </c>
      <c r="C171" s="2" t="s">
        <v>4070</v>
      </c>
      <c r="D171" s="1" t="s">
        <v>4071</v>
      </c>
      <c r="E171" s="27"/>
      <c r="F171" s="30"/>
      <c r="G171" s="30"/>
      <c r="H171" s="29"/>
      <c r="I171" s="12"/>
      <c r="J171" s="12"/>
      <c r="K171" s="12"/>
      <c r="L171" s="12"/>
      <c r="M171" s="18" t="str">
        <f t="shared" si="1"/>
        <v>#DIV/0!</v>
      </c>
      <c r="N171" s="18" t="str">
        <f t="shared" si="2"/>
        <v>#DIV/0!</v>
      </c>
      <c r="O171" s="12" t="str">
        <f t="shared" si="4"/>
        <v/>
      </c>
      <c r="P171" s="18" t="str">
        <f t="shared" si="3"/>
        <v>#DIV/0!</v>
      </c>
      <c r="Q171" s="12"/>
    </row>
    <row r="172">
      <c r="A172" s="1" t="s">
        <v>1000</v>
      </c>
      <c r="B172" s="7" t="s">
        <v>1001</v>
      </c>
      <c r="C172" s="2" t="s">
        <v>3838</v>
      </c>
      <c r="D172" s="7" t="s">
        <v>3839</v>
      </c>
      <c r="E172" s="27"/>
      <c r="F172" s="30"/>
      <c r="G172" s="30"/>
      <c r="H172" s="29"/>
      <c r="I172" s="12"/>
      <c r="J172" s="12"/>
      <c r="K172" s="12"/>
      <c r="L172" s="12"/>
      <c r="M172" s="18" t="str">
        <f t="shared" si="1"/>
        <v>#DIV/0!</v>
      </c>
      <c r="N172" s="18" t="str">
        <f t="shared" si="2"/>
        <v>#DIV/0!</v>
      </c>
      <c r="O172" s="12" t="str">
        <f t="shared" si="4"/>
        <v/>
      </c>
      <c r="P172" s="18" t="str">
        <f t="shared" si="3"/>
        <v>#DIV/0!</v>
      </c>
      <c r="Q172" s="12"/>
    </row>
    <row r="173">
      <c r="A173" s="1" t="s">
        <v>1002</v>
      </c>
      <c r="B173" s="7" t="s">
        <v>1003</v>
      </c>
      <c r="C173" s="2" t="s">
        <v>3838</v>
      </c>
      <c r="D173" s="7" t="s">
        <v>3839</v>
      </c>
      <c r="E173" s="27"/>
      <c r="F173" s="30"/>
      <c r="G173" s="30"/>
      <c r="H173" s="29"/>
      <c r="I173" s="12"/>
      <c r="J173" s="12"/>
      <c r="K173" s="12"/>
      <c r="L173" s="12"/>
      <c r="M173" s="18" t="str">
        <f t="shared" si="1"/>
        <v>#DIV/0!</v>
      </c>
      <c r="N173" s="18" t="str">
        <f t="shared" si="2"/>
        <v>#DIV/0!</v>
      </c>
      <c r="O173" s="12" t="str">
        <f t="shared" si="4"/>
        <v/>
      </c>
      <c r="P173" s="18" t="str">
        <f t="shared" si="3"/>
        <v>#DIV/0!</v>
      </c>
      <c r="Q173" s="12"/>
    </row>
    <row r="174">
      <c r="A174" s="1" t="s">
        <v>1005</v>
      </c>
      <c r="B174" s="7" t="s">
        <v>1006</v>
      </c>
      <c r="C174" s="2" t="s">
        <v>4072</v>
      </c>
      <c r="D174" s="1" t="s">
        <v>4073</v>
      </c>
      <c r="E174" s="27"/>
      <c r="F174" s="27"/>
      <c r="G174" s="27"/>
      <c r="H174" s="29"/>
      <c r="I174" s="12"/>
      <c r="J174" s="12"/>
      <c r="K174" s="12"/>
      <c r="L174" s="12"/>
      <c r="M174" s="18" t="str">
        <f t="shared" si="1"/>
        <v>#DIV/0!</v>
      </c>
      <c r="N174" s="18" t="str">
        <f t="shared" si="2"/>
        <v>#DIV/0!</v>
      </c>
      <c r="O174" s="12" t="str">
        <f t="shared" si="4"/>
        <v/>
      </c>
      <c r="P174" s="18" t="str">
        <f t="shared" si="3"/>
        <v>#DIV/0!</v>
      </c>
      <c r="Q174" s="12"/>
    </row>
    <row r="175">
      <c r="A175" s="1" t="s">
        <v>1009</v>
      </c>
      <c r="B175" s="7" t="s">
        <v>1010</v>
      </c>
      <c r="C175" s="2" t="s">
        <v>4002</v>
      </c>
      <c r="D175" s="7" t="s">
        <v>4003</v>
      </c>
      <c r="E175" s="27"/>
      <c r="F175" s="30"/>
      <c r="G175" s="30"/>
      <c r="H175" s="29"/>
      <c r="I175" s="12"/>
      <c r="J175" s="12"/>
      <c r="K175" s="12"/>
      <c r="L175" s="12"/>
      <c r="M175" s="18" t="str">
        <f t="shared" si="1"/>
        <v>#DIV/0!</v>
      </c>
      <c r="N175" s="18" t="str">
        <f t="shared" si="2"/>
        <v>#DIV/0!</v>
      </c>
      <c r="O175" s="12" t="str">
        <f t="shared" si="4"/>
        <v/>
      </c>
      <c r="P175" s="18" t="str">
        <f t="shared" si="3"/>
        <v>#DIV/0!</v>
      </c>
      <c r="Q175" s="12"/>
    </row>
    <row r="176">
      <c r="A176" s="1" t="s">
        <v>1011</v>
      </c>
      <c r="B176" s="7" t="s">
        <v>1012</v>
      </c>
      <c r="C176" s="2" t="s">
        <v>4074</v>
      </c>
      <c r="D176" s="7" t="s">
        <v>4075</v>
      </c>
      <c r="E176" s="27"/>
      <c r="F176" s="30"/>
      <c r="G176" s="30"/>
      <c r="H176" s="29"/>
      <c r="I176" s="12"/>
      <c r="J176" s="12"/>
      <c r="K176" s="12"/>
      <c r="L176" s="12"/>
      <c r="M176" s="18" t="str">
        <f t="shared" si="1"/>
        <v>#DIV/0!</v>
      </c>
      <c r="N176" s="18" t="str">
        <f t="shared" si="2"/>
        <v>#DIV/0!</v>
      </c>
      <c r="O176" s="12" t="str">
        <f t="shared" si="4"/>
        <v/>
      </c>
      <c r="P176" s="18" t="str">
        <f t="shared" si="3"/>
        <v>#DIV/0!</v>
      </c>
      <c r="Q176" s="12"/>
    </row>
    <row r="177">
      <c r="A177" s="1" t="s">
        <v>1015</v>
      </c>
      <c r="B177" s="7" t="s">
        <v>1016</v>
      </c>
      <c r="C177" s="2" t="s">
        <v>4076</v>
      </c>
      <c r="D177" s="1" t="s">
        <v>4077</v>
      </c>
      <c r="E177" s="27"/>
      <c r="F177" s="30"/>
      <c r="G177" s="30"/>
      <c r="H177" s="29"/>
      <c r="I177" s="12"/>
      <c r="J177" s="12"/>
      <c r="K177" s="12"/>
      <c r="L177" s="12"/>
      <c r="M177" s="18" t="str">
        <f t="shared" si="1"/>
        <v>#DIV/0!</v>
      </c>
      <c r="N177" s="18" t="str">
        <f t="shared" si="2"/>
        <v>#DIV/0!</v>
      </c>
      <c r="O177" s="12" t="str">
        <f t="shared" si="4"/>
        <v/>
      </c>
      <c r="P177" s="18" t="str">
        <f t="shared" si="3"/>
        <v>#DIV/0!</v>
      </c>
      <c r="Q177" s="12"/>
    </row>
    <row r="178">
      <c r="A178" s="1" t="s">
        <v>1019</v>
      </c>
      <c r="B178" s="7" t="s">
        <v>1020</v>
      </c>
      <c r="C178" s="2" t="s">
        <v>4078</v>
      </c>
      <c r="D178" s="7" t="s">
        <v>4079</v>
      </c>
      <c r="E178" s="27"/>
      <c r="F178" s="27"/>
      <c r="G178" s="27"/>
      <c r="H178" s="29"/>
      <c r="I178" s="12"/>
      <c r="J178" s="12"/>
      <c r="K178" s="12"/>
      <c r="L178" s="12"/>
      <c r="M178" s="18" t="str">
        <f t="shared" si="1"/>
        <v>#DIV/0!</v>
      </c>
      <c r="N178" s="18" t="str">
        <f t="shared" si="2"/>
        <v>#DIV/0!</v>
      </c>
      <c r="O178" s="12" t="str">
        <f t="shared" si="4"/>
        <v/>
      </c>
      <c r="P178" s="18" t="str">
        <f t="shared" si="3"/>
        <v>#DIV/0!</v>
      </c>
      <c r="Q178" s="12"/>
    </row>
    <row r="179">
      <c r="A179" s="1" t="s">
        <v>1023</v>
      </c>
      <c r="B179" s="7" t="s">
        <v>1024</v>
      </c>
      <c r="C179" s="2" t="s">
        <v>4080</v>
      </c>
      <c r="D179" s="7" t="s">
        <v>4081</v>
      </c>
      <c r="E179" s="27"/>
      <c r="F179" s="27"/>
      <c r="G179" s="27"/>
      <c r="H179" s="29"/>
      <c r="I179" s="12"/>
      <c r="J179" s="12"/>
      <c r="K179" s="12"/>
      <c r="L179" s="12"/>
      <c r="M179" s="18" t="str">
        <f t="shared" si="1"/>
        <v>#DIV/0!</v>
      </c>
      <c r="N179" s="18" t="str">
        <f t="shared" si="2"/>
        <v>#DIV/0!</v>
      </c>
      <c r="O179" s="12" t="str">
        <f t="shared" si="4"/>
        <v/>
      </c>
      <c r="P179" s="18" t="str">
        <f t="shared" si="3"/>
        <v>#DIV/0!</v>
      </c>
      <c r="Q179" s="12"/>
    </row>
    <row r="180">
      <c r="A180" s="1" t="s">
        <v>1027</v>
      </c>
      <c r="B180" s="7" t="s">
        <v>1028</v>
      </c>
      <c r="C180" s="2" t="s">
        <v>4082</v>
      </c>
      <c r="D180" s="1" t="s">
        <v>4083</v>
      </c>
      <c r="E180" s="27"/>
      <c r="F180" s="27"/>
      <c r="G180" s="27"/>
      <c r="H180" s="29"/>
      <c r="I180" s="12"/>
      <c r="J180" s="12"/>
      <c r="K180" s="12"/>
      <c r="L180" s="12"/>
      <c r="M180" s="18" t="str">
        <f t="shared" si="1"/>
        <v>#DIV/0!</v>
      </c>
      <c r="N180" s="18" t="str">
        <f t="shared" si="2"/>
        <v>#DIV/0!</v>
      </c>
      <c r="O180" s="12" t="str">
        <f t="shared" si="4"/>
        <v/>
      </c>
      <c r="P180" s="18" t="str">
        <f t="shared" si="3"/>
        <v>#DIV/0!</v>
      </c>
      <c r="Q180" s="12"/>
    </row>
    <row r="181">
      <c r="A181" s="1" t="s">
        <v>1039</v>
      </c>
      <c r="B181" s="7" t="s">
        <v>1040</v>
      </c>
      <c r="C181" s="2" t="s">
        <v>4084</v>
      </c>
      <c r="E181" s="27"/>
      <c r="F181" s="27"/>
      <c r="G181" s="27"/>
      <c r="H181" s="29"/>
      <c r="I181" s="12"/>
      <c r="J181" s="12"/>
      <c r="K181" s="12"/>
      <c r="L181" s="12"/>
      <c r="M181" s="18" t="str">
        <f t="shared" si="1"/>
        <v>#DIV/0!</v>
      </c>
      <c r="N181" s="18" t="str">
        <f t="shared" si="2"/>
        <v>#DIV/0!</v>
      </c>
      <c r="O181" s="12" t="str">
        <f t="shared" si="4"/>
        <v/>
      </c>
      <c r="P181" s="18" t="str">
        <f t="shared" si="3"/>
        <v>#DIV/0!</v>
      </c>
      <c r="Q181" s="12"/>
    </row>
    <row r="182">
      <c r="A182" s="1" t="s">
        <v>1057</v>
      </c>
      <c r="B182" s="7" t="s">
        <v>1058</v>
      </c>
      <c r="C182" s="2" t="s">
        <v>4049</v>
      </c>
      <c r="D182" s="1" t="s">
        <v>3992</v>
      </c>
      <c r="E182" s="27"/>
      <c r="F182" s="30"/>
      <c r="G182" s="30"/>
      <c r="H182" s="29"/>
      <c r="I182" s="12"/>
      <c r="J182" s="12"/>
      <c r="K182" s="12"/>
      <c r="L182" s="12"/>
      <c r="M182" s="18" t="str">
        <f t="shared" si="1"/>
        <v>#DIV/0!</v>
      </c>
      <c r="N182" s="18" t="str">
        <f t="shared" si="2"/>
        <v>#DIV/0!</v>
      </c>
      <c r="O182" s="12" t="str">
        <f t="shared" si="4"/>
        <v/>
      </c>
      <c r="P182" s="18" t="str">
        <f t="shared" si="3"/>
        <v>#DIV/0!</v>
      </c>
      <c r="Q182" s="12"/>
    </row>
    <row r="183">
      <c r="A183" s="1" t="s">
        <v>1060</v>
      </c>
      <c r="B183" s="7" t="s">
        <v>1061</v>
      </c>
      <c r="C183" s="2" t="s">
        <v>4085</v>
      </c>
      <c r="D183" s="1" t="s">
        <v>4086</v>
      </c>
      <c r="E183" s="27"/>
      <c r="F183" s="30"/>
      <c r="G183" s="30"/>
      <c r="H183" s="29"/>
      <c r="I183" s="12"/>
      <c r="J183" s="12"/>
      <c r="K183" s="12"/>
      <c r="L183" s="12"/>
      <c r="M183" s="18" t="str">
        <f t="shared" si="1"/>
        <v>#DIV/0!</v>
      </c>
      <c r="N183" s="18" t="str">
        <f t="shared" si="2"/>
        <v>#DIV/0!</v>
      </c>
      <c r="O183" s="12" t="str">
        <f t="shared" si="4"/>
        <v/>
      </c>
      <c r="P183" s="18" t="str">
        <f t="shared" si="3"/>
        <v>#DIV/0!</v>
      </c>
      <c r="Q183" s="12"/>
    </row>
    <row r="184">
      <c r="A184" s="1" t="s">
        <v>1064</v>
      </c>
      <c r="B184" s="7" t="s">
        <v>1065</v>
      </c>
      <c r="C184" s="2" t="s">
        <v>4087</v>
      </c>
      <c r="D184" s="1" t="s">
        <v>4088</v>
      </c>
      <c r="E184" s="27"/>
      <c r="F184" s="27"/>
      <c r="G184" s="27"/>
      <c r="H184" s="29"/>
      <c r="I184" s="12"/>
      <c r="J184" s="12"/>
      <c r="K184" s="12"/>
      <c r="L184" s="12"/>
      <c r="M184" s="18" t="str">
        <f t="shared" si="1"/>
        <v>#DIV/0!</v>
      </c>
      <c r="N184" s="18" t="str">
        <f t="shared" si="2"/>
        <v>#DIV/0!</v>
      </c>
      <c r="O184" s="12" t="str">
        <f t="shared" si="4"/>
        <v/>
      </c>
      <c r="P184" s="18" t="str">
        <f t="shared" si="3"/>
        <v>#DIV/0!</v>
      </c>
      <c r="Q184" s="12"/>
    </row>
    <row r="185">
      <c r="A185" s="1" t="s">
        <v>1068</v>
      </c>
      <c r="B185" s="7" t="s">
        <v>1069</v>
      </c>
      <c r="C185" s="2" t="s">
        <v>4089</v>
      </c>
      <c r="D185" s="1" t="s">
        <v>3845</v>
      </c>
      <c r="E185" s="27"/>
      <c r="F185" s="30"/>
      <c r="G185" s="30"/>
      <c r="H185" s="29"/>
      <c r="I185" s="12"/>
      <c r="J185" s="12"/>
      <c r="K185" s="12"/>
      <c r="L185" s="12"/>
      <c r="M185" s="18" t="str">
        <f t="shared" si="1"/>
        <v>#DIV/0!</v>
      </c>
      <c r="N185" s="18" t="str">
        <f t="shared" si="2"/>
        <v>#DIV/0!</v>
      </c>
      <c r="O185" s="12" t="str">
        <f t="shared" si="4"/>
        <v/>
      </c>
      <c r="P185" s="18" t="str">
        <f t="shared" si="3"/>
        <v>#DIV/0!</v>
      </c>
      <c r="Q185" s="12"/>
    </row>
    <row r="186">
      <c r="A186" s="1" t="s">
        <v>1076</v>
      </c>
      <c r="B186" s="7" t="s">
        <v>1077</v>
      </c>
      <c r="C186" s="2" t="s">
        <v>4090</v>
      </c>
      <c r="D186" s="1" t="s">
        <v>4091</v>
      </c>
      <c r="E186" s="27"/>
      <c r="F186" s="27"/>
      <c r="G186" s="27"/>
      <c r="H186" s="29"/>
      <c r="I186" s="12"/>
      <c r="J186" s="12"/>
      <c r="K186" s="12"/>
      <c r="L186" s="12"/>
      <c r="M186" s="18" t="str">
        <f t="shared" si="1"/>
        <v>#DIV/0!</v>
      </c>
      <c r="N186" s="18" t="str">
        <f t="shared" si="2"/>
        <v>#DIV/0!</v>
      </c>
      <c r="O186" s="12" t="str">
        <f t="shared" si="4"/>
        <v/>
      </c>
      <c r="P186" s="18" t="str">
        <f t="shared" si="3"/>
        <v>#DIV/0!</v>
      </c>
      <c r="Q186" s="12"/>
    </row>
    <row r="187">
      <c r="A187" s="1" t="s">
        <v>1088</v>
      </c>
      <c r="B187" s="7" t="s">
        <v>1089</v>
      </c>
      <c r="C187" s="2" t="s">
        <v>4092</v>
      </c>
      <c r="D187" s="1" t="s">
        <v>3853</v>
      </c>
      <c r="E187" s="27"/>
      <c r="F187" s="30"/>
      <c r="G187" s="30"/>
      <c r="H187" s="29"/>
      <c r="I187" s="12"/>
      <c r="J187" s="12"/>
      <c r="K187" s="12"/>
      <c r="L187" s="12"/>
      <c r="M187" s="18" t="str">
        <f t="shared" si="1"/>
        <v>#DIV/0!</v>
      </c>
      <c r="N187" s="18" t="str">
        <f t="shared" si="2"/>
        <v>#DIV/0!</v>
      </c>
      <c r="O187" s="12" t="str">
        <f t="shared" si="4"/>
        <v/>
      </c>
      <c r="P187" s="18" t="str">
        <f t="shared" si="3"/>
        <v>#DIV/0!</v>
      </c>
      <c r="Q187" s="12"/>
    </row>
    <row r="188">
      <c r="A188" s="1" t="s">
        <v>1092</v>
      </c>
      <c r="B188" s="7" t="s">
        <v>1093</v>
      </c>
      <c r="C188" s="2" t="s">
        <v>3986</v>
      </c>
      <c r="D188" s="7" t="s">
        <v>3987</v>
      </c>
      <c r="E188" s="27"/>
      <c r="F188" s="27"/>
      <c r="G188" s="27"/>
      <c r="H188" s="29"/>
      <c r="I188" s="12"/>
      <c r="J188" s="12"/>
      <c r="K188" s="12"/>
      <c r="L188" s="12"/>
      <c r="M188" s="18" t="str">
        <f t="shared" si="1"/>
        <v>#DIV/0!</v>
      </c>
      <c r="N188" s="18" t="str">
        <f t="shared" si="2"/>
        <v>#DIV/0!</v>
      </c>
      <c r="O188" s="12" t="str">
        <f t="shared" si="4"/>
        <v/>
      </c>
      <c r="P188" s="18" t="str">
        <f t="shared" si="3"/>
        <v>#DIV/0!</v>
      </c>
      <c r="Q188" s="12"/>
    </row>
    <row r="189">
      <c r="A189" s="1" t="s">
        <v>1094</v>
      </c>
      <c r="B189" s="7" t="s">
        <v>1095</v>
      </c>
      <c r="C189" s="2" t="s">
        <v>4093</v>
      </c>
      <c r="D189" s="1" t="s">
        <v>4094</v>
      </c>
      <c r="E189" s="27"/>
      <c r="F189" s="27"/>
      <c r="G189" s="27"/>
      <c r="H189" s="29"/>
      <c r="I189" s="12"/>
      <c r="J189" s="12"/>
      <c r="K189" s="12"/>
      <c r="L189" s="12"/>
      <c r="M189" s="18" t="str">
        <f t="shared" si="1"/>
        <v>#DIV/0!</v>
      </c>
      <c r="N189" s="18" t="str">
        <f t="shared" si="2"/>
        <v>#DIV/0!</v>
      </c>
      <c r="O189" s="12" t="str">
        <f t="shared" si="4"/>
        <v/>
      </c>
      <c r="P189" s="18" t="str">
        <f t="shared" si="3"/>
        <v>#DIV/0!</v>
      </c>
      <c r="Q189" s="12"/>
    </row>
    <row r="190">
      <c r="A190" s="1" t="s">
        <v>1098</v>
      </c>
      <c r="B190" s="7" t="s">
        <v>1099</v>
      </c>
      <c r="C190" s="2" t="s">
        <v>4095</v>
      </c>
      <c r="D190" s="7" t="s">
        <v>4096</v>
      </c>
      <c r="E190" s="27"/>
      <c r="F190" s="27"/>
      <c r="G190" s="27"/>
      <c r="H190" s="29"/>
      <c r="I190" s="12"/>
      <c r="J190" s="12"/>
      <c r="K190" s="12"/>
      <c r="L190" s="12"/>
      <c r="M190" s="18" t="str">
        <f t="shared" si="1"/>
        <v>#DIV/0!</v>
      </c>
      <c r="N190" s="18" t="str">
        <f t="shared" si="2"/>
        <v>#DIV/0!</v>
      </c>
      <c r="O190" s="12" t="str">
        <f t="shared" si="4"/>
        <v/>
      </c>
      <c r="P190" s="18" t="str">
        <f t="shared" si="3"/>
        <v>#DIV/0!</v>
      </c>
      <c r="Q190" s="12"/>
    </row>
    <row r="191">
      <c r="A191" s="1" t="s">
        <v>1102</v>
      </c>
      <c r="B191" s="7" t="s">
        <v>1103</v>
      </c>
      <c r="C191" s="2" t="s">
        <v>4097</v>
      </c>
      <c r="D191" s="7" t="s">
        <v>4098</v>
      </c>
      <c r="E191" s="27"/>
      <c r="F191" s="27"/>
      <c r="G191" s="27"/>
      <c r="H191" s="29"/>
      <c r="I191" s="12"/>
      <c r="J191" s="12"/>
      <c r="K191" s="12"/>
      <c r="L191" s="12"/>
      <c r="M191" s="18" t="str">
        <f t="shared" si="1"/>
        <v>#DIV/0!</v>
      </c>
      <c r="N191" s="18" t="str">
        <f t="shared" si="2"/>
        <v>#DIV/0!</v>
      </c>
      <c r="O191" s="12" t="str">
        <f t="shared" si="4"/>
        <v/>
      </c>
      <c r="P191" s="18" t="str">
        <f t="shared" si="3"/>
        <v>#DIV/0!</v>
      </c>
      <c r="Q191" s="12"/>
    </row>
    <row r="192">
      <c r="A192" s="1" t="s">
        <v>1106</v>
      </c>
      <c r="B192" s="7" t="s">
        <v>1107</v>
      </c>
      <c r="C192" s="2" t="s">
        <v>4099</v>
      </c>
      <c r="E192" s="27"/>
      <c r="F192" s="30"/>
      <c r="G192" s="30"/>
      <c r="H192" s="29"/>
      <c r="I192" s="12"/>
      <c r="J192" s="12"/>
      <c r="K192" s="12"/>
      <c r="L192" s="12"/>
      <c r="M192" s="18" t="str">
        <f t="shared" si="1"/>
        <v>#DIV/0!</v>
      </c>
      <c r="N192" s="18" t="str">
        <f t="shared" si="2"/>
        <v>#DIV/0!</v>
      </c>
      <c r="O192" s="12" t="str">
        <f t="shared" si="4"/>
        <v/>
      </c>
      <c r="P192" s="18" t="str">
        <f t="shared" si="3"/>
        <v>#DIV/0!</v>
      </c>
      <c r="Q192" s="12"/>
    </row>
    <row r="193">
      <c r="A193" s="1" t="s">
        <v>1114</v>
      </c>
      <c r="B193" s="7" t="s">
        <v>1115</v>
      </c>
      <c r="C193" s="2" t="s">
        <v>4100</v>
      </c>
      <c r="E193" s="27"/>
      <c r="F193" s="30"/>
      <c r="G193" s="30"/>
      <c r="H193" s="29"/>
      <c r="I193" s="12"/>
      <c r="J193" s="12"/>
      <c r="K193" s="12"/>
      <c r="L193" s="12"/>
      <c r="M193" s="18" t="str">
        <f t="shared" si="1"/>
        <v>#DIV/0!</v>
      </c>
      <c r="N193" s="18" t="str">
        <f t="shared" si="2"/>
        <v>#DIV/0!</v>
      </c>
      <c r="O193" s="12" t="str">
        <f t="shared" si="4"/>
        <v/>
      </c>
      <c r="P193" s="18" t="str">
        <f t="shared" si="3"/>
        <v>#DIV/0!</v>
      </c>
      <c r="Q193" s="12"/>
    </row>
    <row r="194">
      <c r="A194" s="1" t="s">
        <v>1118</v>
      </c>
      <c r="B194" s="7" t="s">
        <v>1119</v>
      </c>
      <c r="C194" s="2" t="s">
        <v>3838</v>
      </c>
      <c r="D194" s="7" t="s">
        <v>3839</v>
      </c>
      <c r="E194" s="27"/>
      <c r="F194" s="30"/>
      <c r="G194" s="30"/>
      <c r="H194" s="29"/>
      <c r="I194" s="12"/>
      <c r="J194" s="12"/>
      <c r="K194" s="12"/>
      <c r="L194" s="12"/>
      <c r="M194" s="18" t="str">
        <f t="shared" si="1"/>
        <v>#DIV/0!</v>
      </c>
      <c r="N194" s="18" t="str">
        <f t="shared" si="2"/>
        <v>#DIV/0!</v>
      </c>
      <c r="O194" s="12" t="str">
        <f t="shared" si="4"/>
        <v/>
      </c>
      <c r="P194" s="18" t="str">
        <f t="shared" si="3"/>
        <v>#DIV/0!</v>
      </c>
      <c r="Q194" s="12"/>
    </row>
    <row r="195">
      <c r="A195" s="1" t="s">
        <v>1122</v>
      </c>
      <c r="B195" s="7" t="s">
        <v>1123</v>
      </c>
      <c r="C195" s="2" t="s">
        <v>4101</v>
      </c>
      <c r="D195" s="7" t="s">
        <v>4102</v>
      </c>
      <c r="E195" s="27"/>
      <c r="F195" s="30"/>
      <c r="G195" s="30"/>
      <c r="H195" s="29"/>
      <c r="I195" s="12"/>
      <c r="J195" s="12"/>
      <c r="K195" s="12"/>
      <c r="L195" s="12"/>
      <c r="M195" s="18" t="str">
        <f t="shared" si="1"/>
        <v>#DIV/0!</v>
      </c>
      <c r="N195" s="18" t="str">
        <f t="shared" si="2"/>
        <v>#DIV/0!</v>
      </c>
      <c r="O195" s="12" t="str">
        <f t="shared" si="4"/>
        <v/>
      </c>
      <c r="P195" s="18" t="str">
        <f t="shared" si="3"/>
        <v>#DIV/0!</v>
      </c>
      <c r="Q195" s="12"/>
    </row>
    <row r="196">
      <c r="A196" s="1" t="s">
        <v>1126</v>
      </c>
      <c r="B196" s="7" t="s">
        <v>1127</v>
      </c>
      <c r="C196" s="2" t="s">
        <v>4103</v>
      </c>
      <c r="D196" s="1" t="s">
        <v>4104</v>
      </c>
      <c r="E196" s="27"/>
      <c r="F196" s="27"/>
      <c r="G196" s="27"/>
      <c r="H196" s="29"/>
      <c r="I196" s="12"/>
      <c r="J196" s="12"/>
      <c r="K196" s="12"/>
      <c r="L196" s="12"/>
      <c r="M196" s="18" t="str">
        <f t="shared" si="1"/>
        <v>#DIV/0!</v>
      </c>
      <c r="N196" s="18" t="str">
        <f t="shared" si="2"/>
        <v>#DIV/0!</v>
      </c>
      <c r="O196" s="12" t="str">
        <f t="shared" si="4"/>
        <v/>
      </c>
      <c r="P196" s="18" t="str">
        <f t="shared" si="3"/>
        <v>#DIV/0!</v>
      </c>
      <c r="Q196" s="12"/>
    </row>
    <row r="197">
      <c r="A197" s="1" t="s">
        <v>1133</v>
      </c>
      <c r="B197" s="7" t="s">
        <v>1134</v>
      </c>
      <c r="C197" s="2" t="s">
        <v>3838</v>
      </c>
      <c r="D197" s="7" t="s">
        <v>3839</v>
      </c>
      <c r="E197" s="27"/>
      <c r="F197" s="27"/>
      <c r="G197" s="27"/>
      <c r="H197" s="29"/>
      <c r="I197" s="12"/>
      <c r="J197" s="12"/>
      <c r="K197" s="12"/>
      <c r="L197" s="12"/>
      <c r="M197" s="18" t="str">
        <f t="shared" si="1"/>
        <v>#DIV/0!</v>
      </c>
      <c r="N197" s="18" t="str">
        <f t="shared" si="2"/>
        <v>#DIV/0!</v>
      </c>
      <c r="O197" s="12" t="str">
        <f t="shared" si="4"/>
        <v/>
      </c>
      <c r="P197" s="18" t="str">
        <f t="shared" si="3"/>
        <v>#DIV/0!</v>
      </c>
      <c r="Q197" s="12"/>
    </row>
    <row r="198">
      <c r="A198" s="1" t="s">
        <v>1141</v>
      </c>
      <c r="B198" s="7" t="s">
        <v>1142</v>
      </c>
      <c r="C198" s="2" t="s">
        <v>3838</v>
      </c>
      <c r="D198" s="7" t="s">
        <v>3839</v>
      </c>
      <c r="E198" s="27"/>
      <c r="F198" s="27"/>
      <c r="G198" s="27"/>
      <c r="H198" s="29"/>
      <c r="I198" s="12"/>
      <c r="J198" s="12"/>
      <c r="K198" s="12"/>
      <c r="L198" s="12"/>
      <c r="M198" s="18" t="str">
        <f t="shared" si="1"/>
        <v>#DIV/0!</v>
      </c>
      <c r="N198" s="18" t="str">
        <f t="shared" si="2"/>
        <v>#DIV/0!</v>
      </c>
      <c r="O198" s="12" t="str">
        <f t="shared" si="4"/>
        <v/>
      </c>
      <c r="P198" s="18" t="str">
        <f t="shared" si="3"/>
        <v>#DIV/0!</v>
      </c>
      <c r="Q198" s="12"/>
    </row>
    <row r="199">
      <c r="A199" s="1" t="s">
        <v>1144</v>
      </c>
      <c r="B199" s="7" t="s">
        <v>1145</v>
      </c>
      <c r="C199" s="2" t="s">
        <v>3838</v>
      </c>
      <c r="D199" s="7" t="s">
        <v>3839</v>
      </c>
      <c r="E199" s="27"/>
      <c r="F199" s="27"/>
      <c r="G199" s="27"/>
      <c r="H199" s="29"/>
      <c r="I199" s="12"/>
      <c r="J199" s="12"/>
      <c r="K199" s="12"/>
      <c r="L199" s="12"/>
      <c r="M199" s="18" t="str">
        <f t="shared" si="1"/>
        <v>#DIV/0!</v>
      </c>
      <c r="N199" s="18" t="str">
        <f t="shared" si="2"/>
        <v>#DIV/0!</v>
      </c>
      <c r="O199" s="12" t="str">
        <f t="shared" si="4"/>
        <v/>
      </c>
      <c r="P199" s="18" t="str">
        <f t="shared" si="3"/>
        <v>#DIV/0!</v>
      </c>
      <c r="Q199" s="12"/>
    </row>
    <row r="200">
      <c r="A200" s="1" t="s">
        <v>1146</v>
      </c>
      <c r="B200" s="7" t="s">
        <v>1147</v>
      </c>
      <c r="C200" s="2" t="s">
        <v>4105</v>
      </c>
      <c r="D200" s="1" t="s">
        <v>3837</v>
      </c>
      <c r="E200" s="27"/>
      <c r="F200" s="27"/>
      <c r="G200" s="27"/>
      <c r="H200" s="29"/>
      <c r="I200" s="12"/>
      <c r="J200" s="12"/>
      <c r="K200" s="12"/>
      <c r="L200" s="12"/>
      <c r="M200" s="18" t="str">
        <f t="shared" si="1"/>
        <v>#DIV/0!</v>
      </c>
      <c r="N200" s="18" t="str">
        <f t="shared" si="2"/>
        <v>#DIV/0!</v>
      </c>
      <c r="O200" s="12" t="str">
        <f t="shared" si="4"/>
        <v/>
      </c>
      <c r="P200" s="18" t="str">
        <f t="shared" si="3"/>
        <v>#DIV/0!</v>
      </c>
      <c r="Q200" s="12"/>
    </row>
    <row r="201">
      <c r="A201" s="1" t="s">
        <v>1152</v>
      </c>
      <c r="B201" s="7" t="s">
        <v>1153</v>
      </c>
      <c r="C201" s="2" t="s">
        <v>4106</v>
      </c>
      <c r="D201" s="7" t="s">
        <v>4107</v>
      </c>
      <c r="E201" s="27"/>
      <c r="F201" s="27"/>
      <c r="G201" s="27"/>
      <c r="H201" s="29"/>
      <c r="I201" s="12"/>
      <c r="J201" s="12"/>
      <c r="K201" s="12"/>
      <c r="L201" s="12"/>
      <c r="M201" s="18" t="str">
        <f t="shared" si="1"/>
        <v>#DIV/0!</v>
      </c>
      <c r="N201" s="18" t="str">
        <f t="shared" si="2"/>
        <v>#DIV/0!</v>
      </c>
      <c r="O201" s="12" t="str">
        <f t="shared" si="4"/>
        <v/>
      </c>
      <c r="P201" s="18" t="str">
        <f t="shared" si="3"/>
        <v>#DIV/0!</v>
      </c>
      <c r="Q201" s="12"/>
    </row>
    <row r="202">
      <c r="A202" s="1" t="s">
        <v>1158</v>
      </c>
      <c r="B202" s="7" t="s">
        <v>1159</v>
      </c>
      <c r="C202" s="2" t="s">
        <v>4108</v>
      </c>
      <c r="D202" s="1" t="s">
        <v>4109</v>
      </c>
      <c r="E202" s="27"/>
      <c r="F202" s="27"/>
      <c r="G202" s="27"/>
      <c r="H202" s="29"/>
      <c r="I202" s="12"/>
      <c r="J202" s="12"/>
      <c r="K202" s="12"/>
      <c r="L202" s="12"/>
      <c r="M202" s="18" t="str">
        <f t="shared" si="1"/>
        <v>#DIV/0!</v>
      </c>
      <c r="N202" s="18" t="str">
        <f t="shared" si="2"/>
        <v>#DIV/0!</v>
      </c>
      <c r="O202" s="12" t="str">
        <f t="shared" si="4"/>
        <v/>
      </c>
      <c r="P202" s="18" t="str">
        <f t="shared" si="3"/>
        <v>#DIV/0!</v>
      </c>
      <c r="Q202" s="12"/>
    </row>
    <row r="203">
      <c r="A203" s="1" t="s">
        <v>1162</v>
      </c>
      <c r="B203" s="7" t="s">
        <v>1163</v>
      </c>
      <c r="C203" s="2" t="s">
        <v>4110</v>
      </c>
      <c r="D203" s="1" t="s">
        <v>4111</v>
      </c>
      <c r="E203" s="27"/>
      <c r="F203" s="27"/>
      <c r="G203" s="27"/>
      <c r="H203" s="29"/>
      <c r="I203" s="12"/>
      <c r="J203" s="12"/>
      <c r="K203" s="12"/>
      <c r="L203" s="12"/>
      <c r="M203" s="18" t="str">
        <f t="shared" si="1"/>
        <v>#DIV/0!</v>
      </c>
      <c r="N203" s="18" t="str">
        <f t="shared" si="2"/>
        <v>#DIV/0!</v>
      </c>
      <c r="O203" s="12" t="str">
        <f t="shared" si="4"/>
        <v/>
      </c>
      <c r="P203" s="18" t="str">
        <f t="shared" si="3"/>
        <v>#DIV/0!</v>
      </c>
      <c r="Q203" s="12"/>
    </row>
    <row r="204">
      <c r="A204" s="1" t="s">
        <v>1168</v>
      </c>
      <c r="B204" s="7" t="s">
        <v>1169</v>
      </c>
      <c r="C204" s="2" t="s">
        <v>3949</v>
      </c>
      <c r="E204" s="27"/>
      <c r="F204" s="30"/>
      <c r="G204" s="30"/>
      <c r="H204" s="29"/>
      <c r="I204" s="12"/>
      <c r="J204" s="12"/>
      <c r="K204" s="12"/>
      <c r="L204" s="12"/>
      <c r="M204" s="18" t="str">
        <f t="shared" si="1"/>
        <v>#DIV/0!</v>
      </c>
      <c r="N204" s="18" t="str">
        <f t="shared" si="2"/>
        <v>#DIV/0!</v>
      </c>
      <c r="O204" s="12" t="str">
        <f t="shared" si="4"/>
        <v/>
      </c>
      <c r="P204" s="18" t="str">
        <f t="shared" si="3"/>
        <v>#DIV/0!</v>
      </c>
      <c r="Q204" s="12"/>
    </row>
    <row r="205">
      <c r="A205" s="1" t="s">
        <v>1175</v>
      </c>
      <c r="B205" s="7" t="s">
        <v>1176</v>
      </c>
      <c r="C205" s="2" t="s">
        <v>4112</v>
      </c>
      <c r="E205" s="27"/>
      <c r="F205" s="27"/>
      <c r="G205" s="27"/>
      <c r="H205" s="29"/>
      <c r="I205" s="12"/>
      <c r="J205" s="12"/>
      <c r="K205" s="12"/>
      <c r="L205" s="12"/>
      <c r="M205" s="18" t="str">
        <f t="shared" si="1"/>
        <v>#DIV/0!</v>
      </c>
      <c r="N205" s="18" t="str">
        <f t="shared" si="2"/>
        <v>#DIV/0!</v>
      </c>
      <c r="O205" s="12" t="str">
        <f t="shared" si="4"/>
        <v/>
      </c>
      <c r="P205" s="18" t="str">
        <f t="shared" si="3"/>
        <v>#DIV/0!</v>
      </c>
      <c r="Q205" s="12"/>
    </row>
    <row r="206">
      <c r="A206" s="1" t="s">
        <v>1179</v>
      </c>
      <c r="B206" s="7" t="s">
        <v>1180</v>
      </c>
      <c r="C206" s="2" t="s">
        <v>4113</v>
      </c>
      <c r="D206" s="1" t="s">
        <v>4114</v>
      </c>
      <c r="E206" s="27"/>
      <c r="F206" s="27"/>
      <c r="G206" s="27"/>
      <c r="H206" s="29"/>
      <c r="I206" s="12"/>
      <c r="J206" s="12"/>
      <c r="K206" s="12"/>
      <c r="L206" s="12"/>
      <c r="M206" s="18" t="str">
        <f t="shared" si="1"/>
        <v>#DIV/0!</v>
      </c>
      <c r="N206" s="18" t="str">
        <f t="shared" si="2"/>
        <v>#DIV/0!</v>
      </c>
      <c r="O206" s="12" t="str">
        <f t="shared" si="4"/>
        <v/>
      </c>
      <c r="P206" s="18" t="str">
        <f t="shared" si="3"/>
        <v>#DIV/0!</v>
      </c>
      <c r="Q206" s="12"/>
    </row>
    <row r="207">
      <c r="A207" s="1" t="s">
        <v>1183</v>
      </c>
      <c r="B207" s="7" t="s">
        <v>1184</v>
      </c>
      <c r="C207" s="2" t="s">
        <v>3830</v>
      </c>
      <c r="D207" s="7" t="s">
        <v>3831</v>
      </c>
      <c r="E207" s="27"/>
      <c r="F207" s="30"/>
      <c r="G207" s="30"/>
      <c r="H207" s="29"/>
      <c r="I207" s="12"/>
      <c r="J207" s="12"/>
      <c r="K207" s="12"/>
      <c r="L207" s="12"/>
      <c r="M207" s="18" t="str">
        <f t="shared" si="1"/>
        <v>#DIV/0!</v>
      </c>
      <c r="N207" s="18" t="str">
        <f t="shared" si="2"/>
        <v>#DIV/0!</v>
      </c>
      <c r="O207" s="12" t="str">
        <f t="shared" si="4"/>
        <v/>
      </c>
      <c r="P207" s="18" t="str">
        <f t="shared" si="3"/>
        <v>#DIV/0!</v>
      </c>
      <c r="Q207" s="12"/>
    </row>
    <row r="208">
      <c r="A208" s="1" t="s">
        <v>1187</v>
      </c>
      <c r="B208" s="7" t="s">
        <v>1188</v>
      </c>
      <c r="C208" s="2" t="s">
        <v>4021</v>
      </c>
      <c r="D208" s="7" t="s">
        <v>4022</v>
      </c>
      <c r="E208" s="31"/>
      <c r="F208" s="31"/>
      <c r="G208" s="31"/>
      <c r="H208" s="29"/>
      <c r="I208" s="12"/>
      <c r="J208" s="12"/>
      <c r="K208" s="12"/>
      <c r="L208" s="12"/>
      <c r="M208" s="18" t="str">
        <f t="shared" si="1"/>
        <v>#DIV/0!</v>
      </c>
      <c r="N208" s="18" t="str">
        <f t="shared" si="2"/>
        <v>#DIV/0!</v>
      </c>
      <c r="O208" s="12" t="str">
        <f t="shared" si="4"/>
        <v/>
      </c>
      <c r="P208" s="18" t="str">
        <f t="shared" si="3"/>
        <v>#DIV/0!</v>
      </c>
      <c r="Q208" s="12"/>
    </row>
    <row r="209">
      <c r="A209" s="1" t="s">
        <v>1202</v>
      </c>
      <c r="B209" s="7" t="s">
        <v>1203</v>
      </c>
      <c r="C209" s="2" t="s">
        <v>4115</v>
      </c>
      <c r="E209" s="27"/>
      <c r="F209" s="30"/>
      <c r="G209" s="30"/>
      <c r="H209" s="29"/>
      <c r="I209" s="12"/>
      <c r="J209" s="12"/>
      <c r="K209" s="12"/>
      <c r="L209" s="12"/>
      <c r="M209" s="18" t="str">
        <f t="shared" si="1"/>
        <v>#DIV/0!</v>
      </c>
      <c r="N209" s="18" t="str">
        <f t="shared" si="2"/>
        <v>#DIV/0!</v>
      </c>
      <c r="O209" s="12" t="str">
        <f t="shared" si="4"/>
        <v/>
      </c>
      <c r="P209" s="18" t="str">
        <f t="shared" si="3"/>
        <v>#DIV/0!</v>
      </c>
      <c r="Q209" s="12"/>
    </row>
    <row r="210">
      <c r="A210" s="1" t="s">
        <v>1208</v>
      </c>
      <c r="B210" s="7" t="s">
        <v>1209</v>
      </c>
      <c r="C210" s="2" t="s">
        <v>4116</v>
      </c>
      <c r="D210" s="1" t="s">
        <v>4117</v>
      </c>
      <c r="E210" s="27"/>
      <c r="F210" s="27"/>
      <c r="G210" s="27"/>
      <c r="H210" s="29"/>
      <c r="I210" s="12"/>
      <c r="J210" s="12"/>
      <c r="K210" s="12"/>
      <c r="L210" s="12"/>
      <c r="M210" s="18" t="str">
        <f t="shared" si="1"/>
        <v>#DIV/0!</v>
      </c>
      <c r="N210" s="18" t="str">
        <f t="shared" si="2"/>
        <v>#DIV/0!</v>
      </c>
      <c r="O210" s="12" t="str">
        <f t="shared" si="4"/>
        <v/>
      </c>
      <c r="P210" s="18" t="str">
        <f t="shared" si="3"/>
        <v>#DIV/0!</v>
      </c>
      <c r="Q210" s="12"/>
    </row>
    <row r="211">
      <c r="A211" s="1" t="s">
        <v>1216</v>
      </c>
      <c r="B211" s="7" t="s">
        <v>1217</v>
      </c>
      <c r="C211" s="2" t="s">
        <v>4118</v>
      </c>
      <c r="D211" s="1" t="s">
        <v>4119</v>
      </c>
      <c r="E211" s="27"/>
      <c r="F211" s="30"/>
      <c r="G211" s="30"/>
      <c r="H211" s="29"/>
      <c r="I211" s="12"/>
      <c r="J211" s="12"/>
      <c r="K211" s="12"/>
      <c r="L211" s="12"/>
      <c r="M211" s="18" t="str">
        <f t="shared" si="1"/>
        <v>#DIV/0!</v>
      </c>
      <c r="N211" s="18" t="str">
        <f t="shared" si="2"/>
        <v>#DIV/0!</v>
      </c>
      <c r="O211" s="12" t="str">
        <f t="shared" si="4"/>
        <v/>
      </c>
      <c r="P211" s="18" t="str">
        <f t="shared" si="3"/>
        <v>#DIV/0!</v>
      </c>
      <c r="Q211" s="12"/>
    </row>
    <row r="212">
      <c r="A212" s="1" t="s">
        <v>1218</v>
      </c>
      <c r="B212" s="7" t="s">
        <v>1219</v>
      </c>
      <c r="C212" s="2" t="s">
        <v>4074</v>
      </c>
      <c r="D212" s="7" t="s">
        <v>4075</v>
      </c>
      <c r="E212" s="27"/>
      <c r="F212" s="27"/>
      <c r="G212" s="27"/>
      <c r="H212" s="29"/>
      <c r="I212" s="12"/>
      <c r="J212" s="12"/>
      <c r="K212" s="12"/>
      <c r="L212" s="12"/>
      <c r="M212" s="18" t="str">
        <f t="shared" si="1"/>
        <v>#DIV/0!</v>
      </c>
      <c r="N212" s="18" t="str">
        <f t="shared" si="2"/>
        <v>#DIV/0!</v>
      </c>
      <c r="O212" s="12" t="str">
        <f t="shared" si="4"/>
        <v/>
      </c>
      <c r="P212" s="18" t="str">
        <f t="shared" si="3"/>
        <v>#DIV/0!</v>
      </c>
      <c r="Q212" s="12"/>
    </row>
    <row r="213">
      <c r="A213" s="1" t="s">
        <v>1228</v>
      </c>
      <c r="B213" s="7" t="s">
        <v>1229</v>
      </c>
      <c r="C213" s="2" t="s">
        <v>4002</v>
      </c>
      <c r="D213" s="7" t="s">
        <v>4003</v>
      </c>
      <c r="E213" s="27"/>
      <c r="F213" s="27"/>
      <c r="G213" s="27"/>
      <c r="H213" s="29"/>
      <c r="I213" s="12"/>
      <c r="J213" s="12"/>
      <c r="K213" s="12"/>
      <c r="L213" s="12"/>
      <c r="M213" s="18" t="str">
        <f t="shared" si="1"/>
        <v>#DIV/0!</v>
      </c>
      <c r="N213" s="18" t="str">
        <f t="shared" si="2"/>
        <v>#DIV/0!</v>
      </c>
      <c r="O213" s="12" t="str">
        <f t="shared" si="4"/>
        <v/>
      </c>
      <c r="P213" s="18" t="str">
        <f t="shared" si="3"/>
        <v>#DIV/0!</v>
      </c>
      <c r="Q213" s="12"/>
    </row>
    <row r="214">
      <c r="A214" s="1" t="s">
        <v>1232</v>
      </c>
      <c r="B214" s="7" t="s">
        <v>1233</v>
      </c>
      <c r="C214" s="2" t="s">
        <v>4120</v>
      </c>
      <c r="D214" s="7" t="s">
        <v>4121</v>
      </c>
      <c r="E214" s="27"/>
      <c r="F214" s="30"/>
      <c r="G214" s="30"/>
      <c r="H214" s="29"/>
      <c r="I214" s="12"/>
      <c r="J214" s="12"/>
      <c r="K214" s="12"/>
      <c r="L214" s="12"/>
      <c r="M214" s="18" t="str">
        <f t="shared" si="1"/>
        <v>#DIV/0!</v>
      </c>
      <c r="N214" s="18" t="str">
        <f t="shared" si="2"/>
        <v>#DIV/0!</v>
      </c>
      <c r="O214" s="12" t="str">
        <f t="shared" si="4"/>
        <v/>
      </c>
      <c r="P214" s="18" t="str">
        <f t="shared" si="3"/>
        <v>#DIV/0!</v>
      </c>
      <c r="Q214" s="12"/>
    </row>
    <row r="215">
      <c r="A215" s="1" t="s">
        <v>1236</v>
      </c>
      <c r="B215" s="7" t="s">
        <v>1237</v>
      </c>
      <c r="C215" s="2" t="s">
        <v>4122</v>
      </c>
      <c r="D215" s="1" t="s">
        <v>4123</v>
      </c>
      <c r="E215" s="27"/>
      <c r="F215" s="30"/>
      <c r="G215" s="30"/>
      <c r="H215" s="29"/>
      <c r="I215" s="12"/>
      <c r="J215" s="12"/>
      <c r="K215" s="12"/>
      <c r="L215" s="12"/>
      <c r="M215" s="18" t="str">
        <f t="shared" si="1"/>
        <v>#DIV/0!</v>
      </c>
      <c r="N215" s="18" t="str">
        <f t="shared" si="2"/>
        <v>#DIV/0!</v>
      </c>
      <c r="O215" s="12" t="str">
        <f t="shared" si="4"/>
        <v/>
      </c>
      <c r="P215" s="18" t="str">
        <f t="shared" si="3"/>
        <v>#DIV/0!</v>
      </c>
      <c r="Q215" s="12"/>
    </row>
    <row r="216">
      <c r="A216" s="1" t="s">
        <v>1240</v>
      </c>
      <c r="B216" s="7" t="s">
        <v>1241</v>
      </c>
      <c r="C216" s="2" t="s">
        <v>4124</v>
      </c>
      <c r="D216" s="1" t="s">
        <v>4125</v>
      </c>
      <c r="E216" s="27"/>
      <c r="F216" s="30"/>
      <c r="G216" s="30"/>
      <c r="H216" s="29"/>
      <c r="I216" s="12"/>
      <c r="J216" s="12"/>
      <c r="K216" s="12"/>
      <c r="L216" s="12"/>
      <c r="M216" s="18" t="str">
        <f t="shared" si="1"/>
        <v>#DIV/0!</v>
      </c>
      <c r="N216" s="18" t="str">
        <f t="shared" si="2"/>
        <v>#DIV/0!</v>
      </c>
      <c r="O216" s="12" t="str">
        <f t="shared" si="4"/>
        <v/>
      </c>
      <c r="P216" s="18" t="str">
        <f t="shared" si="3"/>
        <v>#DIV/0!</v>
      </c>
      <c r="Q216" s="12"/>
    </row>
    <row r="217">
      <c r="A217" s="1" t="s">
        <v>1248</v>
      </c>
      <c r="B217" s="7" t="s">
        <v>1249</v>
      </c>
      <c r="C217" s="2" t="s">
        <v>4126</v>
      </c>
      <c r="D217" s="7" t="s">
        <v>4127</v>
      </c>
      <c r="E217" s="27"/>
      <c r="F217" s="27"/>
      <c r="G217" s="27"/>
      <c r="H217" s="29"/>
      <c r="I217" s="12"/>
      <c r="J217" s="12"/>
      <c r="K217" s="12"/>
      <c r="L217" s="12"/>
      <c r="M217" s="18" t="str">
        <f t="shared" si="1"/>
        <v>#DIV/0!</v>
      </c>
      <c r="N217" s="18" t="str">
        <f t="shared" si="2"/>
        <v>#DIV/0!</v>
      </c>
      <c r="O217" s="12" t="str">
        <f t="shared" si="4"/>
        <v/>
      </c>
      <c r="P217" s="18" t="str">
        <f t="shared" si="3"/>
        <v>#DIV/0!</v>
      </c>
      <c r="Q217" s="12"/>
    </row>
    <row r="218">
      <c r="A218" s="1" t="s">
        <v>1260</v>
      </c>
      <c r="B218" s="7" t="s">
        <v>1261</v>
      </c>
      <c r="C218" s="2" t="s">
        <v>4128</v>
      </c>
      <c r="D218" s="7" t="s">
        <v>4129</v>
      </c>
      <c r="E218" s="27"/>
      <c r="F218" s="27"/>
      <c r="G218" s="27"/>
      <c r="H218" s="29"/>
      <c r="I218" s="12"/>
      <c r="J218" s="12"/>
      <c r="K218" s="12"/>
      <c r="L218" s="12"/>
      <c r="M218" s="18" t="str">
        <f t="shared" si="1"/>
        <v>#DIV/0!</v>
      </c>
      <c r="N218" s="18" t="str">
        <f t="shared" si="2"/>
        <v>#DIV/0!</v>
      </c>
      <c r="O218" s="12" t="str">
        <f t="shared" si="4"/>
        <v/>
      </c>
      <c r="P218" s="18" t="str">
        <f t="shared" si="3"/>
        <v>#DIV/0!</v>
      </c>
      <c r="Q218" s="12"/>
    </row>
    <row r="219">
      <c r="A219" s="1" t="s">
        <v>1268</v>
      </c>
      <c r="B219" s="7" t="s">
        <v>1269</v>
      </c>
      <c r="C219" s="2" t="s">
        <v>4130</v>
      </c>
      <c r="D219" s="1" t="s">
        <v>4131</v>
      </c>
      <c r="E219" s="27"/>
      <c r="F219" s="30"/>
      <c r="G219" s="30"/>
      <c r="H219" s="29"/>
      <c r="I219" s="12"/>
      <c r="J219" s="12"/>
      <c r="K219" s="12"/>
      <c r="L219" s="12"/>
      <c r="M219" s="18" t="str">
        <f t="shared" si="1"/>
        <v>#DIV/0!</v>
      </c>
      <c r="N219" s="18" t="str">
        <f t="shared" si="2"/>
        <v>#DIV/0!</v>
      </c>
      <c r="O219" s="12" t="str">
        <f t="shared" si="4"/>
        <v/>
      </c>
      <c r="P219" s="18" t="str">
        <f t="shared" si="3"/>
        <v>#DIV/0!</v>
      </c>
      <c r="Q219" s="12"/>
    </row>
    <row r="220">
      <c r="A220" s="1" t="s">
        <v>1272</v>
      </c>
      <c r="B220" s="7" t="s">
        <v>1273</v>
      </c>
      <c r="C220" s="2" t="s">
        <v>4132</v>
      </c>
      <c r="D220" s="1" t="s">
        <v>4133</v>
      </c>
      <c r="E220" s="31"/>
      <c r="F220" s="30"/>
      <c r="G220" s="30"/>
      <c r="H220" s="29"/>
      <c r="I220" s="12"/>
      <c r="J220" s="12"/>
      <c r="K220" s="12"/>
      <c r="L220" s="12"/>
      <c r="M220" s="18" t="str">
        <f t="shared" si="1"/>
        <v>#DIV/0!</v>
      </c>
      <c r="N220" s="18" t="str">
        <f t="shared" si="2"/>
        <v>#DIV/0!</v>
      </c>
      <c r="O220" s="12" t="str">
        <f t="shared" si="4"/>
        <v/>
      </c>
      <c r="P220" s="18" t="str">
        <f t="shared" si="3"/>
        <v>#DIV/0!</v>
      </c>
      <c r="Q220" s="12"/>
    </row>
    <row r="221">
      <c r="A221" s="1" t="s">
        <v>1276</v>
      </c>
      <c r="B221" s="7" t="s">
        <v>1277</v>
      </c>
      <c r="C221" s="2" t="s">
        <v>3982</v>
      </c>
      <c r="D221" s="7" t="s">
        <v>3983</v>
      </c>
      <c r="E221" s="27"/>
      <c r="F221" s="30"/>
      <c r="G221" s="30"/>
      <c r="H221" s="29"/>
      <c r="I221" s="12"/>
      <c r="J221" s="12"/>
      <c r="K221" s="12"/>
      <c r="L221" s="12"/>
      <c r="M221" s="18" t="str">
        <f t="shared" si="1"/>
        <v>#DIV/0!</v>
      </c>
      <c r="N221" s="18" t="str">
        <f t="shared" si="2"/>
        <v>#DIV/0!</v>
      </c>
      <c r="O221" s="12" t="str">
        <f t="shared" si="4"/>
        <v/>
      </c>
      <c r="P221" s="18" t="str">
        <f t="shared" si="3"/>
        <v>#DIV/0!</v>
      </c>
      <c r="Q221" s="12"/>
    </row>
    <row r="222">
      <c r="A222" s="1" t="s">
        <v>1280</v>
      </c>
      <c r="B222" s="7" t="s">
        <v>1281</v>
      </c>
      <c r="C222" s="2" t="s">
        <v>4049</v>
      </c>
      <c r="D222" s="1" t="s">
        <v>3981</v>
      </c>
      <c r="E222" s="27"/>
      <c r="F222" s="30"/>
      <c r="G222" s="30"/>
      <c r="H222" s="29"/>
      <c r="I222" s="12"/>
      <c r="J222" s="12"/>
      <c r="K222" s="12"/>
      <c r="L222" s="12"/>
      <c r="M222" s="18" t="str">
        <f t="shared" si="1"/>
        <v>#DIV/0!</v>
      </c>
      <c r="N222" s="18" t="str">
        <f t="shared" si="2"/>
        <v>#DIV/0!</v>
      </c>
      <c r="O222" s="12" t="str">
        <f t="shared" si="4"/>
        <v/>
      </c>
      <c r="P222" s="18" t="str">
        <f t="shared" si="3"/>
        <v>#DIV/0!</v>
      </c>
      <c r="Q222" s="12"/>
    </row>
    <row r="223">
      <c r="A223" s="1" t="s">
        <v>1284</v>
      </c>
      <c r="B223" s="7" t="s">
        <v>1285</v>
      </c>
      <c r="C223" s="2" t="s">
        <v>4134</v>
      </c>
      <c r="D223" s="1" t="s">
        <v>4135</v>
      </c>
      <c r="E223" s="27"/>
      <c r="F223" s="30"/>
      <c r="G223" s="30"/>
      <c r="H223" s="29"/>
      <c r="I223" s="12"/>
      <c r="J223" s="12"/>
      <c r="K223" s="12"/>
      <c r="L223" s="12"/>
      <c r="M223" s="18" t="str">
        <f t="shared" si="1"/>
        <v>#DIV/0!</v>
      </c>
      <c r="N223" s="18" t="str">
        <f t="shared" si="2"/>
        <v>#DIV/0!</v>
      </c>
      <c r="O223" s="12" t="str">
        <f t="shared" si="4"/>
        <v/>
      </c>
      <c r="P223" s="18" t="str">
        <f t="shared" si="3"/>
        <v>#DIV/0!</v>
      </c>
      <c r="Q223" s="12"/>
    </row>
    <row r="224">
      <c r="A224" s="1" t="s">
        <v>1298</v>
      </c>
      <c r="B224" s="7" t="s">
        <v>1299</v>
      </c>
      <c r="C224" s="2" t="s">
        <v>4136</v>
      </c>
      <c r="D224" s="1" t="s">
        <v>4137</v>
      </c>
      <c r="E224" s="31"/>
      <c r="F224" s="30"/>
      <c r="G224" s="30"/>
      <c r="H224" s="29"/>
      <c r="I224" s="12"/>
      <c r="J224" s="12"/>
      <c r="K224" s="12"/>
      <c r="L224" s="12"/>
      <c r="M224" s="18" t="str">
        <f t="shared" si="1"/>
        <v>#DIV/0!</v>
      </c>
      <c r="N224" s="18" t="str">
        <f t="shared" si="2"/>
        <v>#DIV/0!</v>
      </c>
      <c r="O224" s="12" t="str">
        <f t="shared" si="4"/>
        <v/>
      </c>
      <c r="P224" s="18" t="str">
        <f t="shared" si="3"/>
        <v>#DIV/0!</v>
      </c>
      <c r="Q224" s="12"/>
    </row>
    <row r="225">
      <c r="A225" s="1" t="s">
        <v>1306</v>
      </c>
      <c r="B225" s="7" t="s">
        <v>1307</v>
      </c>
      <c r="C225" s="2" t="s">
        <v>3978</v>
      </c>
      <c r="D225" s="7" t="s">
        <v>3979</v>
      </c>
      <c r="E225" s="27"/>
      <c r="F225" s="30"/>
      <c r="G225" s="30"/>
      <c r="H225" s="29"/>
      <c r="I225" s="12"/>
      <c r="J225" s="12"/>
      <c r="K225" s="12"/>
      <c r="L225" s="12"/>
      <c r="M225" s="18" t="str">
        <f t="shared" si="1"/>
        <v>#DIV/0!</v>
      </c>
      <c r="N225" s="18" t="str">
        <f t="shared" si="2"/>
        <v>#DIV/0!</v>
      </c>
      <c r="O225" s="12" t="str">
        <f t="shared" si="4"/>
        <v/>
      </c>
      <c r="P225" s="18" t="str">
        <f t="shared" si="3"/>
        <v>#DIV/0!</v>
      </c>
      <c r="Q225" s="12"/>
    </row>
    <row r="226">
      <c r="A226" s="1" t="s">
        <v>1309</v>
      </c>
      <c r="B226" s="7" t="s">
        <v>1310</v>
      </c>
      <c r="C226" s="2" t="s">
        <v>4138</v>
      </c>
      <c r="D226" s="1" t="s">
        <v>4139</v>
      </c>
      <c r="E226" s="27"/>
      <c r="F226" s="30"/>
      <c r="G226" s="30"/>
      <c r="H226" s="29"/>
      <c r="I226" s="12"/>
      <c r="J226" s="12"/>
      <c r="K226" s="12"/>
      <c r="L226" s="12"/>
      <c r="M226" s="18" t="str">
        <f t="shared" si="1"/>
        <v>#DIV/0!</v>
      </c>
      <c r="N226" s="18" t="str">
        <f t="shared" si="2"/>
        <v>#DIV/0!</v>
      </c>
      <c r="O226" s="12" t="str">
        <f t="shared" si="4"/>
        <v/>
      </c>
      <c r="P226" s="18" t="str">
        <f t="shared" si="3"/>
        <v>#DIV/0!</v>
      </c>
      <c r="Q226" s="12"/>
    </row>
    <row r="227">
      <c r="A227" s="1" t="s">
        <v>1316</v>
      </c>
      <c r="B227" s="7" t="s">
        <v>1317</v>
      </c>
      <c r="C227" s="2" t="s">
        <v>4140</v>
      </c>
      <c r="D227" s="1" t="s">
        <v>4141</v>
      </c>
      <c r="E227" s="27"/>
      <c r="F227" s="27"/>
      <c r="G227" s="27"/>
      <c r="H227" s="29"/>
      <c r="I227" s="12"/>
      <c r="J227" s="12"/>
      <c r="K227" s="12"/>
      <c r="L227" s="12"/>
      <c r="M227" s="18" t="str">
        <f t="shared" si="1"/>
        <v>#DIV/0!</v>
      </c>
      <c r="N227" s="18" t="str">
        <f t="shared" si="2"/>
        <v>#DIV/0!</v>
      </c>
      <c r="O227" s="12" t="str">
        <f t="shared" si="4"/>
        <v/>
      </c>
      <c r="P227" s="18" t="str">
        <f t="shared" si="3"/>
        <v>#DIV/0!</v>
      </c>
      <c r="Q227" s="12"/>
    </row>
    <row r="228">
      <c r="A228" s="1" t="s">
        <v>1324</v>
      </c>
      <c r="B228" s="7" t="s">
        <v>1325</v>
      </c>
      <c r="C228" s="2" t="s">
        <v>4142</v>
      </c>
      <c r="D228" s="1" t="s">
        <v>4143</v>
      </c>
      <c r="E228" s="27"/>
      <c r="F228" s="30"/>
      <c r="G228" s="30"/>
      <c r="H228" s="29"/>
      <c r="I228" s="12"/>
      <c r="J228" s="12"/>
      <c r="K228" s="12"/>
      <c r="L228" s="12"/>
      <c r="M228" s="18" t="str">
        <f t="shared" si="1"/>
        <v>#DIV/0!</v>
      </c>
      <c r="N228" s="18" t="str">
        <f t="shared" si="2"/>
        <v>#DIV/0!</v>
      </c>
      <c r="O228" s="12" t="str">
        <f t="shared" si="4"/>
        <v/>
      </c>
      <c r="P228" s="18" t="str">
        <f t="shared" si="3"/>
        <v>#DIV/0!</v>
      </c>
      <c r="Q228" s="12"/>
    </row>
    <row r="229">
      <c r="A229" s="1" t="s">
        <v>1327</v>
      </c>
      <c r="B229" s="7" t="s">
        <v>1328</v>
      </c>
      <c r="C229" s="2" t="s">
        <v>4144</v>
      </c>
      <c r="D229" s="1" t="s">
        <v>4145</v>
      </c>
      <c r="E229" s="27"/>
      <c r="F229" s="27"/>
      <c r="G229" s="27"/>
      <c r="H229" s="29"/>
      <c r="I229" s="12"/>
      <c r="J229" s="12"/>
      <c r="K229" s="12"/>
      <c r="L229" s="12"/>
      <c r="M229" s="18" t="str">
        <f t="shared" si="1"/>
        <v>#DIV/0!</v>
      </c>
      <c r="N229" s="18" t="str">
        <f t="shared" si="2"/>
        <v>#DIV/0!</v>
      </c>
      <c r="O229" s="12" t="str">
        <f t="shared" si="4"/>
        <v/>
      </c>
      <c r="P229" s="18" t="str">
        <f t="shared" si="3"/>
        <v>#DIV/0!</v>
      </c>
      <c r="Q229" s="12"/>
    </row>
    <row r="230">
      <c r="A230" s="1" t="s">
        <v>1335</v>
      </c>
      <c r="B230" s="7" t="s">
        <v>1336</v>
      </c>
      <c r="C230" s="2" t="s">
        <v>4146</v>
      </c>
      <c r="D230" s="1" t="s">
        <v>4147</v>
      </c>
      <c r="E230" s="27"/>
      <c r="F230" s="27"/>
      <c r="G230" s="27"/>
      <c r="H230" s="29"/>
      <c r="I230" s="12"/>
      <c r="J230" s="12"/>
      <c r="K230" s="12"/>
      <c r="L230" s="12"/>
      <c r="M230" s="18" t="str">
        <f t="shared" si="1"/>
        <v>#DIV/0!</v>
      </c>
      <c r="N230" s="18" t="str">
        <f t="shared" si="2"/>
        <v>#DIV/0!</v>
      </c>
      <c r="O230" s="12" t="str">
        <f t="shared" si="4"/>
        <v/>
      </c>
      <c r="P230" s="18" t="str">
        <f t="shared" si="3"/>
        <v>#DIV/0!</v>
      </c>
      <c r="Q230" s="12"/>
    </row>
    <row r="231">
      <c r="A231" s="1" t="s">
        <v>1339</v>
      </c>
      <c r="B231" s="7" t="s">
        <v>1340</v>
      </c>
      <c r="C231" s="2" t="s">
        <v>4148</v>
      </c>
      <c r="D231" s="7" t="s">
        <v>4149</v>
      </c>
      <c r="E231" s="27"/>
      <c r="F231" s="30"/>
      <c r="G231" s="30"/>
      <c r="H231" s="29"/>
      <c r="I231" s="12"/>
      <c r="J231" s="12"/>
      <c r="K231" s="12"/>
      <c r="L231" s="12"/>
      <c r="M231" s="18" t="str">
        <f t="shared" si="1"/>
        <v>#DIV/0!</v>
      </c>
      <c r="N231" s="18" t="str">
        <f t="shared" si="2"/>
        <v>#DIV/0!</v>
      </c>
      <c r="O231" s="12" t="str">
        <f t="shared" si="4"/>
        <v/>
      </c>
      <c r="P231" s="18" t="str">
        <f t="shared" si="3"/>
        <v>#DIV/0!</v>
      </c>
      <c r="Q231" s="12"/>
    </row>
    <row r="232">
      <c r="A232" s="1" t="s">
        <v>1343</v>
      </c>
      <c r="B232" s="7" t="s">
        <v>1344</v>
      </c>
      <c r="C232" s="2" t="s">
        <v>3838</v>
      </c>
      <c r="D232" s="7" t="s">
        <v>3839</v>
      </c>
      <c r="E232" s="27"/>
      <c r="F232" s="27"/>
      <c r="G232" s="27"/>
      <c r="H232" s="29"/>
      <c r="I232" s="12"/>
      <c r="J232" s="12"/>
      <c r="K232" s="12"/>
      <c r="L232" s="12"/>
      <c r="M232" s="18" t="str">
        <f t="shared" si="1"/>
        <v>#DIV/0!</v>
      </c>
      <c r="N232" s="18" t="str">
        <f t="shared" si="2"/>
        <v>#DIV/0!</v>
      </c>
      <c r="O232" s="12" t="str">
        <f t="shared" si="4"/>
        <v/>
      </c>
      <c r="P232" s="18" t="str">
        <f t="shared" si="3"/>
        <v>#DIV/0!</v>
      </c>
      <c r="Q232" s="12"/>
    </row>
    <row r="233">
      <c r="A233" s="1" t="s">
        <v>1345</v>
      </c>
      <c r="B233" s="7" t="s">
        <v>1346</v>
      </c>
      <c r="C233" s="2" t="s">
        <v>4150</v>
      </c>
      <c r="D233" s="1" t="s">
        <v>4151</v>
      </c>
      <c r="E233" s="27"/>
      <c r="F233" s="27"/>
      <c r="G233" s="27"/>
      <c r="H233" s="29"/>
      <c r="I233" s="12"/>
      <c r="J233" s="12"/>
      <c r="K233" s="12"/>
      <c r="L233" s="12"/>
      <c r="M233" s="18" t="str">
        <f t="shared" si="1"/>
        <v>#DIV/0!</v>
      </c>
      <c r="N233" s="18" t="str">
        <f t="shared" si="2"/>
        <v>#DIV/0!</v>
      </c>
      <c r="O233" s="12" t="str">
        <f t="shared" si="4"/>
        <v/>
      </c>
      <c r="P233" s="18" t="str">
        <f t="shared" si="3"/>
        <v>#DIV/0!</v>
      </c>
      <c r="Q233" s="12"/>
    </row>
    <row r="234">
      <c r="A234" s="1" t="s">
        <v>1357</v>
      </c>
      <c r="B234" s="7" t="s">
        <v>1358</v>
      </c>
      <c r="C234" s="2" t="s">
        <v>4152</v>
      </c>
      <c r="D234" s="1" t="s">
        <v>4153</v>
      </c>
      <c r="E234" s="27"/>
      <c r="F234" s="30"/>
      <c r="G234" s="30"/>
      <c r="H234" s="29"/>
      <c r="I234" s="12"/>
      <c r="J234" s="12"/>
      <c r="K234" s="12"/>
      <c r="L234" s="12"/>
      <c r="M234" s="18" t="str">
        <f t="shared" si="1"/>
        <v>#DIV/0!</v>
      </c>
      <c r="N234" s="18" t="str">
        <f t="shared" si="2"/>
        <v>#DIV/0!</v>
      </c>
      <c r="O234" s="12" t="str">
        <f t="shared" si="4"/>
        <v/>
      </c>
      <c r="P234" s="18" t="str">
        <f t="shared" si="3"/>
        <v>#DIV/0!</v>
      </c>
      <c r="Q234" s="12"/>
    </row>
    <row r="235">
      <c r="A235" s="1" t="s">
        <v>1361</v>
      </c>
      <c r="B235" s="7" t="s">
        <v>1362</v>
      </c>
      <c r="C235" s="2" t="s">
        <v>4154</v>
      </c>
      <c r="D235" s="1" t="s">
        <v>4155</v>
      </c>
      <c r="E235" s="27"/>
      <c r="F235" s="27"/>
      <c r="G235" s="27"/>
      <c r="H235" s="29"/>
      <c r="I235" s="12"/>
      <c r="J235" s="12"/>
      <c r="K235" s="12"/>
      <c r="L235" s="12"/>
      <c r="M235" s="18" t="str">
        <f t="shared" si="1"/>
        <v>#DIV/0!</v>
      </c>
      <c r="N235" s="18" t="str">
        <f t="shared" si="2"/>
        <v>#DIV/0!</v>
      </c>
      <c r="O235" s="12" t="str">
        <f t="shared" si="4"/>
        <v/>
      </c>
      <c r="P235" s="18" t="str">
        <f t="shared" si="3"/>
        <v>#DIV/0!</v>
      </c>
      <c r="Q235" s="12"/>
    </row>
    <row r="236">
      <c r="A236" s="1" t="s">
        <v>1365</v>
      </c>
      <c r="B236" s="7" t="s">
        <v>1366</v>
      </c>
      <c r="C236" s="2" t="s">
        <v>3838</v>
      </c>
      <c r="D236" s="7" t="s">
        <v>3839</v>
      </c>
      <c r="E236" s="27"/>
      <c r="F236" s="27"/>
      <c r="G236" s="27"/>
      <c r="H236" s="29"/>
      <c r="I236" s="12"/>
      <c r="J236" s="12"/>
      <c r="K236" s="12"/>
      <c r="L236" s="12"/>
      <c r="M236" s="18" t="str">
        <f t="shared" si="1"/>
        <v>#DIV/0!</v>
      </c>
      <c r="N236" s="18" t="str">
        <f t="shared" si="2"/>
        <v>#DIV/0!</v>
      </c>
      <c r="O236" s="12" t="str">
        <f t="shared" si="4"/>
        <v/>
      </c>
      <c r="P236" s="18" t="str">
        <f t="shared" si="3"/>
        <v>#DIV/0!</v>
      </c>
      <c r="Q236" s="12"/>
    </row>
    <row r="237">
      <c r="A237" s="1" t="s">
        <v>1368</v>
      </c>
      <c r="B237" s="7" t="s">
        <v>1369</v>
      </c>
      <c r="C237" s="2" t="s">
        <v>3887</v>
      </c>
      <c r="D237" s="7" t="s">
        <v>3888</v>
      </c>
      <c r="E237" s="27"/>
      <c r="F237" s="27"/>
      <c r="G237" s="27"/>
      <c r="H237" s="29"/>
      <c r="I237" s="12"/>
      <c r="J237" s="12"/>
      <c r="K237" s="12"/>
      <c r="L237" s="12"/>
      <c r="M237" s="18" t="str">
        <f t="shared" si="1"/>
        <v>#DIV/0!</v>
      </c>
      <c r="N237" s="18" t="str">
        <f t="shared" si="2"/>
        <v>#DIV/0!</v>
      </c>
      <c r="O237" s="12" t="str">
        <f t="shared" si="4"/>
        <v/>
      </c>
      <c r="P237" s="18" t="str">
        <f t="shared" si="3"/>
        <v>#DIV/0!</v>
      </c>
      <c r="Q237" s="12"/>
    </row>
    <row r="238">
      <c r="A238" s="1" t="s">
        <v>1372</v>
      </c>
      <c r="B238" s="7" t="s">
        <v>1373</v>
      </c>
      <c r="C238" s="2" t="s">
        <v>4156</v>
      </c>
      <c r="D238" s="1" t="s">
        <v>4157</v>
      </c>
      <c r="E238" s="27"/>
      <c r="F238" s="27"/>
      <c r="G238" s="27"/>
      <c r="H238" s="29"/>
      <c r="I238" s="12"/>
      <c r="J238" s="12"/>
      <c r="K238" s="12"/>
      <c r="L238" s="12"/>
      <c r="M238" s="18" t="str">
        <f t="shared" si="1"/>
        <v>#DIV/0!</v>
      </c>
      <c r="N238" s="18" t="str">
        <f t="shared" si="2"/>
        <v>#DIV/0!</v>
      </c>
      <c r="O238" s="12" t="str">
        <f t="shared" si="4"/>
        <v/>
      </c>
      <c r="P238" s="18" t="str">
        <f t="shared" si="3"/>
        <v>#DIV/0!</v>
      </c>
      <c r="Q238" s="12"/>
    </row>
    <row r="239">
      <c r="A239" s="1" t="s">
        <v>1376</v>
      </c>
      <c r="B239" s="7" t="s">
        <v>1377</v>
      </c>
      <c r="C239" s="2" t="s">
        <v>4158</v>
      </c>
      <c r="D239" s="1" t="s">
        <v>4159</v>
      </c>
      <c r="E239" s="27"/>
      <c r="F239" s="30"/>
      <c r="G239" s="30"/>
      <c r="H239" s="29"/>
      <c r="I239" s="12"/>
      <c r="J239" s="12"/>
      <c r="K239" s="12"/>
      <c r="L239" s="12"/>
      <c r="M239" s="18" t="str">
        <f t="shared" si="1"/>
        <v>#DIV/0!</v>
      </c>
      <c r="N239" s="18" t="str">
        <f t="shared" si="2"/>
        <v>#DIV/0!</v>
      </c>
      <c r="O239" s="12" t="str">
        <f t="shared" si="4"/>
        <v/>
      </c>
      <c r="P239" s="18" t="str">
        <f t="shared" si="3"/>
        <v>#DIV/0!</v>
      </c>
      <c r="Q239" s="12"/>
    </row>
    <row r="240">
      <c r="A240" s="1" t="s">
        <v>1380</v>
      </c>
      <c r="B240" s="7" t="s">
        <v>1381</v>
      </c>
      <c r="C240" s="2" t="s">
        <v>4160</v>
      </c>
      <c r="D240" s="7" t="s">
        <v>4161</v>
      </c>
      <c r="E240" s="27"/>
      <c r="F240" s="27"/>
      <c r="G240" s="27"/>
      <c r="H240" s="29"/>
      <c r="I240" s="12"/>
      <c r="J240" s="12"/>
      <c r="K240" s="12"/>
      <c r="L240" s="12"/>
      <c r="M240" s="18" t="str">
        <f t="shared" si="1"/>
        <v>#DIV/0!</v>
      </c>
      <c r="N240" s="18" t="str">
        <f t="shared" si="2"/>
        <v>#DIV/0!</v>
      </c>
      <c r="O240" s="12" t="str">
        <f t="shared" si="4"/>
        <v/>
      </c>
      <c r="P240" s="18" t="str">
        <f t="shared" si="3"/>
        <v>#DIV/0!</v>
      </c>
      <c r="Q240" s="12"/>
    </row>
    <row r="241">
      <c r="A241" s="1" t="s">
        <v>1388</v>
      </c>
      <c r="B241" s="7" t="s">
        <v>1389</v>
      </c>
      <c r="C241" s="2" t="s">
        <v>4162</v>
      </c>
      <c r="D241" s="1" t="s">
        <v>4163</v>
      </c>
      <c r="E241" s="27"/>
      <c r="F241" s="27"/>
      <c r="G241" s="27"/>
      <c r="H241" s="29"/>
      <c r="I241" s="12"/>
      <c r="J241" s="12"/>
      <c r="K241" s="12"/>
      <c r="L241" s="12"/>
      <c r="M241" s="18" t="str">
        <f t="shared" si="1"/>
        <v>#DIV/0!</v>
      </c>
      <c r="N241" s="18" t="str">
        <f t="shared" si="2"/>
        <v>#DIV/0!</v>
      </c>
      <c r="O241" s="12" t="str">
        <f t="shared" si="4"/>
        <v/>
      </c>
      <c r="P241" s="18" t="str">
        <f t="shared" si="3"/>
        <v>#DIV/0!</v>
      </c>
      <c r="Q241" s="12"/>
    </row>
    <row r="242">
      <c r="A242" s="1" t="s">
        <v>1392</v>
      </c>
      <c r="B242" s="7" t="s">
        <v>1393</v>
      </c>
      <c r="C242" s="2" t="s">
        <v>4164</v>
      </c>
      <c r="D242" s="7" t="s">
        <v>4165</v>
      </c>
      <c r="E242" s="27"/>
      <c r="F242" s="30"/>
      <c r="G242" s="30"/>
      <c r="H242" s="29"/>
      <c r="I242" s="12"/>
      <c r="J242" s="12"/>
      <c r="K242" s="12"/>
      <c r="L242" s="12"/>
      <c r="M242" s="18" t="str">
        <f t="shared" si="1"/>
        <v>#DIV/0!</v>
      </c>
      <c r="N242" s="18" t="str">
        <f t="shared" si="2"/>
        <v>#DIV/0!</v>
      </c>
      <c r="O242" s="12" t="str">
        <f t="shared" si="4"/>
        <v/>
      </c>
      <c r="P242" s="18" t="str">
        <f t="shared" si="3"/>
        <v>#DIV/0!</v>
      </c>
      <c r="Q242" s="12"/>
    </row>
    <row r="243">
      <c r="A243" s="1" t="s">
        <v>1396</v>
      </c>
      <c r="B243" s="7" t="s">
        <v>1397</v>
      </c>
      <c r="C243" s="2" t="s">
        <v>4166</v>
      </c>
      <c r="D243" s="1" t="s">
        <v>4167</v>
      </c>
      <c r="E243" s="27"/>
      <c r="F243" s="27"/>
      <c r="G243" s="27"/>
      <c r="H243" s="29"/>
      <c r="I243" s="12"/>
      <c r="J243" s="12"/>
      <c r="K243" s="12"/>
      <c r="L243" s="12"/>
      <c r="M243" s="18" t="str">
        <f t="shared" si="1"/>
        <v>#DIV/0!</v>
      </c>
      <c r="N243" s="18" t="str">
        <f t="shared" si="2"/>
        <v>#DIV/0!</v>
      </c>
      <c r="O243" s="12" t="str">
        <f t="shared" si="4"/>
        <v/>
      </c>
      <c r="P243" s="18" t="str">
        <f t="shared" si="3"/>
        <v>#DIV/0!</v>
      </c>
      <c r="Q243" s="12"/>
    </row>
    <row r="244">
      <c r="A244" s="1" t="s">
        <v>1404</v>
      </c>
      <c r="B244" s="7" t="s">
        <v>1405</v>
      </c>
      <c r="C244" s="2" t="s">
        <v>3982</v>
      </c>
      <c r="D244" s="7" t="s">
        <v>3983</v>
      </c>
      <c r="E244" s="27"/>
      <c r="F244" s="27"/>
      <c r="G244" s="27"/>
      <c r="H244" s="29"/>
      <c r="I244" s="12"/>
      <c r="J244" s="12"/>
      <c r="K244" s="12"/>
      <c r="L244" s="12"/>
      <c r="M244" s="18" t="str">
        <f t="shared" si="1"/>
        <v>#DIV/0!</v>
      </c>
      <c r="N244" s="18" t="str">
        <f t="shared" si="2"/>
        <v>#DIV/0!</v>
      </c>
      <c r="O244" s="12" t="str">
        <f t="shared" si="4"/>
        <v/>
      </c>
      <c r="P244" s="18" t="str">
        <f t="shared" si="3"/>
        <v>#DIV/0!</v>
      </c>
      <c r="Q244" s="12"/>
    </row>
    <row r="245">
      <c r="A245" s="1" t="s">
        <v>1410</v>
      </c>
      <c r="B245" s="7" t="s">
        <v>1411</v>
      </c>
      <c r="C245" s="2" t="s">
        <v>3986</v>
      </c>
      <c r="D245" s="7" t="s">
        <v>3987</v>
      </c>
      <c r="E245" s="27"/>
      <c r="F245" s="30"/>
      <c r="G245" s="30"/>
      <c r="H245" s="29"/>
      <c r="I245" s="12"/>
      <c r="J245" s="12"/>
      <c r="K245" s="12"/>
      <c r="L245" s="12"/>
      <c r="M245" s="18" t="str">
        <f t="shared" si="1"/>
        <v>#DIV/0!</v>
      </c>
      <c r="N245" s="18" t="str">
        <f t="shared" si="2"/>
        <v>#DIV/0!</v>
      </c>
      <c r="O245" s="12" t="str">
        <f t="shared" si="4"/>
        <v/>
      </c>
      <c r="P245" s="18" t="str">
        <f t="shared" si="3"/>
        <v>#DIV/0!</v>
      </c>
      <c r="Q245" s="12"/>
    </row>
    <row r="246">
      <c r="A246" s="1" t="s">
        <v>1414</v>
      </c>
      <c r="B246" s="7" t="s">
        <v>1415</v>
      </c>
      <c r="C246" s="2" t="s">
        <v>3980</v>
      </c>
      <c r="D246" s="1" t="s">
        <v>3992</v>
      </c>
      <c r="E246" s="31"/>
      <c r="F246" s="30"/>
      <c r="G246" s="30"/>
      <c r="H246" s="29"/>
      <c r="I246" s="12"/>
      <c r="J246" s="12"/>
      <c r="K246" s="12"/>
      <c r="L246" s="12"/>
      <c r="M246" s="18" t="str">
        <f t="shared" si="1"/>
        <v>#DIV/0!</v>
      </c>
      <c r="N246" s="18" t="str">
        <f t="shared" si="2"/>
        <v>#DIV/0!</v>
      </c>
      <c r="O246" s="12" t="str">
        <f t="shared" si="4"/>
        <v/>
      </c>
      <c r="P246" s="18" t="str">
        <f t="shared" si="3"/>
        <v>#DIV/0!</v>
      </c>
      <c r="Q246" s="12"/>
    </row>
    <row r="247">
      <c r="A247" s="1" t="s">
        <v>1417</v>
      </c>
      <c r="B247" s="7" t="s">
        <v>1418</v>
      </c>
      <c r="C247" s="2" t="s">
        <v>3838</v>
      </c>
      <c r="D247" s="7" t="s">
        <v>3839</v>
      </c>
      <c r="E247" s="27"/>
      <c r="F247" s="30"/>
      <c r="G247" s="30"/>
      <c r="H247" s="29"/>
      <c r="I247" s="12"/>
      <c r="J247" s="12"/>
      <c r="K247" s="12"/>
      <c r="L247" s="12"/>
      <c r="M247" s="18" t="str">
        <f t="shared" si="1"/>
        <v>#DIV/0!</v>
      </c>
      <c r="N247" s="18" t="str">
        <f t="shared" si="2"/>
        <v>#DIV/0!</v>
      </c>
      <c r="O247" s="12" t="str">
        <f t="shared" si="4"/>
        <v/>
      </c>
      <c r="P247" s="18" t="str">
        <f t="shared" si="3"/>
        <v>#DIV/0!</v>
      </c>
      <c r="Q247" s="12"/>
    </row>
    <row r="248">
      <c r="A248" s="1" t="s">
        <v>1423</v>
      </c>
      <c r="B248" s="7" t="s">
        <v>1424</v>
      </c>
      <c r="C248" s="2" t="s">
        <v>4168</v>
      </c>
      <c r="D248" s="1" t="s">
        <v>4169</v>
      </c>
      <c r="E248" s="27"/>
      <c r="F248" s="27"/>
      <c r="G248" s="27"/>
      <c r="H248" s="29"/>
      <c r="I248" s="12"/>
      <c r="J248" s="12"/>
      <c r="K248" s="12"/>
      <c r="L248" s="12"/>
      <c r="M248" s="18" t="str">
        <f t="shared" si="1"/>
        <v>#DIV/0!</v>
      </c>
      <c r="N248" s="18" t="str">
        <f t="shared" si="2"/>
        <v>#DIV/0!</v>
      </c>
      <c r="O248" s="12" t="str">
        <f t="shared" si="4"/>
        <v/>
      </c>
      <c r="P248" s="18" t="str">
        <f t="shared" si="3"/>
        <v>#DIV/0!</v>
      </c>
      <c r="Q248" s="12"/>
    </row>
    <row r="249">
      <c r="A249" s="1" t="s">
        <v>1427</v>
      </c>
      <c r="B249" s="7" t="s">
        <v>1428</v>
      </c>
      <c r="C249" s="2" t="s">
        <v>3838</v>
      </c>
      <c r="D249" s="7" t="s">
        <v>3839</v>
      </c>
      <c r="E249" s="27"/>
      <c r="F249" s="30"/>
      <c r="G249" s="30"/>
      <c r="H249" s="29"/>
      <c r="I249" s="12"/>
      <c r="J249" s="12"/>
      <c r="K249" s="12"/>
      <c r="L249" s="12"/>
      <c r="M249" s="18" t="str">
        <f t="shared" si="1"/>
        <v>#DIV/0!</v>
      </c>
      <c r="N249" s="18" t="str">
        <f t="shared" si="2"/>
        <v>#DIV/0!</v>
      </c>
      <c r="O249" s="12" t="str">
        <f t="shared" si="4"/>
        <v/>
      </c>
      <c r="P249" s="18" t="str">
        <f t="shared" si="3"/>
        <v>#DIV/0!</v>
      </c>
      <c r="Q249" s="12"/>
    </row>
    <row r="250">
      <c r="A250" s="1" t="s">
        <v>1429</v>
      </c>
      <c r="B250" s="7" t="s">
        <v>1430</v>
      </c>
      <c r="C250" s="2" t="s">
        <v>4170</v>
      </c>
      <c r="D250" s="1" t="s">
        <v>3837</v>
      </c>
      <c r="E250" s="27"/>
      <c r="F250" s="27"/>
      <c r="G250" s="27"/>
      <c r="H250" s="29"/>
      <c r="I250" s="12"/>
      <c r="J250" s="12"/>
      <c r="K250" s="12"/>
      <c r="L250" s="12"/>
      <c r="M250" s="18" t="str">
        <f t="shared" si="1"/>
        <v>#DIV/0!</v>
      </c>
      <c r="N250" s="18" t="str">
        <f t="shared" si="2"/>
        <v>#DIV/0!</v>
      </c>
      <c r="O250" s="12" t="str">
        <f t="shared" si="4"/>
        <v/>
      </c>
      <c r="P250" s="18" t="str">
        <f t="shared" si="3"/>
        <v>#DIV/0!</v>
      </c>
      <c r="Q250" s="12"/>
    </row>
    <row r="251">
      <c r="A251" s="1" t="s">
        <v>1433</v>
      </c>
      <c r="B251" s="7" t="s">
        <v>1434</v>
      </c>
      <c r="C251" s="2" t="s">
        <v>3838</v>
      </c>
      <c r="D251" s="7" t="s">
        <v>3839</v>
      </c>
      <c r="E251" s="31"/>
      <c r="F251" s="31"/>
      <c r="G251" s="31"/>
      <c r="H251" s="29"/>
      <c r="I251" s="12"/>
      <c r="J251" s="12"/>
      <c r="K251" s="12"/>
      <c r="L251" s="12"/>
      <c r="M251" s="18" t="str">
        <f t="shared" si="1"/>
        <v>#DIV/0!</v>
      </c>
      <c r="N251" s="18" t="str">
        <f t="shared" si="2"/>
        <v>#DIV/0!</v>
      </c>
      <c r="O251" s="12" t="str">
        <f t="shared" si="4"/>
        <v/>
      </c>
      <c r="P251" s="18" t="str">
        <f t="shared" si="3"/>
        <v>#DIV/0!</v>
      </c>
      <c r="Q251" s="12"/>
    </row>
    <row r="252">
      <c r="A252" s="1" t="s">
        <v>1435</v>
      </c>
      <c r="B252" s="7" t="s">
        <v>1436</v>
      </c>
      <c r="C252" s="2" t="s">
        <v>4171</v>
      </c>
      <c r="D252" s="7" t="s">
        <v>4172</v>
      </c>
      <c r="E252" s="31"/>
      <c r="F252" s="31"/>
      <c r="G252" s="31"/>
      <c r="H252" s="29"/>
      <c r="I252" s="12"/>
      <c r="J252" s="12"/>
      <c r="K252" s="12"/>
      <c r="L252" s="12"/>
      <c r="M252" s="18" t="str">
        <f t="shared" si="1"/>
        <v>#DIV/0!</v>
      </c>
      <c r="N252" s="18" t="str">
        <f t="shared" si="2"/>
        <v>#DIV/0!</v>
      </c>
      <c r="O252" s="12" t="str">
        <f t="shared" si="4"/>
        <v/>
      </c>
      <c r="P252" s="18" t="str">
        <f t="shared" si="3"/>
        <v>#DIV/0!</v>
      </c>
      <c r="Q252" s="12"/>
    </row>
    <row r="253">
      <c r="A253" s="1" t="s">
        <v>1439</v>
      </c>
      <c r="B253" s="7" t="s">
        <v>1440</v>
      </c>
      <c r="C253" s="2" t="s">
        <v>4078</v>
      </c>
      <c r="D253" s="7" t="s">
        <v>4079</v>
      </c>
      <c r="E253" s="31"/>
      <c r="F253" s="31"/>
      <c r="G253" s="31"/>
      <c r="H253" s="29"/>
      <c r="I253" s="12"/>
      <c r="J253" s="12"/>
      <c r="K253" s="12"/>
      <c r="L253" s="12"/>
      <c r="M253" s="18" t="str">
        <f t="shared" si="1"/>
        <v>#DIV/0!</v>
      </c>
      <c r="N253" s="18" t="str">
        <f t="shared" si="2"/>
        <v>#DIV/0!</v>
      </c>
      <c r="O253" s="12" t="str">
        <f t="shared" si="4"/>
        <v/>
      </c>
      <c r="P253" s="18" t="str">
        <f t="shared" si="3"/>
        <v>#DIV/0!</v>
      </c>
      <c r="Q253" s="12"/>
    </row>
    <row r="254">
      <c r="A254" s="1" t="s">
        <v>1443</v>
      </c>
      <c r="B254" s="7" t="s">
        <v>1444</v>
      </c>
      <c r="C254" s="2" t="s">
        <v>4173</v>
      </c>
      <c r="D254" s="1" t="s">
        <v>4174</v>
      </c>
      <c r="E254" s="31"/>
      <c r="F254" s="31"/>
      <c r="G254" s="31"/>
      <c r="H254" s="29"/>
      <c r="I254" s="12"/>
      <c r="J254" s="12"/>
      <c r="K254" s="12"/>
      <c r="L254" s="12"/>
      <c r="M254" s="18" t="str">
        <f t="shared" si="1"/>
        <v>#DIV/0!</v>
      </c>
      <c r="N254" s="18" t="str">
        <f t="shared" si="2"/>
        <v>#DIV/0!</v>
      </c>
      <c r="O254" s="12" t="str">
        <f t="shared" si="4"/>
        <v/>
      </c>
      <c r="P254" s="18" t="str">
        <f t="shared" si="3"/>
        <v>#DIV/0!</v>
      </c>
      <c r="Q254" s="12"/>
    </row>
    <row r="255">
      <c r="A255" s="1" t="s">
        <v>1461</v>
      </c>
      <c r="B255" s="7" t="s">
        <v>1462</v>
      </c>
      <c r="C255" s="2" t="s">
        <v>4175</v>
      </c>
      <c r="D255" s="1" t="s">
        <v>4176</v>
      </c>
      <c r="E255" s="31"/>
      <c r="F255" s="31"/>
      <c r="G255" s="31"/>
      <c r="H255" s="29"/>
      <c r="I255" s="12"/>
      <c r="J255" s="12"/>
      <c r="K255" s="12"/>
      <c r="L255" s="12"/>
      <c r="M255" s="18" t="str">
        <f t="shared" si="1"/>
        <v>#DIV/0!</v>
      </c>
      <c r="N255" s="18" t="str">
        <f t="shared" si="2"/>
        <v>#DIV/0!</v>
      </c>
      <c r="O255" s="12" t="str">
        <f t="shared" si="4"/>
        <v/>
      </c>
      <c r="P255" s="18" t="str">
        <f t="shared" si="3"/>
        <v>#DIV/0!</v>
      </c>
      <c r="Q255" s="12"/>
    </row>
    <row r="256">
      <c r="A256" s="1" t="s">
        <v>1465</v>
      </c>
      <c r="B256" s="7" t="s">
        <v>1466</v>
      </c>
      <c r="C256" s="2" t="s">
        <v>4177</v>
      </c>
      <c r="D256" s="1" t="s">
        <v>4178</v>
      </c>
      <c r="E256" s="31"/>
      <c r="F256" s="31"/>
      <c r="G256" s="31"/>
      <c r="H256" s="29"/>
      <c r="I256" s="12"/>
      <c r="J256" s="12"/>
      <c r="K256" s="12"/>
      <c r="L256" s="12"/>
      <c r="M256" s="18" t="str">
        <f t="shared" si="1"/>
        <v>#DIV/0!</v>
      </c>
      <c r="N256" s="18" t="str">
        <f t="shared" si="2"/>
        <v>#DIV/0!</v>
      </c>
      <c r="O256" s="12" t="str">
        <f t="shared" si="4"/>
        <v/>
      </c>
      <c r="P256" s="18" t="str">
        <f t="shared" si="3"/>
        <v>#DIV/0!</v>
      </c>
      <c r="Q256" s="12"/>
    </row>
    <row r="257">
      <c r="A257" s="1" t="s">
        <v>1469</v>
      </c>
      <c r="B257" s="7" t="s">
        <v>1470</v>
      </c>
      <c r="C257" s="2" t="s">
        <v>3982</v>
      </c>
      <c r="D257" s="7" t="s">
        <v>3983</v>
      </c>
      <c r="E257" s="31"/>
      <c r="F257" s="31"/>
      <c r="G257" s="31"/>
      <c r="H257" s="29"/>
      <c r="I257" s="12"/>
      <c r="J257" s="12"/>
      <c r="K257" s="12"/>
      <c r="L257" s="12"/>
      <c r="M257" s="18" t="str">
        <f t="shared" si="1"/>
        <v>#DIV/0!</v>
      </c>
      <c r="N257" s="18" t="str">
        <f t="shared" si="2"/>
        <v>#DIV/0!</v>
      </c>
      <c r="O257" s="12" t="str">
        <f t="shared" si="4"/>
        <v/>
      </c>
      <c r="P257" s="18" t="str">
        <f t="shared" si="3"/>
        <v>#DIV/0!</v>
      </c>
      <c r="Q257" s="12"/>
    </row>
    <row r="258">
      <c r="A258" s="1" t="s">
        <v>1471</v>
      </c>
      <c r="B258" s="7" t="s">
        <v>1472</v>
      </c>
      <c r="C258" s="2" t="s">
        <v>4179</v>
      </c>
      <c r="D258" s="1" t="s">
        <v>4180</v>
      </c>
      <c r="E258" s="31"/>
      <c r="F258" s="31"/>
      <c r="G258" s="31"/>
      <c r="H258" s="29"/>
      <c r="I258" s="12"/>
      <c r="J258" s="12"/>
      <c r="K258" s="12"/>
      <c r="L258" s="12"/>
      <c r="M258" s="18" t="str">
        <f t="shared" si="1"/>
        <v>#DIV/0!</v>
      </c>
      <c r="N258" s="18" t="str">
        <f t="shared" si="2"/>
        <v>#DIV/0!</v>
      </c>
      <c r="O258" s="12" t="str">
        <f t="shared" si="4"/>
        <v/>
      </c>
      <c r="P258" s="18" t="str">
        <f t="shared" si="3"/>
        <v>#DIV/0!</v>
      </c>
      <c r="Q258" s="12"/>
    </row>
    <row r="259">
      <c r="A259" s="1" t="s">
        <v>1475</v>
      </c>
      <c r="B259" s="7" t="s">
        <v>1476</v>
      </c>
      <c r="C259" s="2" t="s">
        <v>4181</v>
      </c>
      <c r="D259" s="1" t="s">
        <v>3853</v>
      </c>
      <c r="E259" s="31"/>
      <c r="F259" s="31"/>
      <c r="G259" s="31"/>
      <c r="H259" s="29"/>
      <c r="I259" s="12"/>
      <c r="J259" s="12"/>
      <c r="K259" s="12"/>
      <c r="L259" s="12"/>
      <c r="M259" s="18" t="str">
        <f t="shared" si="1"/>
        <v>#DIV/0!</v>
      </c>
      <c r="N259" s="18" t="str">
        <f t="shared" si="2"/>
        <v>#DIV/0!</v>
      </c>
      <c r="O259" s="12" t="str">
        <f t="shared" si="4"/>
        <v/>
      </c>
      <c r="P259" s="18" t="str">
        <f t="shared" si="3"/>
        <v>#DIV/0!</v>
      </c>
      <c r="Q259" s="12"/>
    </row>
    <row r="260">
      <c r="A260" s="1" t="s">
        <v>1479</v>
      </c>
      <c r="B260" s="7" t="s">
        <v>1480</v>
      </c>
      <c r="C260" s="2" t="s">
        <v>4182</v>
      </c>
      <c r="D260" s="7" t="s">
        <v>4183</v>
      </c>
      <c r="E260" s="31"/>
      <c r="F260" s="31"/>
      <c r="G260" s="31"/>
      <c r="H260" s="29"/>
      <c r="I260" s="12"/>
      <c r="J260" s="12"/>
      <c r="K260" s="12"/>
      <c r="L260" s="12"/>
      <c r="M260" s="18" t="str">
        <f t="shared" si="1"/>
        <v>#DIV/0!</v>
      </c>
      <c r="N260" s="18" t="str">
        <f t="shared" si="2"/>
        <v>#DIV/0!</v>
      </c>
      <c r="O260" s="12" t="str">
        <f t="shared" si="4"/>
        <v/>
      </c>
      <c r="P260" s="18" t="str">
        <f t="shared" si="3"/>
        <v>#DIV/0!</v>
      </c>
      <c r="Q260" s="12"/>
    </row>
    <row r="261">
      <c r="A261" s="1" t="s">
        <v>1481</v>
      </c>
      <c r="B261" s="7" t="s">
        <v>1482</v>
      </c>
      <c r="C261" s="2" t="s">
        <v>3914</v>
      </c>
      <c r="D261" s="1" t="s">
        <v>3915</v>
      </c>
      <c r="E261" s="31"/>
      <c r="F261" s="31"/>
      <c r="G261" s="31"/>
      <c r="H261" s="29"/>
      <c r="I261" s="12"/>
      <c r="J261" s="12"/>
      <c r="K261" s="12"/>
      <c r="L261" s="12"/>
      <c r="M261" s="18" t="str">
        <f t="shared" si="1"/>
        <v>#DIV/0!</v>
      </c>
      <c r="N261" s="18" t="str">
        <f t="shared" si="2"/>
        <v>#DIV/0!</v>
      </c>
      <c r="O261" s="12" t="str">
        <f t="shared" si="4"/>
        <v/>
      </c>
      <c r="P261" s="18" t="str">
        <f t="shared" si="3"/>
        <v>#DIV/0!</v>
      </c>
      <c r="Q261" s="12"/>
    </row>
    <row r="262">
      <c r="A262" s="1" t="s">
        <v>1486</v>
      </c>
      <c r="B262" s="7" t="s">
        <v>1487</v>
      </c>
      <c r="C262" s="2" t="s">
        <v>3881</v>
      </c>
      <c r="D262" s="7" t="s">
        <v>3882</v>
      </c>
      <c r="E262" s="31"/>
      <c r="F262" s="31"/>
      <c r="G262" s="31"/>
      <c r="H262" s="29"/>
      <c r="I262" s="12"/>
      <c r="J262" s="12"/>
      <c r="K262" s="12"/>
      <c r="L262" s="12"/>
      <c r="M262" s="18" t="str">
        <f t="shared" si="1"/>
        <v>#DIV/0!</v>
      </c>
      <c r="N262" s="18" t="str">
        <f t="shared" si="2"/>
        <v>#DIV/0!</v>
      </c>
      <c r="O262" s="12" t="str">
        <f t="shared" si="4"/>
        <v/>
      </c>
      <c r="P262" s="18" t="str">
        <f t="shared" si="3"/>
        <v>#DIV/0!</v>
      </c>
      <c r="Q262" s="12"/>
    </row>
    <row r="263">
      <c r="A263" s="1" t="s">
        <v>1494</v>
      </c>
      <c r="B263" s="7" t="s">
        <v>1495</v>
      </c>
      <c r="C263" s="2" t="s">
        <v>3838</v>
      </c>
      <c r="D263" s="7" t="s">
        <v>3839</v>
      </c>
      <c r="E263" s="31"/>
      <c r="F263" s="31"/>
      <c r="G263" s="31"/>
      <c r="H263" s="29"/>
      <c r="I263" s="12"/>
      <c r="J263" s="12"/>
      <c r="K263" s="12"/>
      <c r="L263" s="12"/>
      <c r="M263" s="18" t="str">
        <f t="shared" si="1"/>
        <v>#DIV/0!</v>
      </c>
      <c r="N263" s="18" t="str">
        <f t="shared" si="2"/>
        <v>#DIV/0!</v>
      </c>
      <c r="O263" s="12" t="str">
        <f t="shared" si="4"/>
        <v/>
      </c>
      <c r="P263" s="18" t="str">
        <f t="shared" si="3"/>
        <v>#DIV/0!</v>
      </c>
      <c r="Q263" s="12"/>
    </row>
    <row r="264">
      <c r="A264" s="1" t="s">
        <v>1500</v>
      </c>
      <c r="B264" s="7" t="s">
        <v>1501</v>
      </c>
      <c r="C264" s="2" t="s">
        <v>4184</v>
      </c>
      <c r="D264" s="7" t="s">
        <v>4185</v>
      </c>
      <c r="E264" s="31"/>
      <c r="F264" s="31"/>
      <c r="G264" s="31"/>
      <c r="H264" s="29"/>
      <c r="I264" s="12"/>
      <c r="J264" s="12"/>
      <c r="K264" s="12"/>
      <c r="L264" s="12"/>
      <c r="M264" s="18" t="str">
        <f t="shared" si="1"/>
        <v>#DIV/0!</v>
      </c>
      <c r="N264" s="18" t="str">
        <f t="shared" si="2"/>
        <v>#DIV/0!</v>
      </c>
      <c r="O264" s="12" t="str">
        <f t="shared" si="4"/>
        <v/>
      </c>
      <c r="P264" s="18" t="str">
        <f t="shared" si="3"/>
        <v>#DIV/0!</v>
      </c>
      <c r="Q264" s="12"/>
    </row>
    <row r="265">
      <c r="A265" s="1" t="s">
        <v>1508</v>
      </c>
      <c r="B265" s="7" t="s">
        <v>1509</v>
      </c>
      <c r="C265" s="2" t="s">
        <v>4186</v>
      </c>
      <c r="D265" s="1" t="s">
        <v>4187</v>
      </c>
      <c r="E265" s="31"/>
      <c r="F265" s="31"/>
      <c r="G265" s="31"/>
      <c r="H265" s="29"/>
      <c r="I265" s="12"/>
      <c r="J265" s="12"/>
      <c r="K265" s="12"/>
      <c r="L265" s="12"/>
      <c r="M265" s="18" t="str">
        <f t="shared" si="1"/>
        <v>#DIV/0!</v>
      </c>
      <c r="N265" s="18" t="str">
        <f t="shared" si="2"/>
        <v>#DIV/0!</v>
      </c>
      <c r="O265" s="12" t="str">
        <f t="shared" si="4"/>
        <v/>
      </c>
      <c r="P265" s="18" t="str">
        <f t="shared" si="3"/>
        <v>#DIV/0!</v>
      </c>
      <c r="Q265" s="12"/>
    </row>
    <row r="266">
      <c r="A266" s="1" t="s">
        <v>1512</v>
      </c>
      <c r="B266" s="7" t="s">
        <v>1513</v>
      </c>
      <c r="C266" s="2" t="s">
        <v>4188</v>
      </c>
      <c r="D266" s="1" t="s">
        <v>4189</v>
      </c>
      <c r="E266" s="31"/>
      <c r="F266" s="31"/>
      <c r="G266" s="31"/>
      <c r="H266" s="29"/>
      <c r="I266" s="12"/>
      <c r="J266" s="12"/>
      <c r="K266" s="12"/>
      <c r="L266" s="12"/>
      <c r="M266" s="18" t="str">
        <f t="shared" si="1"/>
        <v>#DIV/0!</v>
      </c>
      <c r="N266" s="18" t="str">
        <f t="shared" si="2"/>
        <v>#DIV/0!</v>
      </c>
      <c r="O266" s="12" t="str">
        <f t="shared" si="4"/>
        <v/>
      </c>
      <c r="P266" s="18" t="str">
        <f t="shared" si="3"/>
        <v>#DIV/0!</v>
      </c>
      <c r="Q266" s="12"/>
    </row>
    <row r="267">
      <c r="A267" s="1" t="s">
        <v>1518</v>
      </c>
      <c r="B267" s="7" t="s">
        <v>1519</v>
      </c>
      <c r="C267" s="2" t="s">
        <v>3838</v>
      </c>
      <c r="D267" s="7" t="s">
        <v>3839</v>
      </c>
      <c r="E267" s="31"/>
      <c r="F267" s="31"/>
      <c r="G267" s="31"/>
      <c r="H267" s="29"/>
      <c r="I267" s="12"/>
      <c r="J267" s="12"/>
      <c r="K267" s="12"/>
      <c r="L267" s="12"/>
      <c r="M267" s="18" t="str">
        <f t="shared" si="1"/>
        <v>#DIV/0!</v>
      </c>
      <c r="N267" s="18" t="str">
        <f t="shared" si="2"/>
        <v>#DIV/0!</v>
      </c>
      <c r="O267" s="12" t="str">
        <f t="shared" si="4"/>
        <v/>
      </c>
      <c r="P267" s="18" t="str">
        <f t="shared" si="3"/>
        <v>#DIV/0!</v>
      </c>
      <c r="Q267" s="12"/>
    </row>
    <row r="268">
      <c r="A268" s="1" t="s">
        <v>1526</v>
      </c>
      <c r="B268" s="7" t="s">
        <v>1527</v>
      </c>
      <c r="C268" s="2" t="s">
        <v>4049</v>
      </c>
      <c r="D268" s="1" t="s">
        <v>3981</v>
      </c>
      <c r="E268" s="31"/>
      <c r="F268" s="31"/>
      <c r="G268" s="31"/>
      <c r="H268" s="29"/>
      <c r="I268" s="12"/>
      <c r="J268" s="12"/>
      <c r="K268" s="12"/>
      <c r="L268" s="12"/>
      <c r="M268" s="18" t="str">
        <f t="shared" si="1"/>
        <v>#DIV/0!</v>
      </c>
      <c r="N268" s="18" t="str">
        <f t="shared" si="2"/>
        <v>#DIV/0!</v>
      </c>
      <c r="O268" s="12" t="str">
        <f t="shared" si="4"/>
        <v/>
      </c>
      <c r="P268" s="18" t="str">
        <f t="shared" si="3"/>
        <v>#DIV/0!</v>
      </c>
      <c r="Q268" s="12"/>
    </row>
    <row r="269">
      <c r="A269" s="1" t="s">
        <v>1530</v>
      </c>
      <c r="B269" s="7" t="s">
        <v>1531</v>
      </c>
      <c r="C269" s="2" t="s">
        <v>4190</v>
      </c>
      <c r="D269" s="7" t="s">
        <v>4191</v>
      </c>
      <c r="E269" s="31"/>
      <c r="F269" s="31"/>
      <c r="G269" s="31"/>
      <c r="H269" s="29"/>
      <c r="I269" s="12"/>
      <c r="J269" s="12"/>
      <c r="K269" s="12"/>
      <c r="L269" s="12"/>
      <c r="M269" s="18" t="str">
        <f t="shared" si="1"/>
        <v>#DIV/0!</v>
      </c>
      <c r="N269" s="18" t="str">
        <f t="shared" si="2"/>
        <v>#DIV/0!</v>
      </c>
      <c r="O269" s="12" t="str">
        <f t="shared" si="4"/>
        <v/>
      </c>
      <c r="P269" s="18" t="str">
        <f t="shared" si="3"/>
        <v>#DIV/0!</v>
      </c>
      <c r="Q269" s="12"/>
    </row>
    <row r="270">
      <c r="A270" s="1" t="s">
        <v>1534</v>
      </c>
      <c r="B270" s="7" t="s">
        <v>1535</v>
      </c>
      <c r="C270" s="2" t="s">
        <v>3838</v>
      </c>
      <c r="D270" s="7" t="s">
        <v>3839</v>
      </c>
      <c r="E270" s="31"/>
      <c r="F270" s="31"/>
      <c r="G270" s="31"/>
      <c r="H270" s="29"/>
      <c r="I270" s="12"/>
      <c r="J270" s="12"/>
      <c r="K270" s="12"/>
      <c r="L270" s="12"/>
      <c r="M270" s="18" t="str">
        <f t="shared" si="1"/>
        <v>#DIV/0!</v>
      </c>
      <c r="N270" s="18" t="str">
        <f t="shared" si="2"/>
        <v>#DIV/0!</v>
      </c>
      <c r="O270" s="12" t="str">
        <f t="shared" si="4"/>
        <v/>
      </c>
      <c r="P270" s="18" t="str">
        <f t="shared" si="3"/>
        <v>#DIV/0!</v>
      </c>
      <c r="Q270" s="12"/>
    </row>
    <row r="271">
      <c r="A271" s="1" t="s">
        <v>1542</v>
      </c>
      <c r="B271" s="7" t="s">
        <v>1543</v>
      </c>
      <c r="C271" s="2" t="s">
        <v>4120</v>
      </c>
      <c r="D271" s="7" t="s">
        <v>4121</v>
      </c>
      <c r="E271" s="31"/>
      <c r="F271" s="31"/>
      <c r="G271" s="31"/>
      <c r="H271" s="29"/>
      <c r="I271" s="12"/>
      <c r="J271" s="12"/>
      <c r="K271" s="12"/>
      <c r="L271" s="12"/>
      <c r="M271" s="18" t="str">
        <f t="shared" si="1"/>
        <v>#DIV/0!</v>
      </c>
      <c r="N271" s="18" t="str">
        <f t="shared" si="2"/>
        <v>#DIV/0!</v>
      </c>
      <c r="O271" s="12" t="str">
        <f t="shared" si="4"/>
        <v/>
      </c>
      <c r="P271" s="18" t="str">
        <f t="shared" si="3"/>
        <v>#DIV/0!</v>
      </c>
      <c r="Q271" s="12"/>
    </row>
    <row r="272">
      <c r="A272" s="1" t="s">
        <v>1544</v>
      </c>
      <c r="B272" s="7" t="s">
        <v>1545</v>
      </c>
      <c r="C272" s="2" t="s">
        <v>4192</v>
      </c>
      <c r="D272" s="1" t="s">
        <v>4193</v>
      </c>
      <c r="E272" s="31"/>
      <c r="F272" s="31"/>
      <c r="G272" s="31"/>
      <c r="H272" s="29"/>
      <c r="I272" s="12"/>
      <c r="J272" s="12"/>
      <c r="K272" s="12"/>
      <c r="L272" s="12"/>
      <c r="M272" s="18" t="str">
        <f t="shared" si="1"/>
        <v>#DIV/0!</v>
      </c>
      <c r="N272" s="18" t="str">
        <f t="shared" si="2"/>
        <v>#DIV/0!</v>
      </c>
      <c r="O272" s="12" t="str">
        <f t="shared" si="4"/>
        <v/>
      </c>
      <c r="P272" s="18" t="str">
        <f t="shared" si="3"/>
        <v>#DIV/0!</v>
      </c>
      <c r="Q272" s="12"/>
    </row>
    <row r="273">
      <c r="A273" s="1" t="s">
        <v>1548</v>
      </c>
      <c r="B273" s="7" t="s">
        <v>1549</v>
      </c>
      <c r="C273" s="2" t="s">
        <v>4194</v>
      </c>
      <c r="D273" s="7" t="s">
        <v>4195</v>
      </c>
      <c r="E273" s="31"/>
      <c r="F273" s="31"/>
      <c r="G273" s="31"/>
      <c r="H273" s="29"/>
      <c r="I273" s="12"/>
      <c r="J273" s="12"/>
      <c r="K273" s="12"/>
      <c r="L273" s="12"/>
      <c r="M273" s="18" t="str">
        <f t="shared" si="1"/>
        <v>#DIV/0!</v>
      </c>
      <c r="N273" s="18" t="str">
        <f t="shared" si="2"/>
        <v>#DIV/0!</v>
      </c>
      <c r="O273" s="12" t="str">
        <f t="shared" si="4"/>
        <v/>
      </c>
      <c r="P273" s="18" t="str">
        <f t="shared" si="3"/>
        <v>#DIV/0!</v>
      </c>
      <c r="Q273" s="12"/>
    </row>
    <row r="274">
      <c r="A274" s="1" t="s">
        <v>1552</v>
      </c>
      <c r="B274" s="7" t="s">
        <v>1553</v>
      </c>
      <c r="C274" s="2" t="s">
        <v>4196</v>
      </c>
      <c r="D274" s="1" t="s">
        <v>4197</v>
      </c>
      <c r="E274" s="31"/>
      <c r="F274" s="31"/>
      <c r="G274" s="31"/>
      <c r="H274" s="29"/>
      <c r="I274" s="12"/>
      <c r="J274" s="12"/>
      <c r="K274" s="12"/>
      <c r="L274" s="12"/>
      <c r="M274" s="18" t="str">
        <f t="shared" si="1"/>
        <v>#DIV/0!</v>
      </c>
      <c r="N274" s="18" t="str">
        <f t="shared" si="2"/>
        <v>#DIV/0!</v>
      </c>
      <c r="O274" s="12" t="str">
        <f t="shared" si="4"/>
        <v/>
      </c>
      <c r="P274" s="18" t="str">
        <f t="shared" si="3"/>
        <v>#DIV/0!</v>
      </c>
      <c r="Q274" s="12"/>
    </row>
    <row r="275">
      <c r="A275" s="1" t="s">
        <v>1556</v>
      </c>
      <c r="B275" s="7" t="s">
        <v>1557</v>
      </c>
      <c r="C275" s="2" t="s">
        <v>4008</v>
      </c>
      <c r="E275" s="31"/>
      <c r="F275" s="31"/>
      <c r="G275" s="31"/>
      <c r="H275" s="29"/>
      <c r="I275" s="12"/>
      <c r="J275" s="12"/>
      <c r="K275" s="12"/>
      <c r="L275" s="12"/>
      <c r="M275" s="18" t="str">
        <f t="shared" si="1"/>
        <v>#DIV/0!</v>
      </c>
      <c r="N275" s="18" t="str">
        <f t="shared" si="2"/>
        <v>#DIV/0!</v>
      </c>
      <c r="O275" s="12" t="str">
        <f t="shared" si="4"/>
        <v/>
      </c>
      <c r="P275" s="18" t="str">
        <f t="shared" si="3"/>
        <v>#DIV/0!</v>
      </c>
      <c r="Q275" s="12"/>
    </row>
    <row r="276">
      <c r="A276" s="1" t="s">
        <v>1559</v>
      </c>
      <c r="B276" s="7" t="s">
        <v>1560</v>
      </c>
      <c r="C276" s="2" t="s">
        <v>3905</v>
      </c>
      <c r="D276" s="7" t="s">
        <v>3906</v>
      </c>
      <c r="E276" s="31"/>
      <c r="F276" s="31"/>
      <c r="G276" s="31"/>
      <c r="H276" s="29"/>
      <c r="I276" s="12"/>
      <c r="J276" s="12"/>
      <c r="K276" s="12"/>
      <c r="L276" s="12"/>
      <c r="M276" s="18" t="str">
        <f t="shared" si="1"/>
        <v>#DIV/0!</v>
      </c>
      <c r="N276" s="18" t="str">
        <f t="shared" si="2"/>
        <v>#DIV/0!</v>
      </c>
      <c r="O276" s="12" t="str">
        <f t="shared" si="4"/>
        <v/>
      </c>
      <c r="P276" s="18" t="str">
        <f t="shared" si="3"/>
        <v>#DIV/0!</v>
      </c>
      <c r="Q276" s="12"/>
    </row>
    <row r="277">
      <c r="A277" s="1" t="s">
        <v>1563</v>
      </c>
      <c r="B277" s="7" t="s">
        <v>1564</v>
      </c>
      <c r="C277" s="2" t="s">
        <v>3844</v>
      </c>
      <c r="D277" s="1" t="s">
        <v>3845</v>
      </c>
      <c r="E277" s="31"/>
      <c r="F277" s="31"/>
      <c r="G277" s="31"/>
      <c r="H277" s="29"/>
      <c r="I277" s="12"/>
      <c r="J277" s="12"/>
      <c r="K277" s="12"/>
      <c r="L277" s="12"/>
      <c r="M277" s="18" t="str">
        <f t="shared" si="1"/>
        <v>#DIV/0!</v>
      </c>
      <c r="N277" s="18" t="str">
        <f t="shared" si="2"/>
        <v>#DIV/0!</v>
      </c>
      <c r="O277" s="12" t="str">
        <f t="shared" si="4"/>
        <v/>
      </c>
      <c r="P277" s="18" t="str">
        <f t="shared" si="3"/>
        <v>#DIV/0!</v>
      </c>
      <c r="Q277" s="12"/>
    </row>
    <row r="278">
      <c r="A278" s="1" t="s">
        <v>1576</v>
      </c>
      <c r="B278" s="7" t="s">
        <v>1577</v>
      </c>
      <c r="C278" s="2" t="s">
        <v>4198</v>
      </c>
      <c r="D278" s="1" t="s">
        <v>4199</v>
      </c>
      <c r="E278" s="31"/>
      <c r="F278" s="31"/>
      <c r="G278" s="31"/>
      <c r="H278" s="29"/>
      <c r="I278" s="12"/>
      <c r="J278" s="12"/>
      <c r="K278" s="12"/>
      <c r="L278" s="12"/>
      <c r="M278" s="18" t="str">
        <f t="shared" si="1"/>
        <v>#DIV/0!</v>
      </c>
      <c r="N278" s="18" t="str">
        <f t="shared" si="2"/>
        <v>#DIV/0!</v>
      </c>
      <c r="O278" s="12" t="str">
        <f t="shared" si="4"/>
        <v/>
      </c>
      <c r="P278" s="18" t="str">
        <f t="shared" si="3"/>
        <v>#DIV/0!</v>
      </c>
      <c r="Q278" s="12"/>
    </row>
    <row r="279">
      <c r="A279" s="1" t="s">
        <v>1585</v>
      </c>
      <c r="B279" s="7" t="s">
        <v>1586</v>
      </c>
      <c r="C279" s="2" t="s">
        <v>3838</v>
      </c>
      <c r="D279" s="7" t="s">
        <v>3839</v>
      </c>
      <c r="E279" s="31"/>
      <c r="F279" s="31"/>
      <c r="G279" s="31"/>
      <c r="H279" s="29"/>
      <c r="I279" s="12"/>
      <c r="J279" s="12"/>
      <c r="K279" s="12"/>
      <c r="L279" s="12"/>
      <c r="M279" s="18" t="str">
        <f t="shared" si="1"/>
        <v>#DIV/0!</v>
      </c>
      <c r="N279" s="18" t="str">
        <f t="shared" si="2"/>
        <v>#DIV/0!</v>
      </c>
      <c r="O279" s="12" t="str">
        <f t="shared" si="4"/>
        <v/>
      </c>
      <c r="P279" s="18" t="str">
        <f t="shared" si="3"/>
        <v>#DIV/0!</v>
      </c>
      <c r="Q279" s="12"/>
    </row>
    <row r="280">
      <c r="A280" s="1" t="s">
        <v>1593</v>
      </c>
      <c r="B280" s="7" t="s">
        <v>1594</v>
      </c>
      <c r="C280" s="2" t="s">
        <v>4200</v>
      </c>
      <c r="D280" s="1" t="s">
        <v>4201</v>
      </c>
      <c r="E280" s="31"/>
      <c r="F280" s="31"/>
      <c r="G280" s="31"/>
      <c r="H280" s="29"/>
      <c r="I280" s="12"/>
      <c r="J280" s="12"/>
      <c r="K280" s="12"/>
      <c r="L280" s="12"/>
      <c r="M280" s="18" t="str">
        <f t="shared" si="1"/>
        <v>#DIV/0!</v>
      </c>
      <c r="N280" s="18" t="str">
        <f t="shared" si="2"/>
        <v>#DIV/0!</v>
      </c>
      <c r="O280" s="12" t="str">
        <f t="shared" si="4"/>
        <v/>
      </c>
      <c r="P280" s="18" t="str">
        <f t="shared" si="3"/>
        <v>#DIV/0!</v>
      </c>
      <c r="Q280" s="12"/>
    </row>
    <row r="281">
      <c r="A281" s="1" t="s">
        <v>1599</v>
      </c>
      <c r="B281" s="7" t="s">
        <v>1600</v>
      </c>
      <c r="C281" s="2" t="s">
        <v>4202</v>
      </c>
      <c r="D281" s="1" t="s">
        <v>4203</v>
      </c>
      <c r="E281" s="31"/>
      <c r="F281" s="31"/>
      <c r="G281" s="31"/>
      <c r="H281" s="29"/>
      <c r="I281" s="12"/>
      <c r="J281" s="12"/>
      <c r="K281" s="12"/>
      <c r="L281" s="12"/>
      <c r="M281" s="18" t="str">
        <f t="shared" si="1"/>
        <v>#DIV/0!</v>
      </c>
      <c r="N281" s="18" t="str">
        <f t="shared" si="2"/>
        <v>#DIV/0!</v>
      </c>
      <c r="O281" s="12" t="str">
        <f t="shared" si="4"/>
        <v/>
      </c>
      <c r="P281" s="18" t="str">
        <f t="shared" si="3"/>
        <v>#DIV/0!</v>
      </c>
      <c r="Q281" s="12"/>
    </row>
    <row r="282">
      <c r="A282" s="1" t="s">
        <v>1610</v>
      </c>
      <c r="B282" s="7" t="s">
        <v>1611</v>
      </c>
      <c r="C282" s="2" t="s">
        <v>3846</v>
      </c>
      <c r="D282" s="7" t="s">
        <v>3847</v>
      </c>
      <c r="E282" s="31"/>
      <c r="F282" s="31"/>
      <c r="G282" s="31"/>
      <c r="H282" s="29"/>
      <c r="I282" s="12"/>
      <c r="J282" s="12"/>
      <c r="K282" s="12"/>
      <c r="L282" s="12"/>
      <c r="M282" s="18" t="str">
        <f t="shared" si="1"/>
        <v>#DIV/0!</v>
      </c>
      <c r="N282" s="18" t="str">
        <f t="shared" si="2"/>
        <v>#DIV/0!</v>
      </c>
      <c r="O282" s="12" t="str">
        <f t="shared" si="4"/>
        <v/>
      </c>
      <c r="P282" s="18" t="str">
        <f t="shared" si="3"/>
        <v>#DIV/0!</v>
      </c>
      <c r="Q282" s="12"/>
    </row>
    <row r="283">
      <c r="A283" s="1" t="s">
        <v>1612</v>
      </c>
      <c r="B283" s="7" t="s">
        <v>1613</v>
      </c>
      <c r="C283" s="2" t="s">
        <v>4204</v>
      </c>
      <c r="D283" s="1" t="s">
        <v>4205</v>
      </c>
      <c r="E283" s="31"/>
      <c r="F283" s="31"/>
      <c r="G283" s="31"/>
      <c r="H283" s="29"/>
      <c r="I283" s="12"/>
      <c r="J283" s="12"/>
      <c r="K283" s="12"/>
      <c r="L283" s="12"/>
      <c r="M283" s="18" t="str">
        <f t="shared" si="1"/>
        <v>#DIV/0!</v>
      </c>
      <c r="N283" s="18" t="str">
        <f t="shared" si="2"/>
        <v>#DIV/0!</v>
      </c>
      <c r="O283" s="12" t="str">
        <f t="shared" si="4"/>
        <v/>
      </c>
      <c r="P283" s="18" t="str">
        <f t="shared" si="3"/>
        <v>#DIV/0!</v>
      </c>
      <c r="Q283" s="12"/>
    </row>
    <row r="284">
      <c r="A284" s="1" t="s">
        <v>1616</v>
      </c>
      <c r="B284" s="7" t="s">
        <v>1617</v>
      </c>
      <c r="C284" s="2" t="s">
        <v>3838</v>
      </c>
      <c r="D284" s="7" t="s">
        <v>3839</v>
      </c>
      <c r="E284" s="31"/>
      <c r="F284" s="31"/>
      <c r="G284" s="31"/>
      <c r="H284" s="29"/>
      <c r="I284" s="12"/>
      <c r="J284" s="12"/>
      <c r="K284" s="12"/>
      <c r="L284" s="12"/>
      <c r="M284" s="18" t="str">
        <f t="shared" si="1"/>
        <v>#DIV/0!</v>
      </c>
      <c r="N284" s="18" t="str">
        <f t="shared" si="2"/>
        <v>#DIV/0!</v>
      </c>
      <c r="O284" s="12" t="str">
        <f t="shared" si="4"/>
        <v/>
      </c>
      <c r="P284" s="18" t="str">
        <f t="shared" si="3"/>
        <v>#DIV/0!</v>
      </c>
      <c r="Q284" s="12"/>
    </row>
    <row r="285">
      <c r="A285" s="1" t="s">
        <v>1620</v>
      </c>
      <c r="B285" s="7" t="s">
        <v>1621</v>
      </c>
      <c r="C285" s="2" t="s">
        <v>4206</v>
      </c>
      <c r="D285" s="1" t="s">
        <v>3866</v>
      </c>
      <c r="E285" s="31"/>
      <c r="F285" s="31"/>
      <c r="G285" s="31"/>
      <c r="H285" s="29"/>
      <c r="I285" s="12"/>
      <c r="J285" s="12"/>
      <c r="K285" s="12"/>
      <c r="L285" s="12"/>
      <c r="M285" s="18" t="str">
        <f t="shared" si="1"/>
        <v>#DIV/0!</v>
      </c>
      <c r="N285" s="18" t="str">
        <f t="shared" si="2"/>
        <v>#DIV/0!</v>
      </c>
      <c r="O285" s="12" t="str">
        <f t="shared" si="4"/>
        <v/>
      </c>
      <c r="P285" s="18" t="str">
        <f t="shared" si="3"/>
        <v>#DIV/0!</v>
      </c>
      <c r="Q285" s="12"/>
    </row>
    <row r="286">
      <c r="A286" s="1" t="s">
        <v>1624</v>
      </c>
      <c r="B286" s="7" t="s">
        <v>1625</v>
      </c>
      <c r="C286" s="2" t="s">
        <v>4207</v>
      </c>
      <c r="D286" s="1" t="s">
        <v>3853</v>
      </c>
      <c r="E286" s="31"/>
      <c r="F286" s="31"/>
      <c r="G286" s="31"/>
      <c r="H286" s="29"/>
      <c r="I286" s="12"/>
      <c r="J286" s="12"/>
      <c r="K286" s="12"/>
      <c r="L286" s="12"/>
      <c r="M286" s="18" t="str">
        <f t="shared" si="1"/>
        <v>#DIV/0!</v>
      </c>
      <c r="N286" s="18" t="str">
        <f t="shared" si="2"/>
        <v>#DIV/0!</v>
      </c>
      <c r="O286" s="12" t="str">
        <f t="shared" si="4"/>
        <v/>
      </c>
      <c r="P286" s="18" t="str">
        <f t="shared" si="3"/>
        <v>#DIV/0!</v>
      </c>
      <c r="Q286" s="12"/>
    </row>
    <row r="287">
      <c r="A287" s="1" t="s">
        <v>1626</v>
      </c>
      <c r="B287" s="7" t="s">
        <v>1627</v>
      </c>
      <c r="C287" s="2" t="s">
        <v>4208</v>
      </c>
      <c r="D287" s="7" t="s">
        <v>4209</v>
      </c>
      <c r="E287" s="31"/>
      <c r="F287" s="31"/>
      <c r="G287" s="31"/>
      <c r="H287" s="29"/>
      <c r="I287" s="12"/>
      <c r="J287" s="12"/>
      <c r="K287" s="12"/>
      <c r="L287" s="12"/>
      <c r="M287" s="18" t="str">
        <f t="shared" si="1"/>
        <v>#DIV/0!</v>
      </c>
      <c r="N287" s="18" t="str">
        <f t="shared" si="2"/>
        <v>#DIV/0!</v>
      </c>
      <c r="O287" s="12" t="str">
        <f t="shared" si="4"/>
        <v/>
      </c>
      <c r="P287" s="18" t="str">
        <f t="shared" si="3"/>
        <v>#DIV/0!</v>
      </c>
      <c r="Q287" s="12"/>
    </row>
    <row r="288">
      <c r="A288" s="1" t="s">
        <v>1628</v>
      </c>
      <c r="B288" s="7" t="s">
        <v>1629</v>
      </c>
      <c r="C288" s="2" t="s">
        <v>3846</v>
      </c>
      <c r="D288" s="7" t="s">
        <v>3847</v>
      </c>
      <c r="E288" s="31"/>
      <c r="F288" s="31"/>
      <c r="G288" s="31"/>
      <c r="H288" s="29"/>
      <c r="I288" s="12"/>
      <c r="J288" s="12"/>
      <c r="K288" s="12"/>
      <c r="L288" s="12"/>
      <c r="M288" s="18" t="str">
        <f t="shared" si="1"/>
        <v>#DIV/0!</v>
      </c>
      <c r="N288" s="18" t="str">
        <f t="shared" si="2"/>
        <v>#DIV/0!</v>
      </c>
      <c r="O288" s="12" t="str">
        <f t="shared" si="4"/>
        <v/>
      </c>
      <c r="P288" s="18" t="str">
        <f t="shared" si="3"/>
        <v>#DIV/0!</v>
      </c>
      <c r="Q288" s="12"/>
    </row>
    <row r="289">
      <c r="A289" s="1" t="s">
        <v>1630</v>
      </c>
      <c r="B289" s="7" t="s">
        <v>1631</v>
      </c>
      <c r="C289" s="2" t="s">
        <v>4210</v>
      </c>
      <c r="D289" s="7" t="s">
        <v>4211</v>
      </c>
      <c r="E289" s="31"/>
      <c r="F289" s="31"/>
      <c r="G289" s="31"/>
      <c r="H289" s="29"/>
      <c r="I289" s="12"/>
      <c r="J289" s="12"/>
      <c r="K289" s="12"/>
      <c r="L289" s="12"/>
      <c r="M289" s="18" t="str">
        <f t="shared" si="1"/>
        <v>#DIV/0!</v>
      </c>
      <c r="N289" s="18" t="str">
        <f t="shared" si="2"/>
        <v>#DIV/0!</v>
      </c>
      <c r="O289" s="12" t="str">
        <f t="shared" si="4"/>
        <v/>
      </c>
      <c r="P289" s="18" t="str">
        <f t="shared" si="3"/>
        <v>#DIV/0!</v>
      </c>
      <c r="Q289" s="12"/>
    </row>
    <row r="290">
      <c r="A290" s="1" t="s">
        <v>1649</v>
      </c>
      <c r="B290" s="7" t="s">
        <v>1650</v>
      </c>
      <c r="C290" s="2" t="s">
        <v>3852</v>
      </c>
      <c r="D290" s="1" t="s">
        <v>3837</v>
      </c>
      <c r="E290" s="31"/>
      <c r="F290" s="31"/>
      <c r="G290" s="31"/>
      <c r="H290" s="29"/>
      <c r="I290" s="12"/>
      <c r="J290" s="12"/>
      <c r="K290" s="12"/>
      <c r="L290" s="12"/>
      <c r="M290" s="18" t="str">
        <f t="shared" si="1"/>
        <v>#DIV/0!</v>
      </c>
      <c r="N290" s="18" t="str">
        <f t="shared" si="2"/>
        <v>#DIV/0!</v>
      </c>
      <c r="O290" s="12" t="str">
        <f t="shared" si="4"/>
        <v/>
      </c>
      <c r="P290" s="18" t="str">
        <f t="shared" si="3"/>
        <v>#DIV/0!</v>
      </c>
      <c r="Q290" s="12"/>
    </row>
    <row r="291">
      <c r="A291" s="1" t="s">
        <v>1657</v>
      </c>
      <c r="B291" s="7" t="s">
        <v>1658</v>
      </c>
      <c r="C291" s="2" t="s">
        <v>4212</v>
      </c>
      <c r="D291" s="1" t="s">
        <v>4213</v>
      </c>
      <c r="E291" s="31"/>
      <c r="F291" s="31"/>
      <c r="G291" s="31"/>
      <c r="H291" s="29"/>
      <c r="I291" s="12"/>
      <c r="J291" s="12"/>
      <c r="K291" s="12"/>
      <c r="L291" s="12"/>
      <c r="M291" s="18" t="str">
        <f t="shared" si="1"/>
        <v>#DIV/0!</v>
      </c>
      <c r="N291" s="18" t="str">
        <f t="shared" si="2"/>
        <v>#DIV/0!</v>
      </c>
      <c r="O291" s="12" t="str">
        <f t="shared" si="4"/>
        <v/>
      </c>
      <c r="P291" s="18" t="str">
        <f t="shared" si="3"/>
        <v>#DIV/0!</v>
      </c>
      <c r="Q291" s="12"/>
    </row>
    <row r="292">
      <c r="A292" s="1" t="s">
        <v>1663</v>
      </c>
      <c r="B292" s="7" t="s">
        <v>1664</v>
      </c>
      <c r="C292" s="2" t="s">
        <v>4214</v>
      </c>
      <c r="D292" s="1" t="s">
        <v>4215</v>
      </c>
      <c r="E292" s="31"/>
      <c r="F292" s="31"/>
      <c r="G292" s="31"/>
      <c r="H292" s="29"/>
      <c r="I292" s="12"/>
      <c r="J292" s="12"/>
      <c r="K292" s="12"/>
      <c r="L292" s="12"/>
      <c r="M292" s="18" t="str">
        <f t="shared" si="1"/>
        <v>#DIV/0!</v>
      </c>
      <c r="N292" s="18" t="str">
        <f t="shared" si="2"/>
        <v>#DIV/0!</v>
      </c>
      <c r="O292" s="12" t="str">
        <f t="shared" si="4"/>
        <v/>
      </c>
      <c r="P292" s="18" t="str">
        <f t="shared" si="3"/>
        <v>#DIV/0!</v>
      </c>
      <c r="Q292" s="12"/>
    </row>
    <row r="293">
      <c r="A293" s="1" t="s">
        <v>1671</v>
      </c>
      <c r="B293" s="7" t="s">
        <v>1672</v>
      </c>
      <c r="C293" s="2" t="s">
        <v>3838</v>
      </c>
      <c r="D293" s="7" t="s">
        <v>3839</v>
      </c>
      <c r="E293" s="31"/>
      <c r="F293" s="31"/>
      <c r="G293" s="31"/>
      <c r="H293" s="29"/>
      <c r="I293" s="12"/>
      <c r="J293" s="12"/>
      <c r="K293" s="12"/>
      <c r="L293" s="12"/>
      <c r="M293" s="18" t="str">
        <f t="shared" si="1"/>
        <v>#DIV/0!</v>
      </c>
      <c r="N293" s="18" t="str">
        <f t="shared" si="2"/>
        <v>#DIV/0!</v>
      </c>
      <c r="O293" s="12" t="str">
        <f t="shared" si="4"/>
        <v/>
      </c>
      <c r="P293" s="18" t="str">
        <f t="shared" si="3"/>
        <v>#DIV/0!</v>
      </c>
      <c r="Q293" s="12"/>
    </row>
    <row r="294">
      <c r="A294" s="1" t="s">
        <v>1681</v>
      </c>
      <c r="B294" s="7" t="s">
        <v>1682</v>
      </c>
      <c r="C294" s="2" t="s">
        <v>3879</v>
      </c>
      <c r="D294" s="7" t="s">
        <v>3880</v>
      </c>
      <c r="E294" s="31"/>
      <c r="F294" s="31"/>
      <c r="G294" s="31"/>
      <c r="H294" s="29"/>
      <c r="I294" s="12"/>
      <c r="J294" s="12"/>
      <c r="K294" s="12"/>
      <c r="L294" s="12"/>
      <c r="M294" s="18" t="str">
        <f t="shared" si="1"/>
        <v>#DIV/0!</v>
      </c>
      <c r="N294" s="18" t="str">
        <f t="shared" si="2"/>
        <v>#DIV/0!</v>
      </c>
      <c r="O294" s="12" t="str">
        <f t="shared" si="4"/>
        <v/>
      </c>
      <c r="P294" s="18" t="str">
        <f t="shared" si="3"/>
        <v>#DIV/0!</v>
      </c>
      <c r="Q294" s="12"/>
    </row>
    <row r="295">
      <c r="A295" s="1" t="s">
        <v>1687</v>
      </c>
      <c r="B295" s="7" t="s">
        <v>1688</v>
      </c>
      <c r="C295" s="2" t="s">
        <v>4216</v>
      </c>
      <c r="D295" s="7" t="s">
        <v>4217</v>
      </c>
      <c r="E295" s="31"/>
      <c r="F295" s="31"/>
      <c r="G295" s="31"/>
      <c r="H295" s="29"/>
      <c r="I295" s="12"/>
      <c r="J295" s="12"/>
      <c r="K295" s="12"/>
      <c r="L295" s="12"/>
      <c r="M295" s="18" t="str">
        <f t="shared" si="1"/>
        <v>#DIV/0!</v>
      </c>
      <c r="N295" s="18" t="str">
        <f t="shared" si="2"/>
        <v>#DIV/0!</v>
      </c>
      <c r="O295" s="12" t="str">
        <f t="shared" si="4"/>
        <v/>
      </c>
      <c r="P295" s="18" t="str">
        <f t="shared" si="3"/>
        <v>#DIV/0!</v>
      </c>
      <c r="Q295" s="12"/>
    </row>
    <row r="296">
      <c r="A296" s="1" t="s">
        <v>1695</v>
      </c>
      <c r="B296" s="7" t="s">
        <v>1696</v>
      </c>
      <c r="C296" s="2" t="s">
        <v>3838</v>
      </c>
      <c r="D296" s="7" t="s">
        <v>3839</v>
      </c>
      <c r="E296" s="31"/>
      <c r="F296" s="31"/>
      <c r="G296" s="31"/>
      <c r="H296" s="29"/>
      <c r="I296" s="12"/>
      <c r="J296" s="12"/>
      <c r="K296" s="12"/>
      <c r="L296" s="12"/>
      <c r="M296" s="18" t="str">
        <f t="shared" si="1"/>
        <v>#DIV/0!</v>
      </c>
      <c r="N296" s="18" t="str">
        <f t="shared" si="2"/>
        <v>#DIV/0!</v>
      </c>
      <c r="O296" s="12" t="str">
        <f t="shared" si="4"/>
        <v/>
      </c>
      <c r="P296" s="18" t="str">
        <f t="shared" si="3"/>
        <v>#DIV/0!</v>
      </c>
      <c r="Q296" s="12"/>
    </row>
    <row r="297">
      <c r="A297" s="1" t="s">
        <v>1697</v>
      </c>
      <c r="B297" s="7" t="s">
        <v>1698</v>
      </c>
      <c r="C297" s="2" t="s">
        <v>4218</v>
      </c>
      <c r="E297" s="31"/>
      <c r="F297" s="31"/>
      <c r="G297" s="31"/>
      <c r="H297" s="29"/>
      <c r="I297" s="12"/>
      <c r="J297" s="12"/>
      <c r="K297" s="12"/>
      <c r="L297" s="12"/>
      <c r="M297" s="18" t="str">
        <f t="shared" si="1"/>
        <v>#DIV/0!</v>
      </c>
      <c r="N297" s="18" t="str">
        <f t="shared" si="2"/>
        <v>#DIV/0!</v>
      </c>
      <c r="O297" s="12" t="str">
        <f t="shared" si="4"/>
        <v/>
      </c>
      <c r="P297" s="18" t="str">
        <f t="shared" si="3"/>
        <v>#DIV/0!</v>
      </c>
      <c r="Q297" s="12"/>
    </row>
    <row r="298">
      <c r="A298" s="1" t="s">
        <v>1705</v>
      </c>
      <c r="B298" s="7" t="s">
        <v>1706</v>
      </c>
      <c r="C298" s="2" t="s">
        <v>4219</v>
      </c>
      <c r="D298" s="7" t="s">
        <v>4220</v>
      </c>
      <c r="E298" s="31"/>
      <c r="F298" s="31"/>
      <c r="G298" s="31"/>
      <c r="H298" s="29"/>
      <c r="I298" s="12"/>
      <c r="J298" s="12"/>
      <c r="K298" s="12"/>
      <c r="L298" s="12"/>
      <c r="M298" s="18" t="str">
        <f t="shared" si="1"/>
        <v>#DIV/0!</v>
      </c>
      <c r="N298" s="18" t="str">
        <f t="shared" si="2"/>
        <v>#DIV/0!</v>
      </c>
      <c r="O298" s="12" t="str">
        <f t="shared" si="4"/>
        <v/>
      </c>
      <c r="P298" s="18" t="str">
        <f t="shared" si="3"/>
        <v>#DIV/0!</v>
      </c>
      <c r="Q298" s="12"/>
    </row>
    <row r="299">
      <c r="A299" s="1" t="s">
        <v>1709</v>
      </c>
      <c r="B299" s="7" t="s">
        <v>1710</v>
      </c>
      <c r="C299" s="2" t="s">
        <v>4221</v>
      </c>
      <c r="D299" s="1" t="s">
        <v>4222</v>
      </c>
      <c r="E299" s="31"/>
      <c r="F299" s="31"/>
      <c r="G299" s="31"/>
      <c r="H299" s="29"/>
      <c r="I299" s="12"/>
      <c r="J299" s="12"/>
      <c r="K299" s="12"/>
      <c r="L299" s="12"/>
      <c r="M299" s="18" t="str">
        <f t="shared" si="1"/>
        <v>#DIV/0!</v>
      </c>
      <c r="N299" s="18" t="str">
        <f t="shared" si="2"/>
        <v>#DIV/0!</v>
      </c>
      <c r="O299" s="12" t="str">
        <f t="shared" si="4"/>
        <v/>
      </c>
      <c r="P299" s="18" t="str">
        <f t="shared" si="3"/>
        <v>#DIV/0!</v>
      </c>
      <c r="Q299" s="12"/>
    </row>
    <row r="300">
      <c r="A300" s="1" t="s">
        <v>1713</v>
      </c>
      <c r="B300" s="7" t="s">
        <v>1714</v>
      </c>
      <c r="C300" s="2" t="s">
        <v>4223</v>
      </c>
      <c r="D300" s="1" t="s">
        <v>4224</v>
      </c>
      <c r="E300" s="31"/>
      <c r="F300" s="31"/>
      <c r="G300" s="31"/>
      <c r="H300" s="29"/>
      <c r="I300" s="12"/>
      <c r="J300" s="12"/>
      <c r="K300" s="12"/>
      <c r="L300" s="12"/>
      <c r="M300" s="18" t="str">
        <f t="shared" si="1"/>
        <v>#DIV/0!</v>
      </c>
      <c r="N300" s="18" t="str">
        <f t="shared" si="2"/>
        <v>#DIV/0!</v>
      </c>
      <c r="O300" s="12" t="str">
        <f t="shared" si="4"/>
        <v/>
      </c>
      <c r="P300" s="18" t="str">
        <f t="shared" si="3"/>
        <v>#DIV/0!</v>
      </c>
      <c r="Q300" s="12"/>
    </row>
    <row r="301">
      <c r="A301" s="1" t="s">
        <v>1717</v>
      </c>
      <c r="B301" s="7" t="s">
        <v>1718</v>
      </c>
      <c r="C301" s="2" t="s">
        <v>3846</v>
      </c>
      <c r="D301" s="7" t="s">
        <v>3847</v>
      </c>
      <c r="E301" s="31"/>
      <c r="F301" s="31"/>
      <c r="G301" s="31"/>
      <c r="H301" s="29"/>
      <c r="I301" s="12"/>
      <c r="J301" s="12"/>
      <c r="K301" s="12"/>
      <c r="L301" s="12"/>
      <c r="M301" s="18" t="str">
        <f t="shared" si="1"/>
        <v>#DIV/0!</v>
      </c>
      <c r="N301" s="18" t="str">
        <f t="shared" si="2"/>
        <v>#DIV/0!</v>
      </c>
      <c r="O301" s="12" t="str">
        <f t="shared" si="4"/>
        <v/>
      </c>
      <c r="P301" s="18" t="str">
        <f t="shared" si="3"/>
        <v>#DIV/0!</v>
      </c>
      <c r="Q301" s="12"/>
    </row>
    <row r="302">
      <c r="A302" s="1" t="s">
        <v>1719</v>
      </c>
      <c r="B302" s="7" t="s">
        <v>1720</v>
      </c>
      <c r="C302" s="2" t="s">
        <v>4219</v>
      </c>
      <c r="D302" s="7" t="s">
        <v>4220</v>
      </c>
      <c r="E302" s="31"/>
      <c r="F302" s="31"/>
      <c r="G302" s="31"/>
      <c r="H302" s="29"/>
      <c r="I302" s="12"/>
      <c r="J302" s="12"/>
      <c r="K302" s="12"/>
      <c r="L302" s="12"/>
      <c r="M302" s="18" t="str">
        <f t="shared" si="1"/>
        <v>#DIV/0!</v>
      </c>
      <c r="N302" s="18" t="str">
        <f t="shared" si="2"/>
        <v>#DIV/0!</v>
      </c>
      <c r="O302" s="12" t="str">
        <f t="shared" si="4"/>
        <v/>
      </c>
      <c r="P302" s="18" t="str">
        <f t="shared" si="3"/>
        <v>#DIV/0!</v>
      </c>
      <c r="Q302" s="12"/>
    </row>
    <row r="303">
      <c r="A303" s="1" t="s">
        <v>1731</v>
      </c>
      <c r="B303" s="7" t="s">
        <v>1732</v>
      </c>
      <c r="C303" s="2" t="s">
        <v>3887</v>
      </c>
      <c r="D303" s="7" t="s">
        <v>3888</v>
      </c>
      <c r="E303" s="31"/>
      <c r="F303" s="31"/>
      <c r="G303" s="31"/>
      <c r="H303" s="29"/>
      <c r="I303" s="12"/>
      <c r="J303" s="12"/>
      <c r="K303" s="12"/>
      <c r="L303" s="12"/>
      <c r="M303" s="18" t="str">
        <f t="shared" si="1"/>
        <v>#DIV/0!</v>
      </c>
      <c r="N303" s="18" t="str">
        <f t="shared" si="2"/>
        <v>#DIV/0!</v>
      </c>
      <c r="O303" s="12" t="str">
        <f t="shared" si="4"/>
        <v/>
      </c>
      <c r="P303" s="18" t="str">
        <f t="shared" si="3"/>
        <v>#DIV/0!</v>
      </c>
      <c r="Q303" s="12"/>
    </row>
    <row r="304">
      <c r="A304" s="1" t="s">
        <v>1733</v>
      </c>
      <c r="B304" s="7" t="s">
        <v>1734</v>
      </c>
      <c r="C304" s="2" t="s">
        <v>3885</v>
      </c>
      <c r="D304" s="1" t="s">
        <v>3886</v>
      </c>
      <c r="E304" s="31"/>
      <c r="F304" s="31"/>
      <c r="G304" s="31"/>
      <c r="H304" s="29"/>
      <c r="I304" s="12"/>
      <c r="J304" s="12"/>
      <c r="K304" s="12"/>
      <c r="L304" s="12"/>
      <c r="M304" s="18" t="str">
        <f t="shared" si="1"/>
        <v>#DIV/0!</v>
      </c>
      <c r="N304" s="18" t="str">
        <f t="shared" si="2"/>
        <v>#DIV/0!</v>
      </c>
      <c r="O304" s="12" t="str">
        <f t="shared" si="4"/>
        <v/>
      </c>
      <c r="P304" s="18" t="str">
        <f t="shared" si="3"/>
        <v>#DIV/0!</v>
      </c>
      <c r="Q304" s="12"/>
    </row>
    <row r="305">
      <c r="A305" s="1" t="s">
        <v>1736</v>
      </c>
      <c r="B305" s="7" t="s">
        <v>1737</v>
      </c>
      <c r="C305" s="2" t="s">
        <v>4225</v>
      </c>
      <c r="D305" s="1" t="s">
        <v>4226</v>
      </c>
      <c r="E305" s="31"/>
      <c r="F305" s="31"/>
      <c r="G305" s="31"/>
      <c r="H305" s="29"/>
      <c r="I305" s="12"/>
      <c r="J305" s="12"/>
      <c r="K305" s="12"/>
      <c r="L305" s="12"/>
      <c r="M305" s="18" t="str">
        <f t="shared" si="1"/>
        <v>#DIV/0!</v>
      </c>
      <c r="N305" s="18" t="str">
        <f t="shared" si="2"/>
        <v>#DIV/0!</v>
      </c>
      <c r="O305" s="12" t="str">
        <f t="shared" si="4"/>
        <v/>
      </c>
      <c r="P305" s="18" t="str">
        <f t="shared" si="3"/>
        <v>#DIV/0!</v>
      </c>
      <c r="Q305" s="12"/>
    </row>
    <row r="306">
      <c r="A306" s="1" t="s">
        <v>1740</v>
      </c>
      <c r="B306" s="7" t="s">
        <v>1741</v>
      </c>
      <c r="C306" s="2" t="s">
        <v>3838</v>
      </c>
      <c r="D306" s="7" t="s">
        <v>3839</v>
      </c>
      <c r="E306" s="31"/>
      <c r="F306" s="31"/>
      <c r="G306" s="31"/>
      <c r="H306" s="29"/>
      <c r="I306" s="12"/>
      <c r="J306" s="12"/>
      <c r="K306" s="12"/>
      <c r="L306" s="12"/>
      <c r="M306" s="18" t="str">
        <f t="shared" si="1"/>
        <v>#DIV/0!</v>
      </c>
      <c r="N306" s="18" t="str">
        <f t="shared" si="2"/>
        <v>#DIV/0!</v>
      </c>
      <c r="O306" s="12" t="str">
        <f t="shared" si="4"/>
        <v/>
      </c>
      <c r="P306" s="18" t="str">
        <f t="shared" si="3"/>
        <v>#DIV/0!</v>
      </c>
      <c r="Q306" s="12"/>
    </row>
    <row r="307">
      <c r="A307" s="1" t="s">
        <v>1746</v>
      </c>
      <c r="B307" s="7" t="s">
        <v>1747</v>
      </c>
      <c r="C307" s="2" t="s">
        <v>4227</v>
      </c>
      <c r="D307" s="1" t="s">
        <v>4228</v>
      </c>
      <c r="E307" s="31"/>
      <c r="F307" s="31"/>
      <c r="G307" s="31"/>
      <c r="H307" s="29"/>
      <c r="I307" s="12"/>
      <c r="J307" s="12"/>
      <c r="K307" s="12"/>
      <c r="L307" s="12"/>
      <c r="M307" s="18" t="str">
        <f t="shared" si="1"/>
        <v>#DIV/0!</v>
      </c>
      <c r="N307" s="18" t="str">
        <f t="shared" si="2"/>
        <v>#DIV/0!</v>
      </c>
      <c r="O307" s="12" t="str">
        <f t="shared" si="4"/>
        <v/>
      </c>
      <c r="P307" s="18" t="str">
        <f t="shared" si="3"/>
        <v>#DIV/0!</v>
      </c>
      <c r="Q307" s="12"/>
    </row>
    <row r="308">
      <c r="A308" s="1" t="s">
        <v>1748</v>
      </c>
      <c r="B308" s="7" t="s">
        <v>1749</v>
      </c>
      <c r="C308" s="2" t="s">
        <v>3838</v>
      </c>
      <c r="D308" s="7" t="s">
        <v>3839</v>
      </c>
      <c r="E308" s="31"/>
      <c r="F308" s="31"/>
      <c r="G308" s="31"/>
      <c r="H308" s="29"/>
      <c r="I308" s="12"/>
      <c r="J308" s="12"/>
      <c r="K308" s="12"/>
      <c r="L308" s="12"/>
      <c r="M308" s="18" t="str">
        <f t="shared" si="1"/>
        <v>#DIV/0!</v>
      </c>
      <c r="N308" s="18" t="str">
        <f t="shared" si="2"/>
        <v>#DIV/0!</v>
      </c>
      <c r="O308" s="12" t="str">
        <f t="shared" si="4"/>
        <v/>
      </c>
      <c r="P308" s="18" t="str">
        <f t="shared" si="3"/>
        <v>#DIV/0!</v>
      </c>
      <c r="Q308" s="12"/>
    </row>
    <row r="309">
      <c r="A309" s="1" t="s">
        <v>1750</v>
      </c>
      <c r="B309" s="7" t="s">
        <v>1751</v>
      </c>
      <c r="C309" s="2" t="s">
        <v>4032</v>
      </c>
      <c r="D309" s="7" t="s">
        <v>4033</v>
      </c>
      <c r="E309" s="31"/>
      <c r="F309" s="31"/>
      <c r="G309" s="31"/>
      <c r="H309" s="29"/>
      <c r="I309" s="12"/>
      <c r="J309" s="12"/>
      <c r="K309" s="12"/>
      <c r="L309" s="12"/>
      <c r="M309" s="18" t="str">
        <f t="shared" si="1"/>
        <v>#DIV/0!</v>
      </c>
      <c r="N309" s="18" t="str">
        <f t="shared" si="2"/>
        <v>#DIV/0!</v>
      </c>
      <c r="O309" s="12" t="str">
        <f t="shared" si="4"/>
        <v/>
      </c>
      <c r="P309" s="18" t="str">
        <f t="shared" si="3"/>
        <v>#DIV/0!</v>
      </c>
      <c r="Q309" s="12"/>
    </row>
    <row r="310">
      <c r="A310" s="1" t="s">
        <v>1758</v>
      </c>
      <c r="B310" s="7" t="s">
        <v>1759</v>
      </c>
      <c r="C310" s="2" t="s">
        <v>3955</v>
      </c>
      <c r="D310" s="7" t="s">
        <v>3956</v>
      </c>
      <c r="E310" s="31"/>
      <c r="F310" s="31"/>
      <c r="G310" s="31"/>
      <c r="H310" s="29"/>
      <c r="I310" s="12"/>
      <c r="J310" s="12"/>
      <c r="K310" s="12"/>
      <c r="L310" s="12"/>
      <c r="M310" s="18" t="str">
        <f t="shared" si="1"/>
        <v>#DIV/0!</v>
      </c>
      <c r="N310" s="18" t="str">
        <f t="shared" si="2"/>
        <v>#DIV/0!</v>
      </c>
      <c r="O310" s="12" t="str">
        <f t="shared" si="4"/>
        <v/>
      </c>
      <c r="P310" s="18" t="str">
        <f t="shared" si="3"/>
        <v>#DIV/0!</v>
      </c>
      <c r="Q310" s="12"/>
    </row>
    <row r="311">
      <c r="A311" s="1" t="s">
        <v>1765</v>
      </c>
      <c r="B311" s="7" t="s">
        <v>1766</v>
      </c>
      <c r="C311" s="2" t="s">
        <v>4229</v>
      </c>
      <c r="D311" s="1" t="s">
        <v>4230</v>
      </c>
      <c r="E311" s="31"/>
      <c r="F311" s="31"/>
      <c r="G311" s="31"/>
      <c r="H311" s="29"/>
      <c r="I311" s="12"/>
      <c r="J311" s="12"/>
      <c r="K311" s="12"/>
      <c r="L311" s="12"/>
      <c r="M311" s="18" t="str">
        <f t="shared" si="1"/>
        <v>#DIV/0!</v>
      </c>
      <c r="N311" s="18" t="str">
        <f t="shared" si="2"/>
        <v>#DIV/0!</v>
      </c>
      <c r="O311" s="12" t="str">
        <f t="shared" si="4"/>
        <v/>
      </c>
      <c r="P311" s="18" t="str">
        <f t="shared" si="3"/>
        <v>#DIV/0!</v>
      </c>
      <c r="Q311" s="12"/>
    </row>
    <row r="312">
      <c r="A312" s="1" t="s">
        <v>1769</v>
      </c>
      <c r="B312" s="7" t="s">
        <v>1770</v>
      </c>
      <c r="C312" s="2" t="s">
        <v>4002</v>
      </c>
      <c r="D312" s="7" t="s">
        <v>4003</v>
      </c>
      <c r="E312" s="31"/>
      <c r="F312" s="31"/>
      <c r="G312" s="31"/>
      <c r="H312" s="29"/>
      <c r="I312" s="12"/>
      <c r="J312" s="12"/>
      <c r="K312" s="12"/>
      <c r="L312" s="12"/>
      <c r="M312" s="18" t="str">
        <f t="shared" si="1"/>
        <v>#DIV/0!</v>
      </c>
      <c r="N312" s="18" t="str">
        <f t="shared" si="2"/>
        <v>#DIV/0!</v>
      </c>
      <c r="O312" s="12" t="str">
        <f t="shared" si="4"/>
        <v/>
      </c>
      <c r="P312" s="18" t="str">
        <f t="shared" si="3"/>
        <v>#DIV/0!</v>
      </c>
      <c r="Q312" s="12"/>
    </row>
    <row r="313">
      <c r="A313" s="1" t="s">
        <v>1772</v>
      </c>
      <c r="B313" s="7" t="s">
        <v>1773</v>
      </c>
      <c r="C313" s="2" t="s">
        <v>4231</v>
      </c>
      <c r="D313" s="1" t="s">
        <v>4232</v>
      </c>
      <c r="E313" s="31"/>
      <c r="F313" s="31"/>
      <c r="G313" s="31"/>
      <c r="H313" s="29"/>
      <c r="I313" s="12"/>
      <c r="J313" s="12"/>
      <c r="K313" s="12"/>
      <c r="L313" s="12"/>
      <c r="M313" s="18" t="str">
        <f t="shared" si="1"/>
        <v>#DIV/0!</v>
      </c>
      <c r="N313" s="18" t="str">
        <f t="shared" si="2"/>
        <v>#DIV/0!</v>
      </c>
      <c r="O313" s="12" t="str">
        <f t="shared" si="4"/>
        <v/>
      </c>
      <c r="P313" s="18" t="str">
        <f t="shared" si="3"/>
        <v>#DIV/0!</v>
      </c>
      <c r="Q313" s="12"/>
    </row>
    <row r="314">
      <c r="A314" s="1" t="s">
        <v>1775</v>
      </c>
      <c r="B314" s="7" t="s">
        <v>1776</v>
      </c>
      <c r="C314" s="2" t="s">
        <v>3978</v>
      </c>
      <c r="D314" s="7" t="s">
        <v>3979</v>
      </c>
      <c r="E314" s="31"/>
      <c r="F314" s="31"/>
      <c r="G314" s="31"/>
      <c r="H314" s="29"/>
      <c r="I314" s="12"/>
      <c r="J314" s="12"/>
      <c r="K314" s="12"/>
      <c r="L314" s="12"/>
      <c r="M314" s="18" t="str">
        <f t="shared" si="1"/>
        <v>#DIV/0!</v>
      </c>
      <c r="N314" s="18" t="str">
        <f t="shared" si="2"/>
        <v>#DIV/0!</v>
      </c>
      <c r="O314" s="12" t="str">
        <f t="shared" si="4"/>
        <v/>
      </c>
      <c r="P314" s="18" t="str">
        <f t="shared" si="3"/>
        <v>#DIV/0!</v>
      </c>
      <c r="Q314" s="12"/>
    </row>
    <row r="315">
      <c r="A315" s="1" t="s">
        <v>1782</v>
      </c>
      <c r="B315" s="7" t="s">
        <v>1783</v>
      </c>
      <c r="C315" s="2" t="s">
        <v>4233</v>
      </c>
      <c r="D315" s="1" t="s">
        <v>4234</v>
      </c>
      <c r="E315" s="31"/>
      <c r="F315" s="31"/>
      <c r="G315" s="31"/>
      <c r="H315" s="29"/>
      <c r="I315" s="12"/>
      <c r="J315" s="12"/>
      <c r="K315" s="12"/>
      <c r="L315" s="12"/>
      <c r="M315" s="18" t="str">
        <f t="shared" si="1"/>
        <v>#DIV/0!</v>
      </c>
      <c r="N315" s="18" t="str">
        <f t="shared" si="2"/>
        <v>#DIV/0!</v>
      </c>
      <c r="O315" s="12" t="str">
        <f t="shared" si="4"/>
        <v/>
      </c>
      <c r="P315" s="18" t="str">
        <f t="shared" si="3"/>
        <v>#DIV/0!</v>
      </c>
      <c r="Q315" s="12"/>
    </row>
    <row r="316">
      <c r="A316" s="1" t="s">
        <v>1790</v>
      </c>
      <c r="B316" s="7" t="s">
        <v>1791</v>
      </c>
      <c r="C316" s="2" t="s">
        <v>3838</v>
      </c>
      <c r="D316" s="7" t="s">
        <v>3839</v>
      </c>
      <c r="E316" s="31"/>
      <c r="F316" s="31"/>
      <c r="G316" s="31"/>
      <c r="H316" s="29"/>
      <c r="I316" s="12"/>
      <c r="J316" s="12"/>
      <c r="K316" s="12"/>
      <c r="L316" s="12"/>
      <c r="M316" s="18" t="str">
        <f t="shared" si="1"/>
        <v>#DIV/0!</v>
      </c>
      <c r="N316" s="18" t="str">
        <f t="shared" si="2"/>
        <v>#DIV/0!</v>
      </c>
      <c r="O316" s="12" t="str">
        <f t="shared" si="4"/>
        <v/>
      </c>
      <c r="P316" s="18" t="str">
        <f t="shared" si="3"/>
        <v>#DIV/0!</v>
      </c>
      <c r="Q316" s="12"/>
    </row>
    <row r="317">
      <c r="A317" s="1" t="s">
        <v>1800</v>
      </c>
      <c r="B317" s="7" t="s">
        <v>1801</v>
      </c>
      <c r="C317" s="2" t="s">
        <v>4235</v>
      </c>
      <c r="E317" s="31"/>
      <c r="F317" s="31"/>
      <c r="G317" s="31"/>
      <c r="H317" s="29"/>
      <c r="I317" s="12"/>
      <c r="J317" s="12"/>
      <c r="K317" s="12"/>
      <c r="L317" s="12"/>
      <c r="M317" s="18" t="str">
        <f t="shared" si="1"/>
        <v>#DIV/0!</v>
      </c>
      <c r="N317" s="18" t="str">
        <f t="shared" si="2"/>
        <v>#DIV/0!</v>
      </c>
      <c r="O317" s="12" t="str">
        <f t="shared" si="4"/>
        <v/>
      </c>
      <c r="P317" s="18" t="str">
        <f t="shared" si="3"/>
        <v>#DIV/0!</v>
      </c>
      <c r="Q317" s="12"/>
    </row>
    <row r="318">
      <c r="A318" s="1" t="s">
        <v>1804</v>
      </c>
      <c r="B318" s="7" t="s">
        <v>1805</v>
      </c>
      <c r="C318" s="2" t="s">
        <v>4236</v>
      </c>
      <c r="D318" s="1" t="s">
        <v>4237</v>
      </c>
      <c r="E318" s="31"/>
      <c r="F318" s="31"/>
      <c r="G318" s="31"/>
      <c r="H318" s="29"/>
      <c r="I318" s="12"/>
      <c r="J318" s="12"/>
      <c r="K318" s="12"/>
      <c r="L318" s="12"/>
      <c r="M318" s="18" t="str">
        <f t="shared" si="1"/>
        <v>#DIV/0!</v>
      </c>
      <c r="N318" s="18" t="str">
        <f t="shared" si="2"/>
        <v>#DIV/0!</v>
      </c>
      <c r="O318" s="12" t="str">
        <f t="shared" si="4"/>
        <v/>
      </c>
      <c r="P318" s="18" t="str">
        <f t="shared" si="3"/>
        <v>#DIV/0!</v>
      </c>
      <c r="Q318" s="12"/>
    </row>
    <row r="319">
      <c r="A319" s="1" t="s">
        <v>1808</v>
      </c>
      <c r="B319" s="7" t="s">
        <v>1809</v>
      </c>
      <c r="C319" s="2" t="s">
        <v>3838</v>
      </c>
      <c r="D319" s="7" t="s">
        <v>3839</v>
      </c>
      <c r="E319" s="31"/>
      <c r="F319" s="31"/>
      <c r="G319" s="31"/>
      <c r="H319" s="29"/>
      <c r="I319" s="12"/>
      <c r="J319" s="12"/>
      <c r="K319" s="12"/>
      <c r="L319" s="12"/>
      <c r="M319" s="18" t="str">
        <f t="shared" si="1"/>
        <v>#DIV/0!</v>
      </c>
      <c r="N319" s="18" t="str">
        <f t="shared" si="2"/>
        <v>#DIV/0!</v>
      </c>
      <c r="O319" s="12" t="str">
        <f t="shared" si="4"/>
        <v/>
      </c>
      <c r="P319" s="18" t="str">
        <f t="shared" si="3"/>
        <v>#DIV/0!</v>
      </c>
      <c r="Q319" s="12"/>
    </row>
    <row r="320">
      <c r="A320" s="1" t="s">
        <v>1810</v>
      </c>
      <c r="B320" s="7" t="s">
        <v>1811</v>
      </c>
      <c r="C320" s="2" t="s">
        <v>3838</v>
      </c>
      <c r="D320" s="7" t="s">
        <v>3839</v>
      </c>
      <c r="E320" s="31"/>
      <c r="F320" s="31"/>
      <c r="G320" s="31"/>
      <c r="H320" s="29"/>
      <c r="I320" s="12"/>
      <c r="J320" s="12"/>
      <c r="K320" s="12"/>
      <c r="L320" s="12"/>
      <c r="M320" s="18" t="str">
        <f t="shared" si="1"/>
        <v>#DIV/0!</v>
      </c>
      <c r="N320" s="18" t="str">
        <f t="shared" si="2"/>
        <v>#DIV/0!</v>
      </c>
      <c r="O320" s="12" t="str">
        <f t="shared" si="4"/>
        <v/>
      </c>
      <c r="P320" s="18" t="str">
        <f t="shared" si="3"/>
        <v>#DIV/0!</v>
      </c>
      <c r="Q320" s="12"/>
    </row>
    <row r="321">
      <c r="A321" s="1" t="s">
        <v>1812</v>
      </c>
      <c r="B321" s="7" t="s">
        <v>1813</v>
      </c>
      <c r="C321" s="2" t="s">
        <v>4238</v>
      </c>
      <c r="D321" s="7" t="s">
        <v>4239</v>
      </c>
      <c r="E321" s="31"/>
      <c r="F321" s="31"/>
      <c r="G321" s="31"/>
      <c r="H321" s="29"/>
      <c r="I321" s="12"/>
      <c r="J321" s="12"/>
      <c r="K321" s="12"/>
      <c r="L321" s="12"/>
      <c r="M321" s="18" t="str">
        <f t="shared" si="1"/>
        <v>#DIV/0!</v>
      </c>
      <c r="N321" s="18" t="str">
        <f t="shared" si="2"/>
        <v>#DIV/0!</v>
      </c>
      <c r="O321" s="12" t="str">
        <f t="shared" si="4"/>
        <v/>
      </c>
      <c r="P321" s="18" t="str">
        <f t="shared" si="3"/>
        <v>#DIV/0!</v>
      </c>
      <c r="Q321" s="12"/>
    </row>
    <row r="322">
      <c r="A322" s="1" t="s">
        <v>1822</v>
      </c>
      <c r="B322" s="7" t="s">
        <v>1823</v>
      </c>
      <c r="C322" s="2" t="s">
        <v>4240</v>
      </c>
      <c r="D322" s="1" t="s">
        <v>4241</v>
      </c>
      <c r="E322" s="31"/>
      <c r="F322" s="31"/>
      <c r="G322" s="31"/>
      <c r="H322" s="29"/>
      <c r="I322" s="12"/>
      <c r="J322" s="12"/>
      <c r="K322" s="12"/>
      <c r="L322" s="12"/>
      <c r="M322" s="18" t="str">
        <f t="shared" si="1"/>
        <v>#DIV/0!</v>
      </c>
      <c r="N322" s="18" t="str">
        <f t="shared" si="2"/>
        <v>#DIV/0!</v>
      </c>
      <c r="O322" s="12" t="str">
        <f t="shared" si="4"/>
        <v/>
      </c>
      <c r="P322" s="18" t="str">
        <f t="shared" si="3"/>
        <v>#DIV/0!</v>
      </c>
      <c r="Q322" s="12"/>
    </row>
    <row r="323">
      <c r="A323" s="1" t="s">
        <v>1826</v>
      </c>
      <c r="B323" s="7" t="s">
        <v>1827</v>
      </c>
      <c r="C323" s="2" t="s">
        <v>4242</v>
      </c>
      <c r="D323" s="1" t="s">
        <v>4243</v>
      </c>
      <c r="E323" s="31"/>
      <c r="F323" s="31"/>
      <c r="G323" s="31"/>
      <c r="H323" s="29"/>
      <c r="I323" s="12"/>
      <c r="J323" s="12"/>
      <c r="K323" s="12"/>
      <c r="L323" s="12"/>
      <c r="M323" s="18" t="str">
        <f t="shared" si="1"/>
        <v>#DIV/0!</v>
      </c>
      <c r="N323" s="18" t="str">
        <f t="shared" si="2"/>
        <v>#DIV/0!</v>
      </c>
      <c r="O323" s="12" t="str">
        <f t="shared" si="4"/>
        <v/>
      </c>
      <c r="P323" s="18" t="str">
        <f t="shared" si="3"/>
        <v>#DIV/0!</v>
      </c>
      <c r="Q323" s="12"/>
    </row>
    <row r="324">
      <c r="A324" s="1" t="s">
        <v>1834</v>
      </c>
      <c r="B324" s="7" t="s">
        <v>1835</v>
      </c>
      <c r="C324" s="2" t="s">
        <v>3846</v>
      </c>
      <c r="D324" s="7" t="s">
        <v>3847</v>
      </c>
      <c r="E324" s="31"/>
      <c r="F324" s="31"/>
      <c r="G324" s="31"/>
      <c r="H324" s="29"/>
      <c r="I324" s="12"/>
      <c r="J324" s="12"/>
      <c r="K324" s="12"/>
      <c r="L324" s="12"/>
      <c r="M324" s="18" t="str">
        <f t="shared" si="1"/>
        <v>#DIV/0!</v>
      </c>
      <c r="N324" s="18" t="str">
        <f t="shared" si="2"/>
        <v>#DIV/0!</v>
      </c>
      <c r="O324" s="12" t="str">
        <f t="shared" si="4"/>
        <v/>
      </c>
      <c r="P324" s="18" t="str">
        <f t="shared" si="3"/>
        <v>#DIV/0!</v>
      </c>
      <c r="Q324" s="12"/>
    </row>
    <row r="325">
      <c r="A325" s="1" t="s">
        <v>1860</v>
      </c>
      <c r="B325" s="7" t="s">
        <v>1861</v>
      </c>
      <c r="C325" s="2" t="s">
        <v>4105</v>
      </c>
      <c r="D325" s="1" t="s">
        <v>3853</v>
      </c>
      <c r="E325" s="31"/>
      <c r="F325" s="31"/>
      <c r="G325" s="31"/>
      <c r="H325" s="29"/>
      <c r="I325" s="12"/>
      <c r="J325" s="12"/>
      <c r="K325" s="12"/>
      <c r="L325" s="12"/>
      <c r="M325" s="18" t="str">
        <f t="shared" si="1"/>
        <v>#DIV/0!</v>
      </c>
      <c r="N325" s="18" t="str">
        <f t="shared" si="2"/>
        <v>#DIV/0!</v>
      </c>
      <c r="O325" s="12" t="str">
        <f t="shared" si="4"/>
        <v/>
      </c>
      <c r="P325" s="18" t="str">
        <f t="shared" si="3"/>
        <v>#DIV/0!</v>
      </c>
      <c r="Q325" s="12"/>
    </row>
    <row r="326">
      <c r="A326" s="1" t="s">
        <v>1864</v>
      </c>
      <c r="B326" s="7" t="s">
        <v>1865</v>
      </c>
      <c r="C326" s="2" t="s">
        <v>4244</v>
      </c>
      <c r="D326" s="1" t="s">
        <v>4245</v>
      </c>
      <c r="E326" s="31"/>
      <c r="F326" s="31"/>
      <c r="G326" s="31"/>
      <c r="H326" s="29"/>
      <c r="I326" s="12"/>
      <c r="J326" s="12"/>
      <c r="K326" s="12"/>
      <c r="L326" s="12"/>
      <c r="M326" s="18" t="str">
        <f t="shared" si="1"/>
        <v>#DIV/0!</v>
      </c>
      <c r="N326" s="18" t="str">
        <f t="shared" si="2"/>
        <v>#DIV/0!</v>
      </c>
      <c r="O326" s="12" t="str">
        <f t="shared" si="4"/>
        <v/>
      </c>
      <c r="P326" s="18" t="str">
        <f t="shared" si="3"/>
        <v>#DIV/0!</v>
      </c>
      <c r="Q326" s="12"/>
    </row>
    <row r="327">
      <c r="A327" s="1" t="s">
        <v>1868</v>
      </c>
      <c r="B327" s="7" t="s">
        <v>1869</v>
      </c>
      <c r="C327" s="2" t="s">
        <v>4246</v>
      </c>
      <c r="D327" s="1" t="s">
        <v>4247</v>
      </c>
      <c r="E327" s="31"/>
      <c r="F327" s="31"/>
      <c r="G327" s="31"/>
      <c r="H327" s="29"/>
      <c r="I327" s="12"/>
      <c r="J327" s="12"/>
      <c r="K327" s="12"/>
      <c r="L327" s="12"/>
      <c r="M327" s="18" t="str">
        <f t="shared" si="1"/>
        <v>#DIV/0!</v>
      </c>
      <c r="N327" s="18" t="str">
        <f t="shared" si="2"/>
        <v>#DIV/0!</v>
      </c>
      <c r="O327" s="12" t="str">
        <f t="shared" si="4"/>
        <v/>
      </c>
      <c r="P327" s="18" t="str">
        <f t="shared" si="3"/>
        <v>#DIV/0!</v>
      </c>
      <c r="Q327" s="12"/>
    </row>
    <row r="328">
      <c r="A328" s="1" t="s">
        <v>1872</v>
      </c>
      <c r="B328" s="7" t="s">
        <v>1873</v>
      </c>
      <c r="C328" s="2" t="s">
        <v>4248</v>
      </c>
      <c r="D328" s="1" t="s">
        <v>4249</v>
      </c>
      <c r="E328" s="31"/>
      <c r="F328" s="31"/>
      <c r="G328" s="31"/>
      <c r="H328" s="29"/>
      <c r="I328" s="12"/>
      <c r="J328" s="12"/>
      <c r="K328" s="12"/>
      <c r="L328" s="12"/>
      <c r="M328" s="18" t="str">
        <f t="shared" si="1"/>
        <v>#DIV/0!</v>
      </c>
      <c r="N328" s="18" t="str">
        <f t="shared" si="2"/>
        <v>#DIV/0!</v>
      </c>
      <c r="O328" s="12" t="str">
        <f t="shared" si="4"/>
        <v/>
      </c>
      <c r="P328" s="18" t="str">
        <f t="shared" si="3"/>
        <v>#DIV/0!</v>
      </c>
      <c r="Q328" s="12"/>
    </row>
    <row r="329">
      <c r="A329" s="1" t="s">
        <v>1876</v>
      </c>
      <c r="B329" s="7" t="s">
        <v>1877</v>
      </c>
      <c r="C329" s="2" t="s">
        <v>4250</v>
      </c>
      <c r="D329" s="1" t="s">
        <v>4251</v>
      </c>
      <c r="E329" s="31"/>
      <c r="F329" s="31"/>
      <c r="G329" s="31"/>
      <c r="H329" s="29"/>
      <c r="I329" s="12"/>
      <c r="J329" s="12"/>
      <c r="K329" s="12"/>
      <c r="L329" s="12"/>
      <c r="M329" s="18" t="str">
        <f t="shared" si="1"/>
        <v>#DIV/0!</v>
      </c>
      <c r="N329" s="18" t="str">
        <f t="shared" si="2"/>
        <v>#DIV/0!</v>
      </c>
      <c r="O329" s="12" t="str">
        <f t="shared" si="4"/>
        <v/>
      </c>
      <c r="P329" s="18" t="str">
        <f t="shared" si="3"/>
        <v>#DIV/0!</v>
      </c>
      <c r="Q329" s="12"/>
    </row>
    <row r="330">
      <c r="A330" s="1" t="s">
        <v>1880</v>
      </c>
      <c r="B330" s="7" t="s">
        <v>1881</v>
      </c>
      <c r="C330" s="2" t="s">
        <v>4074</v>
      </c>
      <c r="D330" s="7" t="s">
        <v>4075</v>
      </c>
      <c r="E330" s="31"/>
      <c r="F330" s="31"/>
      <c r="G330" s="31"/>
      <c r="H330" s="29"/>
      <c r="I330" s="12"/>
      <c r="J330" s="12"/>
      <c r="K330" s="12"/>
      <c r="L330" s="12"/>
      <c r="M330" s="18" t="str">
        <f t="shared" si="1"/>
        <v>#DIV/0!</v>
      </c>
      <c r="N330" s="18" t="str">
        <f t="shared" si="2"/>
        <v>#DIV/0!</v>
      </c>
      <c r="O330" s="12" t="str">
        <f t="shared" si="4"/>
        <v/>
      </c>
      <c r="P330" s="18" t="str">
        <f t="shared" si="3"/>
        <v>#DIV/0!</v>
      </c>
      <c r="Q330" s="12"/>
    </row>
    <row r="331">
      <c r="A331" s="1" t="s">
        <v>1886</v>
      </c>
      <c r="B331" s="7" t="s">
        <v>1887</v>
      </c>
      <c r="C331" s="2" t="s">
        <v>3838</v>
      </c>
      <c r="D331" s="7" t="s">
        <v>3839</v>
      </c>
      <c r="E331" s="31"/>
      <c r="F331" s="31"/>
      <c r="G331" s="31"/>
      <c r="H331" s="29"/>
      <c r="I331" s="12"/>
      <c r="J331" s="12"/>
      <c r="K331" s="12"/>
      <c r="L331" s="12"/>
      <c r="M331" s="18" t="str">
        <f t="shared" si="1"/>
        <v>#DIV/0!</v>
      </c>
      <c r="N331" s="18" t="str">
        <f t="shared" si="2"/>
        <v>#DIV/0!</v>
      </c>
      <c r="O331" s="12" t="str">
        <f t="shared" si="4"/>
        <v/>
      </c>
      <c r="P331" s="18" t="str">
        <f t="shared" si="3"/>
        <v>#DIV/0!</v>
      </c>
      <c r="Q331" s="12"/>
    </row>
    <row r="332">
      <c r="A332" s="1" t="s">
        <v>1888</v>
      </c>
      <c r="B332" s="7" t="s">
        <v>1889</v>
      </c>
      <c r="C332" s="2" t="s">
        <v>4252</v>
      </c>
      <c r="D332" s="1" t="s">
        <v>3894</v>
      </c>
      <c r="E332" s="31"/>
      <c r="F332" s="31"/>
      <c r="G332" s="31"/>
      <c r="H332" s="29"/>
      <c r="I332" s="12"/>
      <c r="J332" s="12"/>
      <c r="K332" s="12"/>
      <c r="L332" s="12"/>
      <c r="M332" s="18" t="str">
        <f t="shared" si="1"/>
        <v>#DIV/0!</v>
      </c>
      <c r="N332" s="18" t="str">
        <f t="shared" si="2"/>
        <v>#DIV/0!</v>
      </c>
      <c r="O332" s="12" t="str">
        <f t="shared" si="4"/>
        <v/>
      </c>
      <c r="P332" s="18" t="str">
        <f t="shared" si="3"/>
        <v>#DIV/0!</v>
      </c>
      <c r="Q332" s="12"/>
    </row>
    <row r="333">
      <c r="A333" s="1" t="s">
        <v>1892</v>
      </c>
      <c r="B333" s="7" t="s">
        <v>1893</v>
      </c>
      <c r="C333" s="2" t="s">
        <v>4253</v>
      </c>
      <c r="D333" s="1" t="s">
        <v>4254</v>
      </c>
      <c r="E333" s="31"/>
      <c r="F333" s="31"/>
      <c r="G333" s="31"/>
      <c r="H333" s="29"/>
      <c r="I333" s="12"/>
      <c r="J333" s="12"/>
      <c r="K333" s="12"/>
      <c r="L333" s="12"/>
      <c r="M333" s="18" t="str">
        <f t="shared" si="1"/>
        <v>#DIV/0!</v>
      </c>
      <c r="N333" s="18" t="str">
        <f t="shared" si="2"/>
        <v>#DIV/0!</v>
      </c>
      <c r="O333" s="12" t="str">
        <f t="shared" si="4"/>
        <v/>
      </c>
      <c r="P333" s="18" t="str">
        <f t="shared" si="3"/>
        <v>#DIV/0!</v>
      </c>
      <c r="Q333" s="12"/>
    </row>
    <row r="334">
      <c r="A334" s="1" t="s">
        <v>1896</v>
      </c>
      <c r="B334" s="7" t="s">
        <v>1897</v>
      </c>
      <c r="C334" s="2" t="s">
        <v>3838</v>
      </c>
      <c r="D334" s="7" t="s">
        <v>3839</v>
      </c>
      <c r="E334" s="31"/>
      <c r="F334" s="31"/>
      <c r="G334" s="31"/>
      <c r="H334" s="29"/>
      <c r="I334" s="12"/>
      <c r="J334" s="12"/>
      <c r="K334" s="12"/>
      <c r="L334" s="12"/>
      <c r="M334" s="18" t="str">
        <f t="shared" si="1"/>
        <v>#DIV/0!</v>
      </c>
      <c r="N334" s="18" t="str">
        <f t="shared" si="2"/>
        <v>#DIV/0!</v>
      </c>
      <c r="O334" s="12" t="str">
        <f t="shared" si="4"/>
        <v/>
      </c>
      <c r="P334" s="18" t="str">
        <f t="shared" si="3"/>
        <v>#DIV/0!</v>
      </c>
      <c r="Q334" s="12"/>
    </row>
    <row r="335">
      <c r="A335" s="1" t="s">
        <v>1898</v>
      </c>
      <c r="B335" s="7" t="s">
        <v>1899</v>
      </c>
      <c r="C335" s="2" t="s">
        <v>4255</v>
      </c>
      <c r="D335" s="1" t="s">
        <v>3853</v>
      </c>
      <c r="E335" s="31"/>
      <c r="F335" s="31"/>
      <c r="G335" s="31"/>
      <c r="H335" s="29"/>
      <c r="I335" s="12"/>
      <c r="J335" s="12"/>
      <c r="K335" s="12"/>
      <c r="L335" s="12"/>
      <c r="M335" s="18" t="str">
        <f t="shared" si="1"/>
        <v>#DIV/0!</v>
      </c>
      <c r="N335" s="18" t="str">
        <f t="shared" si="2"/>
        <v>#DIV/0!</v>
      </c>
      <c r="O335" s="12" t="str">
        <f t="shared" si="4"/>
        <v/>
      </c>
      <c r="P335" s="18" t="str">
        <f t="shared" si="3"/>
        <v>#DIV/0!</v>
      </c>
      <c r="Q335" s="12"/>
    </row>
    <row r="336">
      <c r="A336" s="1" t="s">
        <v>1905</v>
      </c>
      <c r="B336" s="7" t="s">
        <v>1906</v>
      </c>
      <c r="C336" s="2" t="s">
        <v>4256</v>
      </c>
      <c r="D336" s="7" t="s">
        <v>4257</v>
      </c>
      <c r="E336" s="31"/>
      <c r="F336" s="31"/>
      <c r="G336" s="31"/>
      <c r="H336" s="29"/>
      <c r="I336" s="12"/>
      <c r="J336" s="12"/>
      <c r="K336" s="12"/>
      <c r="L336" s="12"/>
      <c r="M336" s="18" t="str">
        <f t="shared" si="1"/>
        <v>#DIV/0!</v>
      </c>
      <c r="N336" s="18" t="str">
        <f t="shared" si="2"/>
        <v>#DIV/0!</v>
      </c>
      <c r="O336" s="12" t="str">
        <f t="shared" si="4"/>
        <v/>
      </c>
      <c r="P336" s="18" t="str">
        <f t="shared" si="3"/>
        <v>#DIV/0!</v>
      </c>
      <c r="Q336" s="12"/>
    </row>
    <row r="337">
      <c r="A337" s="1" t="s">
        <v>1912</v>
      </c>
      <c r="B337" s="7" t="s">
        <v>1913</v>
      </c>
      <c r="C337" s="2" t="s">
        <v>3838</v>
      </c>
      <c r="D337" s="7" t="s">
        <v>3839</v>
      </c>
      <c r="E337" s="31"/>
      <c r="F337" s="31"/>
      <c r="G337" s="31"/>
      <c r="H337" s="29"/>
      <c r="I337" s="12"/>
      <c r="J337" s="12"/>
      <c r="K337" s="12"/>
      <c r="L337" s="12"/>
      <c r="M337" s="18" t="str">
        <f t="shared" si="1"/>
        <v>#DIV/0!</v>
      </c>
      <c r="N337" s="18" t="str">
        <f t="shared" si="2"/>
        <v>#DIV/0!</v>
      </c>
      <c r="O337" s="12" t="str">
        <f t="shared" si="4"/>
        <v/>
      </c>
      <c r="P337" s="18" t="str">
        <f t="shared" si="3"/>
        <v>#DIV/0!</v>
      </c>
      <c r="Q337" s="12"/>
    </row>
    <row r="338">
      <c r="A338" s="1" t="s">
        <v>1922</v>
      </c>
      <c r="B338" s="7" t="s">
        <v>1923</v>
      </c>
      <c r="C338" s="2" t="s">
        <v>4258</v>
      </c>
      <c r="D338" s="7" t="s">
        <v>4259</v>
      </c>
      <c r="E338" s="31"/>
      <c r="F338" s="31"/>
      <c r="G338" s="31"/>
      <c r="H338" s="29"/>
      <c r="I338" s="12"/>
      <c r="J338" s="12"/>
      <c r="K338" s="12"/>
      <c r="L338" s="12"/>
      <c r="M338" s="18" t="str">
        <f t="shared" si="1"/>
        <v>#DIV/0!</v>
      </c>
      <c r="N338" s="18" t="str">
        <f t="shared" si="2"/>
        <v>#DIV/0!</v>
      </c>
      <c r="O338" s="12" t="str">
        <f t="shared" si="4"/>
        <v/>
      </c>
      <c r="P338" s="18" t="str">
        <f t="shared" si="3"/>
        <v>#DIV/0!</v>
      </c>
      <c r="Q338" s="12"/>
    </row>
    <row r="339">
      <c r="A339" s="1" t="s">
        <v>1926</v>
      </c>
      <c r="B339" s="7" t="s">
        <v>1927</v>
      </c>
      <c r="C339" s="2" t="s">
        <v>4260</v>
      </c>
      <c r="D339" s="1" t="s">
        <v>4261</v>
      </c>
      <c r="E339" s="31"/>
      <c r="F339" s="31"/>
      <c r="G339" s="31"/>
      <c r="H339" s="29"/>
      <c r="I339" s="12"/>
      <c r="J339" s="12"/>
      <c r="K339" s="12"/>
      <c r="L339" s="12"/>
      <c r="M339" s="18" t="str">
        <f t="shared" si="1"/>
        <v>#DIV/0!</v>
      </c>
      <c r="N339" s="18" t="str">
        <f t="shared" si="2"/>
        <v>#DIV/0!</v>
      </c>
      <c r="O339" s="12" t="str">
        <f t="shared" si="4"/>
        <v/>
      </c>
      <c r="P339" s="18" t="str">
        <f t="shared" si="3"/>
        <v>#DIV/0!</v>
      </c>
      <c r="Q339" s="12"/>
    </row>
    <row r="340">
      <c r="A340" s="1" t="s">
        <v>1934</v>
      </c>
      <c r="B340" s="7" t="s">
        <v>1935</v>
      </c>
      <c r="C340" s="2" t="s">
        <v>4262</v>
      </c>
      <c r="D340" s="1" t="s">
        <v>3952</v>
      </c>
      <c r="E340" s="31"/>
      <c r="F340" s="31"/>
      <c r="G340" s="31"/>
      <c r="H340" s="29"/>
      <c r="I340" s="12"/>
      <c r="J340" s="12"/>
      <c r="K340" s="12"/>
      <c r="L340" s="12"/>
      <c r="M340" s="18" t="str">
        <f t="shared" si="1"/>
        <v>#DIV/0!</v>
      </c>
      <c r="N340" s="18" t="str">
        <f t="shared" si="2"/>
        <v>#DIV/0!</v>
      </c>
      <c r="O340" s="12" t="str">
        <f t="shared" si="4"/>
        <v/>
      </c>
      <c r="P340" s="18" t="str">
        <f t="shared" si="3"/>
        <v>#DIV/0!</v>
      </c>
      <c r="Q340" s="12"/>
    </row>
    <row r="341">
      <c r="A341" s="1" t="s">
        <v>1938</v>
      </c>
      <c r="B341" s="7" t="s">
        <v>1939</v>
      </c>
      <c r="C341" s="2" t="s">
        <v>4097</v>
      </c>
      <c r="D341" s="7" t="s">
        <v>4098</v>
      </c>
      <c r="E341" s="31"/>
      <c r="F341" s="31"/>
      <c r="G341" s="31"/>
      <c r="H341" s="29"/>
      <c r="I341" s="12"/>
      <c r="J341" s="12"/>
      <c r="K341" s="12"/>
      <c r="L341" s="12"/>
      <c r="M341" s="18" t="str">
        <f t="shared" si="1"/>
        <v>#DIV/0!</v>
      </c>
      <c r="N341" s="18" t="str">
        <f t="shared" si="2"/>
        <v>#DIV/0!</v>
      </c>
      <c r="O341" s="12" t="str">
        <f t="shared" si="4"/>
        <v/>
      </c>
      <c r="P341" s="18" t="str">
        <f t="shared" si="3"/>
        <v>#DIV/0!</v>
      </c>
      <c r="Q341" s="12"/>
    </row>
    <row r="342">
      <c r="A342" s="1" t="s">
        <v>1941</v>
      </c>
      <c r="B342" s="7" t="s">
        <v>1942</v>
      </c>
      <c r="C342" s="2" t="s">
        <v>3955</v>
      </c>
      <c r="D342" s="7" t="s">
        <v>3956</v>
      </c>
      <c r="E342" s="31"/>
      <c r="F342" s="31"/>
      <c r="G342" s="31"/>
      <c r="H342" s="29"/>
      <c r="I342" s="12"/>
      <c r="J342" s="12"/>
      <c r="K342" s="12"/>
      <c r="L342" s="12"/>
      <c r="M342" s="18" t="str">
        <f t="shared" si="1"/>
        <v>#DIV/0!</v>
      </c>
      <c r="N342" s="18" t="str">
        <f t="shared" si="2"/>
        <v>#DIV/0!</v>
      </c>
      <c r="O342" s="12" t="str">
        <f t="shared" si="4"/>
        <v/>
      </c>
      <c r="P342" s="18" t="str">
        <f t="shared" si="3"/>
        <v>#DIV/0!</v>
      </c>
      <c r="Q342" s="12"/>
    </row>
    <row r="343">
      <c r="A343" s="1" t="s">
        <v>1944</v>
      </c>
      <c r="B343" s="7" t="s">
        <v>1945</v>
      </c>
      <c r="C343" s="2" t="s">
        <v>4263</v>
      </c>
      <c r="D343" s="1" t="s">
        <v>4264</v>
      </c>
      <c r="E343" s="31"/>
      <c r="F343" s="31"/>
      <c r="G343" s="31"/>
      <c r="H343" s="29"/>
      <c r="I343" s="12"/>
      <c r="J343" s="12"/>
      <c r="K343" s="12"/>
      <c r="L343" s="12"/>
      <c r="M343" s="18" t="str">
        <f t="shared" si="1"/>
        <v>#DIV/0!</v>
      </c>
      <c r="N343" s="18" t="str">
        <f t="shared" si="2"/>
        <v>#DIV/0!</v>
      </c>
      <c r="O343" s="12" t="str">
        <f t="shared" si="4"/>
        <v/>
      </c>
      <c r="P343" s="18" t="str">
        <f t="shared" si="3"/>
        <v>#DIV/0!</v>
      </c>
      <c r="Q343" s="12"/>
    </row>
    <row r="344">
      <c r="A344" s="1" t="s">
        <v>1948</v>
      </c>
      <c r="B344" s="7" t="s">
        <v>1949</v>
      </c>
      <c r="C344" s="2" t="s">
        <v>3838</v>
      </c>
      <c r="D344" s="7" t="s">
        <v>3839</v>
      </c>
      <c r="E344" s="31"/>
      <c r="F344" s="31"/>
      <c r="G344" s="31"/>
      <c r="H344" s="29"/>
      <c r="I344" s="12"/>
      <c r="J344" s="12"/>
      <c r="K344" s="12"/>
      <c r="L344" s="12"/>
      <c r="M344" s="18" t="str">
        <f t="shared" si="1"/>
        <v>#DIV/0!</v>
      </c>
      <c r="N344" s="18" t="str">
        <f t="shared" si="2"/>
        <v>#DIV/0!</v>
      </c>
      <c r="O344" s="12" t="str">
        <f t="shared" si="4"/>
        <v/>
      </c>
      <c r="P344" s="18" t="str">
        <f t="shared" si="3"/>
        <v>#DIV/0!</v>
      </c>
      <c r="Q344" s="12"/>
    </row>
    <row r="345">
      <c r="A345" s="1" t="s">
        <v>1950</v>
      </c>
      <c r="B345" s="7" t="s">
        <v>1951</v>
      </c>
      <c r="C345" s="2" t="s">
        <v>4265</v>
      </c>
      <c r="D345" s="1" t="s">
        <v>3837</v>
      </c>
      <c r="E345" s="31"/>
      <c r="F345" s="31"/>
      <c r="G345" s="31"/>
      <c r="H345" s="29"/>
      <c r="I345" s="12"/>
      <c r="J345" s="12"/>
      <c r="K345" s="12"/>
      <c r="L345" s="12"/>
      <c r="M345" s="18" t="str">
        <f t="shared" si="1"/>
        <v>#DIV/0!</v>
      </c>
      <c r="N345" s="18" t="str">
        <f t="shared" si="2"/>
        <v>#DIV/0!</v>
      </c>
      <c r="O345" s="12" t="str">
        <f t="shared" si="4"/>
        <v/>
      </c>
      <c r="P345" s="18" t="str">
        <f t="shared" si="3"/>
        <v>#DIV/0!</v>
      </c>
      <c r="Q345" s="12"/>
    </row>
    <row r="346">
      <c r="A346" s="1" t="s">
        <v>1954</v>
      </c>
      <c r="B346" s="7" t="s">
        <v>1955</v>
      </c>
      <c r="C346" s="2" t="s">
        <v>3838</v>
      </c>
      <c r="D346" s="7" t="s">
        <v>3839</v>
      </c>
      <c r="E346" s="31"/>
      <c r="F346" s="31"/>
      <c r="G346" s="31"/>
      <c r="H346" s="29"/>
      <c r="I346" s="12"/>
      <c r="J346" s="12"/>
      <c r="K346" s="12"/>
      <c r="L346" s="12"/>
      <c r="M346" s="18" t="str">
        <f t="shared" si="1"/>
        <v>#DIV/0!</v>
      </c>
      <c r="N346" s="18" t="str">
        <f t="shared" si="2"/>
        <v>#DIV/0!</v>
      </c>
      <c r="O346" s="12" t="str">
        <f t="shared" si="4"/>
        <v/>
      </c>
      <c r="P346" s="18" t="str">
        <f t="shared" si="3"/>
        <v>#DIV/0!</v>
      </c>
      <c r="Q346" s="12"/>
    </row>
    <row r="347">
      <c r="A347" s="1" t="s">
        <v>1960</v>
      </c>
      <c r="B347" s="7" t="s">
        <v>1961</v>
      </c>
      <c r="C347" s="2" t="s">
        <v>3940</v>
      </c>
      <c r="E347" s="31"/>
      <c r="F347" s="31"/>
      <c r="G347" s="31"/>
      <c r="H347" s="29"/>
      <c r="I347" s="12"/>
      <c r="J347" s="12"/>
      <c r="K347" s="12"/>
      <c r="L347" s="12"/>
      <c r="M347" s="18" t="str">
        <f t="shared" si="1"/>
        <v>#DIV/0!</v>
      </c>
      <c r="N347" s="18" t="str">
        <f t="shared" si="2"/>
        <v>#DIV/0!</v>
      </c>
      <c r="O347" s="12" t="str">
        <f t="shared" si="4"/>
        <v/>
      </c>
      <c r="P347" s="18" t="str">
        <f t="shared" si="3"/>
        <v>#DIV/0!</v>
      </c>
      <c r="Q347" s="12"/>
    </row>
    <row r="348">
      <c r="A348" s="1" t="s">
        <v>1966</v>
      </c>
      <c r="B348" s="7" t="s">
        <v>1967</v>
      </c>
      <c r="C348" s="2" t="s">
        <v>3838</v>
      </c>
      <c r="D348" s="7" t="s">
        <v>3839</v>
      </c>
      <c r="E348" s="31"/>
      <c r="F348" s="31"/>
      <c r="G348" s="31"/>
      <c r="H348" s="29"/>
      <c r="I348" s="12"/>
      <c r="J348" s="12"/>
      <c r="K348" s="12"/>
      <c r="L348" s="12"/>
      <c r="M348" s="18" t="str">
        <f t="shared" si="1"/>
        <v>#DIV/0!</v>
      </c>
      <c r="N348" s="18" t="str">
        <f t="shared" si="2"/>
        <v>#DIV/0!</v>
      </c>
      <c r="O348" s="12" t="str">
        <f t="shared" si="4"/>
        <v/>
      </c>
      <c r="P348" s="18" t="str">
        <f t="shared" si="3"/>
        <v>#DIV/0!</v>
      </c>
      <c r="Q348" s="12"/>
    </row>
    <row r="349">
      <c r="A349" s="1" t="s">
        <v>1970</v>
      </c>
      <c r="B349" s="7" t="s">
        <v>1971</v>
      </c>
      <c r="C349" s="2" t="s">
        <v>4266</v>
      </c>
      <c r="D349" s="1" t="s">
        <v>4267</v>
      </c>
      <c r="E349" s="31"/>
      <c r="F349" s="31"/>
      <c r="G349" s="31"/>
      <c r="H349" s="29"/>
      <c r="I349" s="12"/>
      <c r="J349" s="12"/>
      <c r="K349" s="12"/>
      <c r="L349" s="12"/>
      <c r="M349" s="18" t="str">
        <f t="shared" si="1"/>
        <v>#DIV/0!</v>
      </c>
      <c r="N349" s="18" t="str">
        <f t="shared" si="2"/>
        <v>#DIV/0!</v>
      </c>
      <c r="O349" s="12" t="str">
        <f t="shared" si="4"/>
        <v/>
      </c>
      <c r="P349" s="18" t="str">
        <f t="shared" si="3"/>
        <v>#DIV/0!</v>
      </c>
      <c r="Q349" s="12"/>
    </row>
    <row r="350">
      <c r="A350" s="1" t="s">
        <v>1982</v>
      </c>
      <c r="B350" s="7" t="s">
        <v>1983</v>
      </c>
      <c r="C350" s="2" t="s">
        <v>3838</v>
      </c>
      <c r="D350" s="7" t="s">
        <v>3839</v>
      </c>
      <c r="E350" s="31"/>
      <c r="F350" s="31"/>
      <c r="G350" s="31"/>
      <c r="H350" s="29"/>
      <c r="I350" s="12"/>
      <c r="J350" s="12"/>
      <c r="K350" s="12"/>
      <c r="L350" s="12"/>
      <c r="M350" s="18" t="str">
        <f t="shared" si="1"/>
        <v>#DIV/0!</v>
      </c>
      <c r="N350" s="18" t="str">
        <f t="shared" si="2"/>
        <v>#DIV/0!</v>
      </c>
      <c r="O350" s="12" t="str">
        <f t="shared" si="4"/>
        <v/>
      </c>
      <c r="P350" s="18" t="str">
        <f t="shared" si="3"/>
        <v>#DIV/0!</v>
      </c>
      <c r="Q350" s="12"/>
    </row>
    <row r="351">
      <c r="A351" s="1" t="s">
        <v>1986</v>
      </c>
      <c r="B351" s="7" t="s">
        <v>1987</v>
      </c>
      <c r="C351" s="2" t="s">
        <v>4268</v>
      </c>
      <c r="D351" s="1" t="s">
        <v>4269</v>
      </c>
      <c r="E351" s="31"/>
      <c r="F351" s="31"/>
      <c r="G351" s="31"/>
      <c r="H351" s="29"/>
      <c r="I351" s="12"/>
      <c r="J351" s="12"/>
      <c r="K351" s="12"/>
      <c r="L351" s="12"/>
      <c r="M351" s="18" t="str">
        <f t="shared" si="1"/>
        <v>#DIV/0!</v>
      </c>
      <c r="N351" s="18" t="str">
        <f t="shared" si="2"/>
        <v>#DIV/0!</v>
      </c>
      <c r="O351" s="12" t="str">
        <f t="shared" si="4"/>
        <v/>
      </c>
      <c r="P351" s="18" t="str">
        <f t="shared" si="3"/>
        <v>#DIV/0!</v>
      </c>
      <c r="Q351" s="12"/>
    </row>
    <row r="352">
      <c r="A352" s="1" t="s">
        <v>1990</v>
      </c>
      <c r="B352" s="7" t="s">
        <v>1991</v>
      </c>
      <c r="C352" s="2" t="s">
        <v>4270</v>
      </c>
      <c r="D352" s="1" t="s">
        <v>4271</v>
      </c>
      <c r="E352" s="31"/>
      <c r="F352" s="31"/>
      <c r="G352" s="31"/>
      <c r="H352" s="29"/>
      <c r="I352" s="12"/>
      <c r="J352" s="12"/>
      <c r="K352" s="12"/>
      <c r="L352" s="12"/>
      <c r="M352" s="18" t="str">
        <f t="shared" si="1"/>
        <v>#DIV/0!</v>
      </c>
      <c r="N352" s="18" t="str">
        <f t="shared" si="2"/>
        <v>#DIV/0!</v>
      </c>
      <c r="O352" s="12" t="str">
        <f t="shared" si="4"/>
        <v/>
      </c>
      <c r="P352" s="18" t="str">
        <f t="shared" si="3"/>
        <v>#DIV/0!</v>
      </c>
      <c r="Q352" s="12"/>
    </row>
    <row r="353">
      <c r="A353" s="1" t="s">
        <v>1994</v>
      </c>
      <c r="B353" s="7" t="s">
        <v>1995</v>
      </c>
      <c r="C353" s="2" t="s">
        <v>4272</v>
      </c>
      <c r="D353" s="1" t="s">
        <v>4273</v>
      </c>
      <c r="E353" s="31"/>
      <c r="F353" s="31"/>
      <c r="G353" s="31"/>
      <c r="H353" s="29"/>
      <c r="I353" s="12"/>
      <c r="J353" s="12"/>
      <c r="K353" s="12"/>
      <c r="L353" s="12"/>
      <c r="M353" s="18" t="str">
        <f t="shared" si="1"/>
        <v>#DIV/0!</v>
      </c>
      <c r="N353" s="18" t="str">
        <f t="shared" si="2"/>
        <v>#DIV/0!</v>
      </c>
      <c r="O353" s="12" t="str">
        <f t="shared" si="4"/>
        <v/>
      </c>
      <c r="P353" s="18" t="str">
        <f t="shared" si="3"/>
        <v>#DIV/0!</v>
      </c>
      <c r="Q353" s="12"/>
    </row>
    <row r="354">
      <c r="A354" s="1" t="s">
        <v>1998</v>
      </c>
      <c r="B354" s="7" t="s">
        <v>1999</v>
      </c>
      <c r="C354" s="2" t="s">
        <v>4274</v>
      </c>
      <c r="D354" s="7" t="s">
        <v>4275</v>
      </c>
      <c r="E354" s="31"/>
      <c r="F354" s="31"/>
      <c r="G354" s="31"/>
      <c r="H354" s="29"/>
      <c r="I354" s="12"/>
      <c r="J354" s="12"/>
      <c r="K354" s="12"/>
      <c r="L354" s="12"/>
      <c r="M354" s="18" t="str">
        <f t="shared" si="1"/>
        <v>#DIV/0!</v>
      </c>
      <c r="N354" s="18" t="str">
        <f t="shared" si="2"/>
        <v>#DIV/0!</v>
      </c>
      <c r="O354" s="12" t="str">
        <f t="shared" si="4"/>
        <v/>
      </c>
      <c r="P354" s="18" t="str">
        <f t="shared" si="3"/>
        <v>#DIV/0!</v>
      </c>
      <c r="Q354" s="12"/>
    </row>
    <row r="355">
      <c r="A355" s="1" t="s">
        <v>2002</v>
      </c>
      <c r="B355" s="7" t="s">
        <v>2003</v>
      </c>
      <c r="C355" s="2" t="s">
        <v>4276</v>
      </c>
      <c r="D355" s="7" t="s">
        <v>4277</v>
      </c>
      <c r="E355" s="31"/>
      <c r="F355" s="31"/>
      <c r="G355" s="31"/>
      <c r="H355" s="29"/>
      <c r="I355" s="12"/>
      <c r="J355" s="12"/>
      <c r="K355" s="12"/>
      <c r="L355" s="12"/>
      <c r="M355" s="18" t="str">
        <f t="shared" si="1"/>
        <v>#DIV/0!</v>
      </c>
      <c r="N355" s="18" t="str">
        <f t="shared" si="2"/>
        <v>#DIV/0!</v>
      </c>
      <c r="O355" s="12" t="str">
        <f t="shared" si="4"/>
        <v/>
      </c>
      <c r="P355" s="18" t="str">
        <f t="shared" si="3"/>
        <v>#DIV/0!</v>
      </c>
      <c r="Q355" s="12"/>
    </row>
    <row r="356">
      <c r="A356" s="1" t="s">
        <v>2006</v>
      </c>
      <c r="B356" s="7" t="s">
        <v>2007</v>
      </c>
      <c r="C356" s="2" t="s">
        <v>3938</v>
      </c>
      <c r="D356" s="7" t="s">
        <v>3939</v>
      </c>
      <c r="E356" s="31"/>
      <c r="F356" s="31"/>
      <c r="G356" s="31"/>
      <c r="H356" s="29"/>
      <c r="I356" s="12"/>
      <c r="J356" s="12"/>
      <c r="K356" s="12"/>
      <c r="L356" s="12"/>
      <c r="M356" s="18" t="str">
        <f t="shared" si="1"/>
        <v>#DIV/0!</v>
      </c>
      <c r="N356" s="18" t="str">
        <f t="shared" si="2"/>
        <v>#DIV/0!</v>
      </c>
      <c r="O356" s="12" t="str">
        <f t="shared" si="4"/>
        <v/>
      </c>
      <c r="P356" s="18" t="str">
        <f t="shared" si="3"/>
        <v>#DIV/0!</v>
      </c>
      <c r="Q356" s="12"/>
    </row>
    <row r="357">
      <c r="A357" s="1" t="s">
        <v>2010</v>
      </c>
      <c r="B357" s="7" t="s">
        <v>2011</v>
      </c>
      <c r="C357" s="2" t="s">
        <v>3865</v>
      </c>
      <c r="D357" s="1" t="s">
        <v>3866</v>
      </c>
      <c r="E357" s="31"/>
      <c r="F357" s="31"/>
      <c r="G357" s="31"/>
      <c r="H357" s="29"/>
      <c r="I357" s="12"/>
      <c r="J357" s="12"/>
      <c r="K357" s="12"/>
      <c r="L357" s="12"/>
      <c r="M357" s="18" t="str">
        <f t="shared" si="1"/>
        <v>#DIV/0!</v>
      </c>
      <c r="N357" s="18" t="str">
        <f t="shared" si="2"/>
        <v>#DIV/0!</v>
      </c>
      <c r="O357" s="12" t="str">
        <f t="shared" si="4"/>
        <v/>
      </c>
      <c r="P357" s="18" t="str">
        <f t="shared" si="3"/>
        <v>#DIV/0!</v>
      </c>
      <c r="Q357" s="12"/>
    </row>
    <row r="358">
      <c r="A358" s="1" t="s">
        <v>2016</v>
      </c>
      <c r="B358" s="7" t="s">
        <v>2017</v>
      </c>
      <c r="C358" s="2" t="s">
        <v>4278</v>
      </c>
      <c r="D358" s="1" t="s">
        <v>4279</v>
      </c>
      <c r="E358" s="31"/>
      <c r="F358" s="31"/>
      <c r="G358" s="31"/>
      <c r="H358" s="29"/>
      <c r="I358" s="12"/>
      <c r="J358" s="12"/>
      <c r="K358" s="12"/>
      <c r="L358" s="12"/>
      <c r="M358" s="18" t="str">
        <f t="shared" si="1"/>
        <v>#DIV/0!</v>
      </c>
      <c r="N358" s="18" t="str">
        <f t="shared" si="2"/>
        <v>#DIV/0!</v>
      </c>
      <c r="O358" s="12" t="str">
        <f t="shared" si="4"/>
        <v/>
      </c>
      <c r="P358" s="18" t="str">
        <f t="shared" si="3"/>
        <v>#DIV/0!</v>
      </c>
      <c r="Q358" s="12"/>
    </row>
    <row r="359">
      <c r="A359" s="1" t="s">
        <v>2024</v>
      </c>
      <c r="B359" s="7" t="s">
        <v>2025</v>
      </c>
      <c r="C359" s="2" t="s">
        <v>4280</v>
      </c>
      <c r="D359" s="1" t="s">
        <v>4281</v>
      </c>
      <c r="E359" s="31"/>
      <c r="F359" s="31"/>
      <c r="G359" s="31"/>
      <c r="H359" s="29"/>
      <c r="I359" s="12"/>
      <c r="J359" s="12"/>
      <c r="K359" s="12"/>
      <c r="L359" s="12"/>
      <c r="M359" s="18" t="str">
        <f t="shared" si="1"/>
        <v>#DIV/0!</v>
      </c>
      <c r="N359" s="18" t="str">
        <f t="shared" si="2"/>
        <v>#DIV/0!</v>
      </c>
      <c r="O359" s="12" t="str">
        <f t="shared" si="4"/>
        <v/>
      </c>
      <c r="P359" s="18" t="str">
        <f t="shared" si="3"/>
        <v>#DIV/0!</v>
      </c>
      <c r="Q359" s="12"/>
    </row>
    <row r="360">
      <c r="A360" s="1" t="s">
        <v>2028</v>
      </c>
      <c r="B360" s="7" t="s">
        <v>2029</v>
      </c>
      <c r="C360" s="2" t="s">
        <v>4282</v>
      </c>
      <c r="D360" s="1" t="s">
        <v>4283</v>
      </c>
      <c r="E360" s="31"/>
      <c r="F360" s="31"/>
      <c r="G360" s="31"/>
      <c r="H360" s="29"/>
      <c r="I360" s="12"/>
      <c r="J360" s="12"/>
      <c r="K360" s="12"/>
      <c r="L360" s="12"/>
      <c r="M360" s="18" t="str">
        <f t="shared" si="1"/>
        <v>#DIV/0!</v>
      </c>
      <c r="N360" s="18" t="str">
        <f t="shared" si="2"/>
        <v>#DIV/0!</v>
      </c>
      <c r="O360" s="12" t="str">
        <f t="shared" si="4"/>
        <v/>
      </c>
      <c r="P360" s="18" t="str">
        <f t="shared" si="3"/>
        <v>#DIV/0!</v>
      </c>
      <c r="Q360" s="12"/>
    </row>
    <row r="361">
      <c r="A361" s="1" t="s">
        <v>2032</v>
      </c>
      <c r="B361" s="7" t="s">
        <v>2033</v>
      </c>
      <c r="C361" s="2" t="s">
        <v>4284</v>
      </c>
      <c r="D361" s="1" t="s">
        <v>4285</v>
      </c>
      <c r="E361" s="31"/>
      <c r="F361" s="31"/>
      <c r="G361" s="31"/>
      <c r="H361" s="29"/>
      <c r="I361" s="12"/>
      <c r="J361" s="12"/>
      <c r="K361" s="12"/>
      <c r="L361" s="12"/>
      <c r="M361" s="18" t="str">
        <f t="shared" si="1"/>
        <v>#DIV/0!</v>
      </c>
      <c r="N361" s="18" t="str">
        <f t="shared" si="2"/>
        <v>#DIV/0!</v>
      </c>
      <c r="O361" s="12" t="str">
        <f t="shared" si="4"/>
        <v/>
      </c>
      <c r="P361" s="18" t="str">
        <f t="shared" si="3"/>
        <v>#DIV/0!</v>
      </c>
      <c r="Q361" s="12"/>
    </row>
    <row r="362">
      <c r="A362" s="1" t="s">
        <v>2048</v>
      </c>
      <c r="B362" s="7" t="s">
        <v>2049</v>
      </c>
      <c r="C362" s="2" t="s">
        <v>4084</v>
      </c>
      <c r="E362" s="31"/>
      <c r="F362" s="31"/>
      <c r="G362" s="31"/>
      <c r="H362" s="29"/>
      <c r="I362" s="12"/>
      <c r="J362" s="12"/>
      <c r="K362" s="12"/>
      <c r="L362" s="12"/>
      <c r="M362" s="18" t="str">
        <f t="shared" si="1"/>
        <v>#DIV/0!</v>
      </c>
      <c r="N362" s="18" t="str">
        <f t="shared" si="2"/>
        <v>#DIV/0!</v>
      </c>
      <c r="O362" s="12" t="str">
        <f t="shared" si="4"/>
        <v/>
      </c>
      <c r="P362" s="18" t="str">
        <f t="shared" si="3"/>
        <v>#DIV/0!</v>
      </c>
      <c r="Q362" s="12"/>
    </row>
    <row r="363">
      <c r="A363" s="1" t="s">
        <v>2050</v>
      </c>
      <c r="B363" s="7" t="s">
        <v>2051</v>
      </c>
      <c r="C363" s="2" t="s">
        <v>4286</v>
      </c>
      <c r="D363" s="1" t="s">
        <v>4287</v>
      </c>
      <c r="E363" s="31"/>
      <c r="F363" s="31"/>
      <c r="G363" s="31"/>
      <c r="H363" s="29"/>
      <c r="I363" s="12"/>
      <c r="J363" s="12"/>
      <c r="K363" s="12"/>
      <c r="L363" s="12"/>
      <c r="M363" s="18" t="str">
        <f t="shared" si="1"/>
        <v>#DIV/0!</v>
      </c>
      <c r="N363" s="18" t="str">
        <f t="shared" si="2"/>
        <v>#DIV/0!</v>
      </c>
      <c r="O363" s="12" t="str">
        <f t="shared" si="4"/>
        <v/>
      </c>
      <c r="P363" s="18" t="str">
        <f t="shared" si="3"/>
        <v>#DIV/0!</v>
      </c>
      <c r="Q363" s="12"/>
    </row>
    <row r="364">
      <c r="A364" s="1" t="s">
        <v>2058</v>
      </c>
      <c r="B364" s="7" t="s">
        <v>2059</v>
      </c>
      <c r="C364" s="2" t="s">
        <v>4288</v>
      </c>
      <c r="D364" s="1" t="s">
        <v>4289</v>
      </c>
      <c r="E364" s="31"/>
      <c r="F364" s="31"/>
      <c r="G364" s="31"/>
      <c r="H364" s="29"/>
      <c r="I364" s="12"/>
      <c r="J364" s="12"/>
      <c r="K364" s="12"/>
      <c r="L364" s="12"/>
      <c r="M364" s="18" t="str">
        <f t="shared" si="1"/>
        <v>#DIV/0!</v>
      </c>
      <c r="N364" s="18" t="str">
        <f t="shared" si="2"/>
        <v>#DIV/0!</v>
      </c>
      <c r="O364" s="12" t="str">
        <f t="shared" si="4"/>
        <v/>
      </c>
      <c r="P364" s="18" t="str">
        <f t="shared" si="3"/>
        <v>#DIV/0!</v>
      </c>
      <c r="Q364" s="12"/>
    </row>
    <row r="365">
      <c r="A365" s="1" t="s">
        <v>2065</v>
      </c>
      <c r="B365" s="7" t="s">
        <v>2066</v>
      </c>
      <c r="C365" s="2" t="s">
        <v>4290</v>
      </c>
      <c r="D365" s="1" t="s">
        <v>4291</v>
      </c>
      <c r="E365" s="31"/>
      <c r="F365" s="31"/>
      <c r="G365" s="31"/>
      <c r="H365" s="29"/>
      <c r="I365" s="12"/>
      <c r="J365" s="12"/>
      <c r="K365" s="12"/>
      <c r="L365" s="12"/>
      <c r="M365" s="18" t="str">
        <f t="shared" si="1"/>
        <v>#DIV/0!</v>
      </c>
      <c r="N365" s="18" t="str">
        <f t="shared" si="2"/>
        <v>#DIV/0!</v>
      </c>
      <c r="O365" s="12" t="str">
        <f t="shared" si="4"/>
        <v/>
      </c>
      <c r="P365" s="18" t="str">
        <f t="shared" si="3"/>
        <v>#DIV/0!</v>
      </c>
      <c r="Q365" s="12"/>
    </row>
    <row r="366">
      <c r="A366" s="1" t="s">
        <v>2069</v>
      </c>
      <c r="B366" s="7" t="s">
        <v>2070</v>
      </c>
      <c r="C366" s="2" t="s">
        <v>4002</v>
      </c>
      <c r="D366" s="7" t="s">
        <v>4003</v>
      </c>
      <c r="E366" s="31"/>
      <c r="F366" s="31"/>
      <c r="G366" s="31"/>
      <c r="H366" s="29"/>
      <c r="I366" s="12"/>
      <c r="J366" s="12"/>
      <c r="K366" s="12"/>
      <c r="L366" s="12"/>
      <c r="M366" s="18" t="str">
        <f t="shared" si="1"/>
        <v>#DIV/0!</v>
      </c>
      <c r="N366" s="18" t="str">
        <f t="shared" si="2"/>
        <v>#DIV/0!</v>
      </c>
      <c r="O366" s="12" t="str">
        <f t="shared" si="4"/>
        <v/>
      </c>
      <c r="P366" s="18" t="str">
        <f t="shared" si="3"/>
        <v>#DIV/0!</v>
      </c>
      <c r="Q366" s="12"/>
    </row>
    <row r="367">
      <c r="A367" s="1" t="s">
        <v>2074</v>
      </c>
      <c r="B367" s="7" t="s">
        <v>2075</v>
      </c>
      <c r="C367" s="2" t="s">
        <v>3978</v>
      </c>
      <c r="D367" s="7" t="s">
        <v>3979</v>
      </c>
      <c r="E367" s="31"/>
      <c r="F367" s="31"/>
      <c r="G367" s="31"/>
      <c r="H367" s="29"/>
      <c r="I367" s="12"/>
      <c r="J367" s="12"/>
      <c r="K367" s="12"/>
      <c r="L367" s="12"/>
      <c r="M367" s="18" t="str">
        <f t="shared" si="1"/>
        <v>#DIV/0!</v>
      </c>
      <c r="N367" s="18" t="str">
        <f t="shared" si="2"/>
        <v>#DIV/0!</v>
      </c>
      <c r="O367" s="12" t="str">
        <f t="shared" si="4"/>
        <v/>
      </c>
      <c r="P367" s="18" t="str">
        <f t="shared" si="3"/>
        <v>#DIV/0!</v>
      </c>
      <c r="Q367" s="12"/>
    </row>
    <row r="368">
      <c r="A368" s="1" t="s">
        <v>2079</v>
      </c>
      <c r="B368" s="7" t="s">
        <v>2080</v>
      </c>
      <c r="C368" s="2" t="s">
        <v>4292</v>
      </c>
      <c r="D368" s="7" t="s">
        <v>4293</v>
      </c>
      <c r="E368" s="31"/>
      <c r="F368" s="31"/>
      <c r="G368" s="31"/>
      <c r="H368" s="29"/>
      <c r="I368" s="12"/>
      <c r="J368" s="12"/>
      <c r="K368" s="12"/>
      <c r="L368" s="12"/>
      <c r="M368" s="18" t="str">
        <f t="shared" si="1"/>
        <v>#DIV/0!</v>
      </c>
      <c r="N368" s="18" t="str">
        <f t="shared" si="2"/>
        <v>#DIV/0!</v>
      </c>
      <c r="O368" s="12" t="str">
        <f t="shared" si="4"/>
        <v/>
      </c>
      <c r="P368" s="18" t="str">
        <f t="shared" si="3"/>
        <v>#DIV/0!</v>
      </c>
      <c r="Q368" s="12"/>
    </row>
    <row r="369">
      <c r="A369" s="1" t="s">
        <v>2081</v>
      </c>
      <c r="B369" s="7" t="s">
        <v>2082</v>
      </c>
      <c r="C369" s="2" t="s">
        <v>4208</v>
      </c>
      <c r="D369" s="7" t="s">
        <v>4209</v>
      </c>
      <c r="E369" s="31"/>
      <c r="F369" s="31"/>
      <c r="G369" s="31"/>
      <c r="H369" s="29"/>
      <c r="I369" s="12"/>
      <c r="J369" s="12"/>
      <c r="K369" s="12"/>
      <c r="L369" s="12"/>
      <c r="M369" s="18" t="str">
        <f t="shared" si="1"/>
        <v>#DIV/0!</v>
      </c>
      <c r="N369" s="18" t="str">
        <f t="shared" si="2"/>
        <v>#DIV/0!</v>
      </c>
      <c r="O369" s="12" t="str">
        <f t="shared" si="4"/>
        <v/>
      </c>
      <c r="P369" s="18" t="str">
        <f t="shared" si="3"/>
        <v>#DIV/0!</v>
      </c>
      <c r="Q369" s="12"/>
    </row>
    <row r="370">
      <c r="A370" s="1" t="s">
        <v>2085</v>
      </c>
      <c r="B370" s="7" t="s">
        <v>2086</v>
      </c>
      <c r="C370" s="2" t="s">
        <v>3838</v>
      </c>
      <c r="D370" s="7" t="s">
        <v>3839</v>
      </c>
      <c r="E370" s="31"/>
      <c r="F370" s="31"/>
      <c r="G370" s="31"/>
      <c r="H370" s="29"/>
      <c r="I370" s="12"/>
      <c r="J370" s="12"/>
      <c r="K370" s="12"/>
      <c r="L370" s="12"/>
      <c r="M370" s="18" t="str">
        <f t="shared" si="1"/>
        <v>#DIV/0!</v>
      </c>
      <c r="N370" s="18" t="str">
        <f t="shared" si="2"/>
        <v>#DIV/0!</v>
      </c>
      <c r="O370" s="12" t="str">
        <f t="shared" si="4"/>
        <v/>
      </c>
      <c r="P370" s="18" t="str">
        <f t="shared" si="3"/>
        <v>#DIV/0!</v>
      </c>
      <c r="Q370" s="12"/>
    </row>
    <row r="371">
      <c r="A371" s="1" t="s">
        <v>2089</v>
      </c>
      <c r="B371" s="7" t="s">
        <v>2090</v>
      </c>
      <c r="C371" s="2" t="s">
        <v>4294</v>
      </c>
      <c r="D371" s="1" t="s">
        <v>4295</v>
      </c>
      <c r="E371" s="31"/>
      <c r="F371" s="31"/>
      <c r="G371" s="31"/>
      <c r="H371" s="29"/>
      <c r="I371" s="12"/>
      <c r="J371" s="12"/>
      <c r="K371" s="12"/>
      <c r="L371" s="12"/>
      <c r="M371" s="18" t="str">
        <f t="shared" si="1"/>
        <v>#DIV/0!</v>
      </c>
      <c r="N371" s="18" t="str">
        <f t="shared" si="2"/>
        <v>#DIV/0!</v>
      </c>
      <c r="O371" s="12" t="str">
        <f t="shared" si="4"/>
        <v/>
      </c>
      <c r="P371" s="18" t="str">
        <f t="shared" si="3"/>
        <v>#DIV/0!</v>
      </c>
      <c r="Q371" s="12"/>
    </row>
    <row r="372">
      <c r="A372" s="1" t="s">
        <v>2093</v>
      </c>
      <c r="B372" s="7" t="s">
        <v>2094</v>
      </c>
      <c r="C372" s="2" t="s">
        <v>3938</v>
      </c>
      <c r="D372" s="7" t="s">
        <v>3939</v>
      </c>
      <c r="E372" s="31"/>
      <c r="F372" s="31"/>
      <c r="G372" s="31"/>
      <c r="H372" s="29"/>
      <c r="I372" s="12"/>
      <c r="J372" s="12"/>
      <c r="K372" s="12"/>
      <c r="L372" s="12"/>
      <c r="M372" s="18" t="str">
        <f t="shared" si="1"/>
        <v>#DIV/0!</v>
      </c>
      <c r="N372" s="18" t="str">
        <f t="shared" si="2"/>
        <v>#DIV/0!</v>
      </c>
      <c r="O372" s="12" t="str">
        <f t="shared" si="4"/>
        <v/>
      </c>
      <c r="P372" s="18" t="str">
        <f t="shared" si="3"/>
        <v>#DIV/0!</v>
      </c>
      <c r="Q372" s="12"/>
    </row>
    <row r="373">
      <c r="A373" s="1" t="s">
        <v>2097</v>
      </c>
      <c r="B373" s="7" t="s">
        <v>2098</v>
      </c>
      <c r="C373" s="2" t="s">
        <v>4296</v>
      </c>
      <c r="D373" s="1" t="s">
        <v>4297</v>
      </c>
      <c r="E373" s="31"/>
      <c r="F373" s="31"/>
      <c r="G373" s="31"/>
      <c r="H373" s="29"/>
      <c r="I373" s="12"/>
      <c r="J373" s="12"/>
      <c r="K373" s="12"/>
      <c r="L373" s="12"/>
      <c r="M373" s="18" t="str">
        <f t="shared" si="1"/>
        <v>#DIV/0!</v>
      </c>
      <c r="N373" s="18" t="str">
        <f t="shared" si="2"/>
        <v>#DIV/0!</v>
      </c>
      <c r="O373" s="12" t="str">
        <f t="shared" si="4"/>
        <v/>
      </c>
      <c r="P373" s="18" t="str">
        <f t="shared" si="3"/>
        <v>#DIV/0!</v>
      </c>
      <c r="Q373" s="12"/>
    </row>
    <row r="374">
      <c r="A374" s="1" t="s">
        <v>2109</v>
      </c>
      <c r="B374" s="7" t="s">
        <v>2110</v>
      </c>
      <c r="C374" s="2" t="s">
        <v>4286</v>
      </c>
      <c r="D374" s="1" t="s">
        <v>4197</v>
      </c>
      <c r="E374" s="31"/>
      <c r="F374" s="31"/>
      <c r="G374" s="31"/>
      <c r="H374" s="29"/>
      <c r="I374" s="12"/>
      <c r="J374" s="12"/>
      <c r="K374" s="12"/>
      <c r="L374" s="12"/>
      <c r="M374" s="18" t="str">
        <f t="shared" si="1"/>
        <v>#DIV/0!</v>
      </c>
      <c r="N374" s="18" t="str">
        <f t="shared" si="2"/>
        <v>#DIV/0!</v>
      </c>
      <c r="O374" s="12" t="str">
        <f t="shared" si="4"/>
        <v/>
      </c>
      <c r="P374" s="18" t="str">
        <f t="shared" si="3"/>
        <v>#DIV/0!</v>
      </c>
      <c r="Q374" s="12"/>
    </row>
    <row r="375">
      <c r="A375" s="1" t="s">
        <v>2113</v>
      </c>
      <c r="B375" s="7" t="s">
        <v>2114</v>
      </c>
      <c r="C375" s="2" t="s">
        <v>3838</v>
      </c>
      <c r="D375" s="7" t="s">
        <v>3839</v>
      </c>
      <c r="E375" s="31"/>
      <c r="F375" s="31"/>
      <c r="G375" s="31"/>
      <c r="H375" s="29"/>
      <c r="I375" s="12"/>
      <c r="J375" s="12"/>
      <c r="K375" s="12"/>
      <c r="L375" s="12"/>
      <c r="M375" s="18" t="str">
        <f t="shared" si="1"/>
        <v>#DIV/0!</v>
      </c>
      <c r="N375" s="18" t="str">
        <f t="shared" si="2"/>
        <v>#DIV/0!</v>
      </c>
      <c r="O375" s="12" t="str">
        <f t="shared" si="4"/>
        <v/>
      </c>
      <c r="P375" s="18" t="str">
        <f t="shared" si="3"/>
        <v>#DIV/0!</v>
      </c>
      <c r="Q375" s="12"/>
    </row>
    <row r="376">
      <c r="A376" s="1" t="s">
        <v>2115</v>
      </c>
      <c r="B376" s="7" t="s">
        <v>2116</v>
      </c>
      <c r="C376" s="2" t="s">
        <v>3838</v>
      </c>
      <c r="D376" s="7" t="s">
        <v>3839</v>
      </c>
      <c r="E376" s="31"/>
      <c r="F376" s="31"/>
      <c r="G376" s="31"/>
      <c r="H376" s="29"/>
      <c r="I376" s="12"/>
      <c r="J376" s="12"/>
      <c r="K376" s="12"/>
      <c r="L376" s="12"/>
      <c r="M376" s="18" t="str">
        <f t="shared" si="1"/>
        <v>#DIV/0!</v>
      </c>
      <c r="N376" s="18" t="str">
        <f t="shared" si="2"/>
        <v>#DIV/0!</v>
      </c>
      <c r="O376" s="12" t="str">
        <f t="shared" si="4"/>
        <v/>
      </c>
      <c r="P376" s="18" t="str">
        <f t="shared" si="3"/>
        <v>#DIV/0!</v>
      </c>
      <c r="Q376" s="12"/>
    </row>
    <row r="377">
      <c r="A377" s="1" t="s">
        <v>2119</v>
      </c>
      <c r="B377" s="7" t="s">
        <v>2120</v>
      </c>
      <c r="C377" s="2" t="s">
        <v>3846</v>
      </c>
      <c r="D377" s="7" t="s">
        <v>3847</v>
      </c>
      <c r="E377" s="31"/>
      <c r="F377" s="31"/>
      <c r="G377" s="31"/>
      <c r="H377" s="29"/>
      <c r="I377" s="12"/>
      <c r="J377" s="12"/>
      <c r="K377" s="12"/>
      <c r="L377" s="12"/>
      <c r="M377" s="18" t="str">
        <f t="shared" si="1"/>
        <v>#DIV/0!</v>
      </c>
      <c r="N377" s="18" t="str">
        <f t="shared" si="2"/>
        <v>#DIV/0!</v>
      </c>
      <c r="O377" s="12" t="str">
        <f t="shared" si="4"/>
        <v/>
      </c>
      <c r="P377" s="18" t="str">
        <f t="shared" si="3"/>
        <v>#DIV/0!</v>
      </c>
      <c r="Q377" s="12"/>
    </row>
    <row r="378">
      <c r="A378" s="1" t="s">
        <v>2122</v>
      </c>
      <c r="B378" s="7" t="s">
        <v>2123</v>
      </c>
      <c r="C378" s="2" t="s">
        <v>3959</v>
      </c>
      <c r="D378" s="7" t="s">
        <v>3960</v>
      </c>
      <c r="E378" s="31"/>
      <c r="F378" s="31"/>
      <c r="G378" s="31"/>
      <c r="H378" s="29"/>
      <c r="I378" s="12"/>
      <c r="J378" s="12"/>
      <c r="K378" s="12"/>
      <c r="L378" s="12"/>
      <c r="M378" s="18" t="str">
        <f t="shared" si="1"/>
        <v>#DIV/0!</v>
      </c>
      <c r="N378" s="18" t="str">
        <f t="shared" si="2"/>
        <v>#DIV/0!</v>
      </c>
      <c r="O378" s="12" t="str">
        <f t="shared" si="4"/>
        <v/>
      </c>
      <c r="P378" s="18" t="str">
        <f t="shared" si="3"/>
        <v>#DIV/0!</v>
      </c>
      <c r="Q378" s="12"/>
    </row>
    <row r="379">
      <c r="A379" s="1" t="s">
        <v>2126</v>
      </c>
      <c r="B379" s="7" t="s">
        <v>2127</v>
      </c>
      <c r="C379" s="2" t="s">
        <v>3846</v>
      </c>
      <c r="D379" s="7" t="s">
        <v>3847</v>
      </c>
      <c r="E379" s="31"/>
      <c r="F379" s="31"/>
      <c r="G379" s="31"/>
      <c r="H379" s="29"/>
      <c r="I379" s="12"/>
      <c r="J379" s="12"/>
      <c r="K379" s="12"/>
      <c r="L379" s="12"/>
      <c r="M379" s="18" t="str">
        <f t="shared" si="1"/>
        <v>#DIV/0!</v>
      </c>
      <c r="N379" s="18" t="str">
        <f t="shared" si="2"/>
        <v>#DIV/0!</v>
      </c>
      <c r="O379" s="12" t="str">
        <f t="shared" si="4"/>
        <v/>
      </c>
      <c r="P379" s="18" t="str">
        <f t="shared" si="3"/>
        <v>#DIV/0!</v>
      </c>
      <c r="Q379" s="12"/>
    </row>
    <row r="380">
      <c r="A380" s="1" t="s">
        <v>2128</v>
      </c>
      <c r="B380" s="7" t="s">
        <v>2129</v>
      </c>
      <c r="C380" s="2" t="s">
        <v>3838</v>
      </c>
      <c r="D380" s="7" t="s">
        <v>3839</v>
      </c>
      <c r="E380" s="31"/>
      <c r="F380" s="31"/>
      <c r="G380" s="31"/>
      <c r="H380" s="29"/>
      <c r="I380" s="12"/>
      <c r="J380" s="12"/>
      <c r="K380" s="12"/>
      <c r="L380" s="12"/>
      <c r="M380" s="18" t="str">
        <f t="shared" si="1"/>
        <v>#DIV/0!</v>
      </c>
      <c r="N380" s="18" t="str">
        <f t="shared" si="2"/>
        <v>#DIV/0!</v>
      </c>
      <c r="O380" s="12" t="str">
        <f t="shared" si="4"/>
        <v/>
      </c>
      <c r="P380" s="18" t="str">
        <f t="shared" si="3"/>
        <v>#DIV/0!</v>
      </c>
      <c r="Q380" s="12"/>
    </row>
    <row r="381">
      <c r="A381" s="1" t="s">
        <v>2130</v>
      </c>
      <c r="B381" s="7" t="s">
        <v>2131</v>
      </c>
      <c r="C381" s="2" t="s">
        <v>4298</v>
      </c>
      <c r="D381" s="1" t="s">
        <v>4299</v>
      </c>
      <c r="E381" s="31"/>
      <c r="F381" s="31"/>
      <c r="G381" s="31"/>
      <c r="H381" s="29"/>
      <c r="I381" s="12"/>
      <c r="J381" s="12"/>
      <c r="K381" s="12"/>
      <c r="L381" s="12"/>
      <c r="M381" s="18" t="str">
        <f t="shared" si="1"/>
        <v>#DIV/0!</v>
      </c>
      <c r="N381" s="18" t="str">
        <f t="shared" si="2"/>
        <v>#DIV/0!</v>
      </c>
      <c r="O381" s="12" t="str">
        <f t="shared" si="4"/>
        <v/>
      </c>
      <c r="P381" s="18" t="str">
        <f t="shared" si="3"/>
        <v>#DIV/0!</v>
      </c>
      <c r="Q381" s="12"/>
    </row>
    <row r="382">
      <c r="A382" s="1" t="s">
        <v>2134</v>
      </c>
      <c r="B382" s="7" t="s">
        <v>2135</v>
      </c>
      <c r="C382" s="2" t="s">
        <v>4300</v>
      </c>
      <c r="D382" s="1" t="s">
        <v>4301</v>
      </c>
      <c r="E382" s="31"/>
      <c r="F382" s="31"/>
      <c r="G382" s="31"/>
      <c r="H382" s="29"/>
      <c r="I382" s="12"/>
      <c r="J382" s="12"/>
      <c r="K382" s="12"/>
      <c r="L382" s="12"/>
      <c r="M382" s="18" t="str">
        <f t="shared" si="1"/>
        <v>#DIV/0!</v>
      </c>
      <c r="N382" s="18" t="str">
        <f t="shared" si="2"/>
        <v>#DIV/0!</v>
      </c>
      <c r="O382" s="12" t="str">
        <f t="shared" si="4"/>
        <v/>
      </c>
      <c r="P382" s="18" t="str">
        <f t="shared" si="3"/>
        <v>#DIV/0!</v>
      </c>
      <c r="Q382" s="12"/>
    </row>
    <row r="383">
      <c r="A383" s="1" t="s">
        <v>2136</v>
      </c>
      <c r="B383" s="7" t="s">
        <v>2137</v>
      </c>
      <c r="C383" s="2" t="s">
        <v>3838</v>
      </c>
      <c r="D383" s="7" t="s">
        <v>3839</v>
      </c>
      <c r="E383" s="31"/>
      <c r="F383" s="31"/>
      <c r="G383" s="31"/>
      <c r="H383" s="29"/>
      <c r="I383" s="12"/>
      <c r="J383" s="12"/>
      <c r="K383" s="12"/>
      <c r="L383" s="12"/>
      <c r="M383" s="18" t="str">
        <f t="shared" si="1"/>
        <v>#DIV/0!</v>
      </c>
      <c r="N383" s="18" t="str">
        <f t="shared" si="2"/>
        <v>#DIV/0!</v>
      </c>
      <c r="O383" s="12" t="str">
        <f t="shared" si="4"/>
        <v/>
      </c>
      <c r="P383" s="18" t="str">
        <f t="shared" si="3"/>
        <v>#DIV/0!</v>
      </c>
      <c r="Q383" s="12"/>
    </row>
    <row r="384">
      <c r="A384" s="1" t="s">
        <v>2140</v>
      </c>
      <c r="B384" s="7" t="s">
        <v>2141</v>
      </c>
      <c r="C384" s="2" t="s">
        <v>4302</v>
      </c>
      <c r="D384" s="1" t="s">
        <v>4303</v>
      </c>
      <c r="E384" s="31"/>
      <c r="F384" s="31"/>
      <c r="G384" s="31"/>
      <c r="H384" s="29"/>
      <c r="I384" s="12"/>
      <c r="J384" s="12"/>
      <c r="K384" s="12"/>
      <c r="L384" s="12"/>
      <c r="M384" s="18" t="str">
        <f t="shared" si="1"/>
        <v>#DIV/0!</v>
      </c>
      <c r="N384" s="18" t="str">
        <f t="shared" si="2"/>
        <v>#DIV/0!</v>
      </c>
      <c r="O384" s="12" t="str">
        <f t="shared" si="4"/>
        <v/>
      </c>
      <c r="P384" s="18" t="str">
        <f t="shared" si="3"/>
        <v>#DIV/0!</v>
      </c>
      <c r="Q384" s="12"/>
    </row>
    <row r="385">
      <c r="A385" s="1" t="s">
        <v>2148</v>
      </c>
      <c r="B385" s="7" t="s">
        <v>2149</v>
      </c>
      <c r="C385" s="2" t="s">
        <v>3838</v>
      </c>
      <c r="D385" s="7" t="s">
        <v>3839</v>
      </c>
      <c r="E385" s="31"/>
      <c r="F385" s="31"/>
      <c r="G385" s="31"/>
      <c r="H385" s="29"/>
      <c r="I385" s="12"/>
      <c r="J385" s="12"/>
      <c r="K385" s="12"/>
      <c r="L385" s="12"/>
      <c r="M385" s="18" t="str">
        <f t="shared" si="1"/>
        <v>#DIV/0!</v>
      </c>
      <c r="N385" s="18" t="str">
        <f t="shared" si="2"/>
        <v>#DIV/0!</v>
      </c>
      <c r="O385" s="12" t="str">
        <f t="shared" si="4"/>
        <v/>
      </c>
      <c r="P385" s="18" t="str">
        <f t="shared" si="3"/>
        <v>#DIV/0!</v>
      </c>
      <c r="Q385" s="12"/>
    </row>
    <row r="386">
      <c r="A386" s="1" t="s">
        <v>2150</v>
      </c>
      <c r="B386" s="7" t="s">
        <v>2151</v>
      </c>
      <c r="C386" s="2" t="s">
        <v>4304</v>
      </c>
      <c r="D386" s="7" t="s">
        <v>4305</v>
      </c>
      <c r="E386" s="31"/>
      <c r="F386" s="31"/>
      <c r="G386" s="31"/>
      <c r="H386" s="29"/>
      <c r="I386" s="12"/>
      <c r="J386" s="12"/>
      <c r="K386" s="12"/>
      <c r="L386" s="12"/>
      <c r="M386" s="18" t="str">
        <f t="shared" si="1"/>
        <v>#DIV/0!</v>
      </c>
      <c r="N386" s="18" t="str">
        <f t="shared" si="2"/>
        <v>#DIV/0!</v>
      </c>
      <c r="O386" s="12" t="str">
        <f t="shared" si="4"/>
        <v/>
      </c>
      <c r="P386" s="18" t="str">
        <f t="shared" si="3"/>
        <v>#DIV/0!</v>
      </c>
      <c r="Q386" s="12"/>
    </row>
    <row r="387">
      <c r="A387" s="1" t="s">
        <v>2160</v>
      </c>
      <c r="B387" s="7" t="s">
        <v>2161</v>
      </c>
      <c r="C387" s="2" t="s">
        <v>4306</v>
      </c>
      <c r="D387" s="1" t="s">
        <v>4307</v>
      </c>
      <c r="E387" s="31"/>
      <c r="F387" s="31"/>
      <c r="G387" s="31"/>
      <c r="H387" s="29"/>
      <c r="I387" s="12"/>
      <c r="J387" s="12"/>
      <c r="K387" s="12"/>
      <c r="L387" s="12"/>
      <c r="M387" s="18" t="str">
        <f t="shared" si="1"/>
        <v>#DIV/0!</v>
      </c>
      <c r="N387" s="18" t="str">
        <f t="shared" si="2"/>
        <v>#DIV/0!</v>
      </c>
      <c r="O387" s="12" t="str">
        <f t="shared" si="4"/>
        <v/>
      </c>
      <c r="P387" s="18" t="str">
        <f t="shared" si="3"/>
        <v>#DIV/0!</v>
      </c>
      <c r="Q387" s="12"/>
    </row>
    <row r="388">
      <c r="A388" s="1" t="s">
        <v>2164</v>
      </c>
      <c r="B388" s="7" t="s">
        <v>2165</v>
      </c>
      <c r="C388" s="2" t="s">
        <v>3830</v>
      </c>
      <c r="D388" s="7" t="s">
        <v>3831</v>
      </c>
      <c r="E388" s="31"/>
      <c r="F388" s="31"/>
      <c r="G388" s="31"/>
      <c r="H388" s="29"/>
      <c r="I388" s="12"/>
      <c r="J388" s="12"/>
      <c r="K388" s="12"/>
      <c r="L388" s="12"/>
      <c r="M388" s="18" t="str">
        <f t="shared" si="1"/>
        <v>#DIV/0!</v>
      </c>
      <c r="N388" s="18" t="str">
        <f t="shared" si="2"/>
        <v>#DIV/0!</v>
      </c>
      <c r="O388" s="12" t="str">
        <f t="shared" si="4"/>
        <v/>
      </c>
      <c r="P388" s="18" t="str">
        <f t="shared" si="3"/>
        <v>#DIV/0!</v>
      </c>
      <c r="Q388" s="12"/>
    </row>
    <row r="389">
      <c r="A389" s="1" t="s">
        <v>2168</v>
      </c>
      <c r="B389" s="7" t="s">
        <v>2169</v>
      </c>
      <c r="C389" s="2" t="s">
        <v>4308</v>
      </c>
      <c r="D389" s="1" t="s">
        <v>4309</v>
      </c>
      <c r="E389" s="31"/>
      <c r="F389" s="31"/>
      <c r="G389" s="31"/>
      <c r="H389" s="29"/>
      <c r="I389" s="12"/>
      <c r="J389" s="12"/>
      <c r="K389" s="12"/>
      <c r="L389" s="12"/>
      <c r="M389" s="18" t="str">
        <f t="shared" si="1"/>
        <v>#DIV/0!</v>
      </c>
      <c r="N389" s="18" t="str">
        <f t="shared" si="2"/>
        <v>#DIV/0!</v>
      </c>
      <c r="O389" s="12" t="str">
        <f t="shared" si="4"/>
        <v/>
      </c>
      <c r="P389" s="18" t="str">
        <f t="shared" si="3"/>
        <v>#DIV/0!</v>
      </c>
      <c r="Q389" s="12"/>
    </row>
    <row r="390">
      <c r="A390" s="1" t="s">
        <v>2172</v>
      </c>
      <c r="B390" s="7" t="s">
        <v>2173</v>
      </c>
      <c r="C390" s="2" t="s">
        <v>4310</v>
      </c>
      <c r="D390" s="1" t="s">
        <v>4311</v>
      </c>
      <c r="E390" s="31"/>
      <c r="F390" s="31"/>
      <c r="G390" s="31"/>
      <c r="H390" s="29"/>
      <c r="I390" s="12"/>
      <c r="J390" s="12"/>
      <c r="K390" s="12"/>
      <c r="L390" s="12"/>
      <c r="M390" s="18" t="str">
        <f t="shared" si="1"/>
        <v>#DIV/0!</v>
      </c>
      <c r="N390" s="18" t="str">
        <f t="shared" si="2"/>
        <v>#DIV/0!</v>
      </c>
      <c r="O390" s="12" t="str">
        <f t="shared" si="4"/>
        <v/>
      </c>
      <c r="P390" s="18" t="str">
        <f t="shared" si="3"/>
        <v>#DIV/0!</v>
      </c>
      <c r="Q390" s="12"/>
    </row>
    <row r="391">
      <c r="A391" s="1" t="s">
        <v>2176</v>
      </c>
      <c r="B391" s="7" t="s">
        <v>2177</v>
      </c>
      <c r="C391" s="2" t="s">
        <v>4312</v>
      </c>
      <c r="D391" s="1" t="s">
        <v>4313</v>
      </c>
      <c r="E391" s="31"/>
      <c r="F391" s="31"/>
      <c r="G391" s="31"/>
      <c r="H391" s="29"/>
      <c r="I391" s="12"/>
      <c r="J391" s="12"/>
      <c r="K391" s="12"/>
      <c r="L391" s="12"/>
      <c r="M391" s="18" t="str">
        <f t="shared" si="1"/>
        <v>#DIV/0!</v>
      </c>
      <c r="N391" s="18" t="str">
        <f t="shared" si="2"/>
        <v>#DIV/0!</v>
      </c>
      <c r="O391" s="12" t="str">
        <f t="shared" si="4"/>
        <v/>
      </c>
      <c r="P391" s="18" t="str">
        <f t="shared" si="3"/>
        <v>#DIV/0!</v>
      </c>
      <c r="Q391" s="12"/>
    </row>
    <row r="392">
      <c r="A392" s="1" t="s">
        <v>2179</v>
      </c>
      <c r="B392" s="7" t="s">
        <v>2180</v>
      </c>
      <c r="C392" s="2" t="s">
        <v>4314</v>
      </c>
      <c r="D392" s="1" t="s">
        <v>4315</v>
      </c>
      <c r="E392" s="31"/>
      <c r="F392" s="31"/>
      <c r="G392" s="31"/>
      <c r="H392" s="29"/>
      <c r="I392" s="12"/>
      <c r="J392" s="12"/>
      <c r="K392" s="12"/>
      <c r="L392" s="12"/>
      <c r="M392" s="18" t="str">
        <f t="shared" si="1"/>
        <v>#DIV/0!</v>
      </c>
      <c r="N392" s="18" t="str">
        <f t="shared" si="2"/>
        <v>#DIV/0!</v>
      </c>
      <c r="O392" s="12" t="str">
        <f t="shared" si="4"/>
        <v/>
      </c>
      <c r="P392" s="18" t="str">
        <f t="shared" si="3"/>
        <v>#DIV/0!</v>
      </c>
      <c r="Q392" s="12"/>
    </row>
    <row r="393">
      <c r="A393" s="1" t="s">
        <v>2187</v>
      </c>
      <c r="B393" s="7" t="s">
        <v>2188</v>
      </c>
      <c r="C393" s="2" t="s">
        <v>4316</v>
      </c>
      <c r="D393" s="1" t="s">
        <v>4317</v>
      </c>
      <c r="E393" s="31"/>
      <c r="F393" s="31"/>
      <c r="G393" s="31"/>
      <c r="H393" s="29"/>
      <c r="I393" s="12"/>
      <c r="J393" s="12"/>
      <c r="K393" s="12"/>
      <c r="L393" s="12"/>
      <c r="M393" s="18" t="str">
        <f t="shared" si="1"/>
        <v>#DIV/0!</v>
      </c>
      <c r="N393" s="18" t="str">
        <f t="shared" si="2"/>
        <v>#DIV/0!</v>
      </c>
      <c r="O393" s="12" t="str">
        <f t="shared" si="4"/>
        <v/>
      </c>
      <c r="P393" s="18" t="str">
        <f t="shared" si="3"/>
        <v>#DIV/0!</v>
      </c>
      <c r="Q393" s="12"/>
    </row>
    <row r="394">
      <c r="A394" s="1" t="s">
        <v>2191</v>
      </c>
      <c r="B394" s="7" t="s">
        <v>2192</v>
      </c>
      <c r="C394" s="2" t="s">
        <v>3873</v>
      </c>
      <c r="D394" s="7" t="s">
        <v>3874</v>
      </c>
      <c r="E394" s="31"/>
      <c r="F394" s="31"/>
      <c r="G394" s="31"/>
      <c r="H394" s="29"/>
      <c r="I394" s="12"/>
      <c r="J394" s="12"/>
      <c r="K394" s="12"/>
      <c r="L394" s="12"/>
      <c r="M394" s="18" t="str">
        <f t="shared" si="1"/>
        <v>#DIV/0!</v>
      </c>
      <c r="N394" s="18" t="str">
        <f t="shared" si="2"/>
        <v>#DIV/0!</v>
      </c>
      <c r="O394" s="12" t="str">
        <f t="shared" si="4"/>
        <v/>
      </c>
      <c r="P394" s="18" t="str">
        <f t="shared" si="3"/>
        <v>#DIV/0!</v>
      </c>
      <c r="Q394" s="12"/>
    </row>
    <row r="395">
      <c r="A395" s="1" t="s">
        <v>2197</v>
      </c>
      <c r="B395" s="7" t="s">
        <v>2198</v>
      </c>
      <c r="C395" s="2" t="s">
        <v>4318</v>
      </c>
      <c r="D395" s="1" t="s">
        <v>4319</v>
      </c>
      <c r="E395" s="31"/>
      <c r="F395" s="31"/>
      <c r="G395" s="31"/>
      <c r="H395" s="29"/>
      <c r="I395" s="12"/>
      <c r="J395" s="12"/>
      <c r="K395" s="12"/>
      <c r="L395" s="12"/>
      <c r="M395" s="18" t="str">
        <f t="shared" si="1"/>
        <v>#DIV/0!</v>
      </c>
      <c r="N395" s="18" t="str">
        <f t="shared" si="2"/>
        <v>#DIV/0!</v>
      </c>
      <c r="O395" s="12" t="str">
        <f t="shared" si="4"/>
        <v/>
      </c>
      <c r="P395" s="18" t="str">
        <f t="shared" si="3"/>
        <v>#DIV/0!</v>
      </c>
      <c r="Q395" s="12"/>
    </row>
    <row r="396">
      <c r="A396" s="1" t="s">
        <v>2205</v>
      </c>
      <c r="B396" s="7" t="s">
        <v>2206</v>
      </c>
      <c r="C396" s="2" t="s">
        <v>4274</v>
      </c>
      <c r="D396" s="7" t="s">
        <v>4275</v>
      </c>
      <c r="E396" s="31"/>
      <c r="F396" s="31"/>
      <c r="G396" s="31"/>
      <c r="H396" s="29"/>
      <c r="I396" s="12"/>
      <c r="J396" s="12"/>
      <c r="K396" s="12"/>
      <c r="L396" s="12"/>
      <c r="M396" s="18" t="str">
        <f t="shared" si="1"/>
        <v>#DIV/0!</v>
      </c>
      <c r="N396" s="18" t="str">
        <f t="shared" si="2"/>
        <v>#DIV/0!</v>
      </c>
      <c r="O396" s="12" t="str">
        <f t="shared" si="4"/>
        <v/>
      </c>
      <c r="P396" s="18" t="str">
        <f t="shared" si="3"/>
        <v>#DIV/0!</v>
      </c>
      <c r="Q396" s="12"/>
    </row>
    <row r="397">
      <c r="A397" s="1" t="s">
        <v>2208</v>
      </c>
      <c r="B397" s="7" t="s">
        <v>2209</v>
      </c>
      <c r="C397" s="2" t="s">
        <v>4320</v>
      </c>
      <c r="D397" s="1" t="s">
        <v>4321</v>
      </c>
      <c r="E397" s="31"/>
      <c r="F397" s="31"/>
      <c r="G397" s="31"/>
      <c r="H397" s="29"/>
      <c r="I397" s="12"/>
      <c r="J397" s="12"/>
      <c r="K397" s="12"/>
      <c r="L397" s="12"/>
      <c r="M397" s="18" t="str">
        <f t="shared" si="1"/>
        <v>#DIV/0!</v>
      </c>
      <c r="N397" s="18" t="str">
        <f t="shared" si="2"/>
        <v>#DIV/0!</v>
      </c>
      <c r="O397" s="12" t="str">
        <f t="shared" si="4"/>
        <v/>
      </c>
      <c r="P397" s="18" t="str">
        <f t="shared" si="3"/>
        <v>#DIV/0!</v>
      </c>
      <c r="Q397" s="12"/>
    </row>
    <row r="398">
      <c r="A398" s="1" t="s">
        <v>2212</v>
      </c>
      <c r="B398" s="7" t="s">
        <v>2213</v>
      </c>
      <c r="C398" s="2" t="s">
        <v>3980</v>
      </c>
      <c r="D398" s="1" t="s">
        <v>3992</v>
      </c>
      <c r="E398" s="31"/>
      <c r="F398" s="31"/>
      <c r="G398" s="31"/>
      <c r="H398" s="29"/>
      <c r="I398" s="12"/>
      <c r="J398" s="12"/>
      <c r="K398" s="12"/>
      <c r="L398" s="12"/>
      <c r="M398" s="18" t="str">
        <f t="shared" si="1"/>
        <v>#DIV/0!</v>
      </c>
      <c r="N398" s="18" t="str">
        <f t="shared" si="2"/>
        <v>#DIV/0!</v>
      </c>
      <c r="O398" s="12" t="str">
        <f t="shared" si="4"/>
        <v/>
      </c>
      <c r="P398" s="18" t="str">
        <f t="shared" si="3"/>
        <v>#DIV/0!</v>
      </c>
      <c r="Q398" s="12"/>
    </row>
    <row r="399">
      <c r="A399" s="1" t="s">
        <v>2215</v>
      </c>
      <c r="B399" s="7" t="s">
        <v>2216</v>
      </c>
      <c r="C399" s="2" t="s">
        <v>3859</v>
      </c>
      <c r="D399" s="7" t="s">
        <v>3860</v>
      </c>
      <c r="E399" s="31"/>
      <c r="F399" s="31"/>
      <c r="G399" s="31"/>
      <c r="H399" s="29"/>
      <c r="I399" s="12"/>
      <c r="J399" s="12"/>
      <c r="K399" s="12"/>
      <c r="L399" s="12"/>
      <c r="M399" s="18" t="str">
        <f t="shared" si="1"/>
        <v>#DIV/0!</v>
      </c>
      <c r="N399" s="18" t="str">
        <f t="shared" si="2"/>
        <v>#DIV/0!</v>
      </c>
      <c r="O399" s="12" t="str">
        <f t="shared" si="4"/>
        <v/>
      </c>
      <c r="P399" s="18" t="str">
        <f t="shared" si="3"/>
        <v>#DIV/0!</v>
      </c>
      <c r="Q399" s="12"/>
    </row>
    <row r="400">
      <c r="A400" s="1" t="s">
        <v>2217</v>
      </c>
      <c r="B400" s="7" t="s">
        <v>2218</v>
      </c>
      <c r="C400" s="2" t="s">
        <v>4322</v>
      </c>
      <c r="E400" s="31"/>
      <c r="F400" s="31"/>
      <c r="G400" s="31"/>
      <c r="H400" s="29"/>
      <c r="I400" s="12"/>
      <c r="J400" s="12"/>
      <c r="K400" s="12"/>
      <c r="L400" s="12"/>
      <c r="M400" s="18" t="str">
        <f t="shared" si="1"/>
        <v>#DIV/0!</v>
      </c>
      <c r="N400" s="18" t="str">
        <f t="shared" si="2"/>
        <v>#DIV/0!</v>
      </c>
      <c r="O400" s="12" t="str">
        <f t="shared" si="4"/>
        <v/>
      </c>
      <c r="P400" s="18" t="str">
        <f t="shared" si="3"/>
        <v>#DIV/0!</v>
      </c>
      <c r="Q400" s="12"/>
    </row>
    <row r="401">
      <c r="A401" s="1" t="s">
        <v>2225</v>
      </c>
      <c r="B401" s="7" t="s">
        <v>2226</v>
      </c>
      <c r="C401" s="2" t="s">
        <v>4164</v>
      </c>
      <c r="D401" s="7" t="s">
        <v>4165</v>
      </c>
      <c r="E401" s="31"/>
      <c r="F401" s="31"/>
      <c r="G401" s="31"/>
      <c r="H401" s="29"/>
      <c r="I401" s="12"/>
      <c r="J401" s="12"/>
      <c r="K401" s="12"/>
      <c r="L401" s="12"/>
      <c r="M401" s="18" t="str">
        <f t="shared" si="1"/>
        <v>#DIV/0!</v>
      </c>
      <c r="N401" s="18" t="str">
        <f t="shared" si="2"/>
        <v>#DIV/0!</v>
      </c>
      <c r="O401" s="12" t="str">
        <f t="shared" si="4"/>
        <v/>
      </c>
      <c r="P401" s="18" t="str">
        <f t="shared" si="3"/>
        <v>#DIV/0!</v>
      </c>
      <c r="Q401" s="12"/>
    </row>
    <row r="402">
      <c r="A402" s="1" t="s">
        <v>2229</v>
      </c>
      <c r="B402" s="7" t="s">
        <v>2230</v>
      </c>
      <c r="C402" s="2" t="s">
        <v>4323</v>
      </c>
      <c r="D402" s="1" t="s">
        <v>4324</v>
      </c>
      <c r="E402" s="31"/>
      <c r="F402" s="31"/>
      <c r="G402" s="31"/>
      <c r="H402" s="29"/>
      <c r="I402" s="12"/>
      <c r="J402" s="12"/>
      <c r="K402" s="12"/>
      <c r="L402" s="12"/>
      <c r="M402" s="18" t="str">
        <f t="shared" si="1"/>
        <v>#DIV/0!</v>
      </c>
      <c r="N402" s="18" t="str">
        <f t="shared" si="2"/>
        <v>#DIV/0!</v>
      </c>
      <c r="O402" s="12" t="str">
        <f t="shared" si="4"/>
        <v/>
      </c>
      <c r="P402" s="18" t="str">
        <f t="shared" si="3"/>
        <v>#DIV/0!</v>
      </c>
      <c r="Q402" s="12"/>
    </row>
    <row r="403">
      <c r="A403" s="1" t="s">
        <v>2239</v>
      </c>
      <c r="B403" s="7" t="s">
        <v>2240</v>
      </c>
      <c r="C403" s="2" t="s">
        <v>4325</v>
      </c>
      <c r="E403" s="31"/>
      <c r="F403" s="31"/>
      <c r="G403" s="31"/>
      <c r="H403" s="29"/>
      <c r="I403" s="12"/>
      <c r="J403" s="12"/>
      <c r="K403" s="12"/>
      <c r="L403" s="12"/>
      <c r="M403" s="18" t="str">
        <f t="shared" si="1"/>
        <v>#DIV/0!</v>
      </c>
      <c r="N403" s="18" t="str">
        <f t="shared" si="2"/>
        <v>#DIV/0!</v>
      </c>
      <c r="O403" s="12" t="str">
        <f t="shared" si="4"/>
        <v/>
      </c>
      <c r="P403" s="18" t="str">
        <f t="shared" si="3"/>
        <v>#DIV/0!</v>
      </c>
      <c r="Q403" s="12"/>
    </row>
    <row r="404">
      <c r="A404" s="1" t="s">
        <v>2247</v>
      </c>
      <c r="B404" s="7" t="s">
        <v>2248</v>
      </c>
      <c r="C404" s="2" t="s">
        <v>4326</v>
      </c>
      <c r="D404" s="1" t="s">
        <v>4327</v>
      </c>
      <c r="E404" s="31"/>
      <c r="F404" s="31"/>
      <c r="G404" s="31"/>
      <c r="H404" s="29"/>
      <c r="I404" s="12"/>
      <c r="J404" s="12"/>
      <c r="K404" s="12"/>
      <c r="L404" s="12"/>
      <c r="M404" s="18" t="str">
        <f t="shared" si="1"/>
        <v>#DIV/0!</v>
      </c>
      <c r="N404" s="18" t="str">
        <f t="shared" si="2"/>
        <v>#DIV/0!</v>
      </c>
      <c r="O404" s="12" t="str">
        <f t="shared" si="4"/>
        <v/>
      </c>
      <c r="P404" s="18" t="str">
        <f t="shared" si="3"/>
        <v>#DIV/0!</v>
      </c>
      <c r="Q404" s="12"/>
    </row>
    <row r="405">
      <c r="A405" s="1" t="s">
        <v>2249</v>
      </c>
      <c r="B405" s="7" t="s">
        <v>2250</v>
      </c>
      <c r="C405" s="2" t="s">
        <v>4328</v>
      </c>
      <c r="D405" s="1" t="s">
        <v>4329</v>
      </c>
      <c r="E405" s="31"/>
      <c r="F405" s="31"/>
      <c r="G405" s="31"/>
      <c r="H405" s="29"/>
      <c r="I405" s="12"/>
      <c r="J405" s="12"/>
      <c r="K405" s="12"/>
      <c r="L405" s="12"/>
      <c r="M405" s="18" t="str">
        <f t="shared" si="1"/>
        <v>#DIV/0!</v>
      </c>
      <c r="N405" s="18" t="str">
        <f t="shared" si="2"/>
        <v>#DIV/0!</v>
      </c>
      <c r="O405" s="12" t="str">
        <f t="shared" si="4"/>
        <v/>
      </c>
      <c r="P405" s="18" t="str">
        <f t="shared" si="3"/>
        <v>#DIV/0!</v>
      </c>
      <c r="Q405" s="12"/>
    </row>
    <row r="406">
      <c r="A406" s="1" t="s">
        <v>2251</v>
      </c>
      <c r="B406" s="7" t="s">
        <v>2252</v>
      </c>
      <c r="C406" s="2" t="s">
        <v>4330</v>
      </c>
      <c r="D406" s="1" t="s">
        <v>4331</v>
      </c>
      <c r="E406" s="31"/>
      <c r="F406" s="31"/>
      <c r="G406" s="31"/>
      <c r="H406" s="29"/>
      <c r="I406" s="12"/>
      <c r="J406" s="12"/>
      <c r="K406" s="12"/>
      <c r="L406" s="12"/>
      <c r="M406" s="18" t="str">
        <f t="shared" si="1"/>
        <v>#DIV/0!</v>
      </c>
      <c r="N406" s="18" t="str">
        <f t="shared" si="2"/>
        <v>#DIV/0!</v>
      </c>
      <c r="O406" s="12" t="str">
        <f t="shared" si="4"/>
        <v/>
      </c>
      <c r="P406" s="18" t="str">
        <f t="shared" si="3"/>
        <v>#DIV/0!</v>
      </c>
      <c r="Q406" s="12"/>
    </row>
    <row r="407">
      <c r="A407" s="1" t="s">
        <v>2255</v>
      </c>
      <c r="B407" s="7" t="s">
        <v>2256</v>
      </c>
      <c r="C407" s="2" t="s">
        <v>4332</v>
      </c>
      <c r="D407" s="7" t="s">
        <v>4333</v>
      </c>
      <c r="E407" s="31"/>
      <c r="F407" s="31"/>
      <c r="G407" s="31"/>
      <c r="H407" s="29"/>
      <c r="I407" s="12"/>
      <c r="J407" s="12"/>
      <c r="K407" s="12"/>
      <c r="L407" s="12"/>
      <c r="M407" s="18" t="str">
        <f t="shared" si="1"/>
        <v>#DIV/0!</v>
      </c>
      <c r="N407" s="18" t="str">
        <f t="shared" si="2"/>
        <v>#DIV/0!</v>
      </c>
      <c r="O407" s="12" t="str">
        <f t="shared" si="4"/>
        <v/>
      </c>
      <c r="P407" s="18" t="str">
        <f t="shared" si="3"/>
        <v>#DIV/0!</v>
      </c>
      <c r="Q407" s="12"/>
    </row>
    <row r="408">
      <c r="A408" s="1" t="s">
        <v>2265</v>
      </c>
      <c r="B408" s="7" t="s">
        <v>2266</v>
      </c>
      <c r="C408" s="2" t="s">
        <v>4258</v>
      </c>
      <c r="D408" s="7" t="s">
        <v>4259</v>
      </c>
      <c r="E408" s="31"/>
      <c r="F408" s="31"/>
      <c r="G408" s="31"/>
      <c r="H408" s="29"/>
      <c r="I408" s="12"/>
      <c r="J408" s="12"/>
      <c r="K408" s="12"/>
      <c r="L408" s="12"/>
      <c r="M408" s="18" t="str">
        <f t="shared" si="1"/>
        <v>#DIV/0!</v>
      </c>
      <c r="N408" s="18" t="str">
        <f t="shared" si="2"/>
        <v>#DIV/0!</v>
      </c>
      <c r="O408" s="12" t="str">
        <f t="shared" si="4"/>
        <v/>
      </c>
      <c r="P408" s="18" t="str">
        <f t="shared" si="3"/>
        <v>#DIV/0!</v>
      </c>
      <c r="Q408" s="12"/>
    </row>
    <row r="409">
      <c r="A409" s="1" t="s">
        <v>2267</v>
      </c>
      <c r="B409" s="7" t="s">
        <v>2268</v>
      </c>
      <c r="C409" s="2" t="s">
        <v>3838</v>
      </c>
      <c r="D409" s="7" t="s">
        <v>3839</v>
      </c>
      <c r="E409" s="31"/>
      <c r="F409" s="31"/>
      <c r="G409" s="31"/>
      <c r="H409" s="29"/>
      <c r="I409" s="12"/>
      <c r="J409" s="12"/>
      <c r="K409" s="12"/>
      <c r="L409" s="12"/>
      <c r="M409" s="18" t="str">
        <f t="shared" si="1"/>
        <v>#DIV/0!</v>
      </c>
      <c r="N409" s="18" t="str">
        <f t="shared" si="2"/>
        <v>#DIV/0!</v>
      </c>
      <c r="O409" s="12" t="str">
        <f t="shared" si="4"/>
        <v/>
      </c>
      <c r="P409" s="18" t="str">
        <f t="shared" si="3"/>
        <v>#DIV/0!</v>
      </c>
      <c r="Q409" s="12"/>
    </row>
    <row r="410">
      <c r="A410" s="1" t="s">
        <v>2279</v>
      </c>
      <c r="B410" s="7" t="s">
        <v>2280</v>
      </c>
      <c r="C410" s="2" t="s">
        <v>3838</v>
      </c>
      <c r="D410" s="7" t="s">
        <v>3839</v>
      </c>
      <c r="E410" s="31"/>
      <c r="F410" s="31"/>
      <c r="G410" s="31"/>
      <c r="H410" s="29"/>
      <c r="I410" s="12"/>
      <c r="J410" s="12"/>
      <c r="K410" s="12"/>
      <c r="L410" s="12"/>
      <c r="M410" s="18" t="str">
        <f t="shared" si="1"/>
        <v>#DIV/0!</v>
      </c>
      <c r="N410" s="18" t="str">
        <f t="shared" si="2"/>
        <v>#DIV/0!</v>
      </c>
      <c r="O410" s="12" t="str">
        <f t="shared" si="4"/>
        <v/>
      </c>
      <c r="P410" s="18" t="str">
        <f t="shared" si="3"/>
        <v>#DIV/0!</v>
      </c>
      <c r="Q410" s="12"/>
    </row>
    <row r="411">
      <c r="A411" s="1" t="s">
        <v>2287</v>
      </c>
      <c r="B411" s="7" t="s">
        <v>2288</v>
      </c>
      <c r="C411" s="2" t="s">
        <v>4128</v>
      </c>
      <c r="D411" s="7" t="s">
        <v>4129</v>
      </c>
      <c r="E411" s="31"/>
      <c r="F411" s="31"/>
      <c r="G411" s="31"/>
      <c r="H411" s="29"/>
      <c r="I411" s="12"/>
      <c r="J411" s="12"/>
      <c r="K411" s="12"/>
      <c r="L411" s="12"/>
      <c r="M411" s="18" t="str">
        <f t="shared" si="1"/>
        <v>#DIV/0!</v>
      </c>
      <c r="N411" s="18" t="str">
        <f t="shared" si="2"/>
        <v>#DIV/0!</v>
      </c>
      <c r="O411" s="12" t="str">
        <f t="shared" si="4"/>
        <v/>
      </c>
      <c r="P411" s="18" t="str">
        <f t="shared" si="3"/>
        <v>#DIV/0!</v>
      </c>
      <c r="Q411" s="12"/>
    </row>
    <row r="412">
      <c r="A412" s="1" t="s">
        <v>2294</v>
      </c>
      <c r="B412" s="7" t="s">
        <v>2295</v>
      </c>
      <c r="C412" s="2" t="s">
        <v>4334</v>
      </c>
      <c r="D412" s="1" t="s">
        <v>4335</v>
      </c>
      <c r="E412" s="31"/>
      <c r="F412" s="31"/>
      <c r="G412" s="31"/>
      <c r="H412" s="29"/>
      <c r="I412" s="12"/>
      <c r="J412" s="12"/>
      <c r="K412" s="12"/>
      <c r="L412" s="12"/>
      <c r="M412" s="18" t="str">
        <f t="shared" si="1"/>
        <v>#DIV/0!</v>
      </c>
      <c r="N412" s="18" t="str">
        <f t="shared" si="2"/>
        <v>#DIV/0!</v>
      </c>
      <c r="O412" s="12" t="str">
        <f t="shared" si="4"/>
        <v/>
      </c>
      <c r="P412" s="18" t="str">
        <f t="shared" si="3"/>
        <v>#DIV/0!</v>
      </c>
      <c r="Q412" s="12"/>
    </row>
    <row r="413">
      <c r="A413" s="1" t="s">
        <v>2297</v>
      </c>
      <c r="B413" s="7" t="s">
        <v>2298</v>
      </c>
      <c r="C413" s="2" t="s">
        <v>4336</v>
      </c>
      <c r="D413" s="1" t="s">
        <v>4337</v>
      </c>
      <c r="E413" s="31"/>
      <c r="F413" s="31"/>
      <c r="G413" s="31"/>
      <c r="H413" s="29"/>
      <c r="I413" s="12"/>
      <c r="J413" s="12"/>
      <c r="K413" s="12"/>
      <c r="L413" s="12"/>
      <c r="M413" s="18" t="str">
        <f t="shared" si="1"/>
        <v>#DIV/0!</v>
      </c>
      <c r="N413" s="18" t="str">
        <f t="shared" si="2"/>
        <v>#DIV/0!</v>
      </c>
      <c r="O413" s="12" t="str">
        <f t="shared" si="4"/>
        <v/>
      </c>
      <c r="P413" s="18" t="str">
        <f t="shared" si="3"/>
        <v>#DIV/0!</v>
      </c>
      <c r="Q413" s="12"/>
    </row>
    <row r="414">
      <c r="A414" s="1" t="s">
        <v>2301</v>
      </c>
      <c r="B414" s="7" t="s">
        <v>2302</v>
      </c>
      <c r="C414" s="2" t="s">
        <v>4049</v>
      </c>
      <c r="D414" s="1" t="s">
        <v>3981</v>
      </c>
      <c r="E414" s="31"/>
      <c r="F414" s="31"/>
      <c r="G414" s="31"/>
      <c r="H414" s="29"/>
      <c r="I414" s="12"/>
      <c r="J414" s="12"/>
      <c r="K414" s="12"/>
      <c r="L414" s="12"/>
      <c r="M414" s="18" t="str">
        <f t="shared" si="1"/>
        <v>#DIV/0!</v>
      </c>
      <c r="N414" s="18" t="str">
        <f t="shared" si="2"/>
        <v>#DIV/0!</v>
      </c>
      <c r="O414" s="12" t="str">
        <f t="shared" si="4"/>
        <v/>
      </c>
      <c r="P414" s="18" t="str">
        <f t="shared" si="3"/>
        <v>#DIV/0!</v>
      </c>
      <c r="Q414" s="12"/>
    </row>
    <row r="415">
      <c r="A415" s="1" t="s">
        <v>2313</v>
      </c>
      <c r="B415" s="7" t="s">
        <v>2314</v>
      </c>
      <c r="C415" s="2" t="s">
        <v>4338</v>
      </c>
      <c r="D415" s="1" t="s">
        <v>4339</v>
      </c>
      <c r="E415" s="31"/>
      <c r="F415" s="31"/>
      <c r="G415" s="31"/>
      <c r="H415" s="29"/>
      <c r="I415" s="12"/>
      <c r="J415" s="12"/>
      <c r="K415" s="12"/>
      <c r="L415" s="12"/>
      <c r="M415" s="18" t="str">
        <f t="shared" si="1"/>
        <v>#DIV/0!</v>
      </c>
      <c r="N415" s="18" t="str">
        <f t="shared" si="2"/>
        <v>#DIV/0!</v>
      </c>
      <c r="O415" s="12" t="str">
        <f t="shared" si="4"/>
        <v/>
      </c>
      <c r="P415" s="18" t="str">
        <f t="shared" si="3"/>
        <v>#DIV/0!</v>
      </c>
      <c r="Q415" s="12"/>
    </row>
    <row r="416">
      <c r="A416" s="1" t="s">
        <v>2317</v>
      </c>
      <c r="B416" s="7" t="s">
        <v>2318</v>
      </c>
      <c r="C416" s="2" t="s">
        <v>3978</v>
      </c>
      <c r="D416" s="7" t="s">
        <v>3979</v>
      </c>
      <c r="E416" s="31"/>
      <c r="F416" s="31"/>
      <c r="G416" s="31"/>
      <c r="H416" s="29"/>
      <c r="I416" s="12"/>
      <c r="J416" s="12"/>
      <c r="K416" s="12"/>
      <c r="L416" s="12"/>
      <c r="M416" s="18" t="str">
        <f t="shared" si="1"/>
        <v>#DIV/0!</v>
      </c>
      <c r="N416" s="18" t="str">
        <f t="shared" si="2"/>
        <v>#DIV/0!</v>
      </c>
      <c r="O416" s="12" t="str">
        <f t="shared" si="4"/>
        <v/>
      </c>
      <c r="P416" s="18" t="str">
        <f t="shared" si="3"/>
        <v>#DIV/0!</v>
      </c>
      <c r="Q416" s="12"/>
    </row>
    <row r="417">
      <c r="A417" s="1" t="s">
        <v>2321</v>
      </c>
      <c r="B417" s="7" t="s">
        <v>2322</v>
      </c>
      <c r="C417" s="2" t="s">
        <v>3933</v>
      </c>
      <c r="D417" s="1" t="s">
        <v>3934</v>
      </c>
      <c r="E417" s="31"/>
      <c r="F417" s="31"/>
      <c r="G417" s="31"/>
      <c r="H417" s="29"/>
      <c r="I417" s="12"/>
      <c r="J417" s="12"/>
      <c r="K417" s="12"/>
      <c r="L417" s="12"/>
      <c r="M417" s="18" t="str">
        <f t="shared" si="1"/>
        <v>#DIV/0!</v>
      </c>
      <c r="N417" s="18" t="str">
        <f t="shared" si="2"/>
        <v>#DIV/0!</v>
      </c>
      <c r="O417" s="12" t="str">
        <f t="shared" si="4"/>
        <v/>
      </c>
      <c r="P417" s="18" t="str">
        <f t="shared" si="3"/>
        <v>#DIV/0!</v>
      </c>
      <c r="Q417" s="12"/>
    </row>
    <row r="418">
      <c r="A418" s="1" t="s">
        <v>2325</v>
      </c>
      <c r="B418" s="7" t="s">
        <v>2326</v>
      </c>
      <c r="C418" s="2" t="s">
        <v>4300</v>
      </c>
      <c r="D418" s="1" t="s">
        <v>4301</v>
      </c>
      <c r="E418" s="31"/>
      <c r="F418" s="31"/>
      <c r="G418" s="31"/>
      <c r="H418" s="29"/>
      <c r="I418" s="12"/>
      <c r="J418" s="12"/>
      <c r="K418" s="12"/>
      <c r="L418" s="12"/>
      <c r="M418" s="18" t="str">
        <f t="shared" si="1"/>
        <v>#DIV/0!</v>
      </c>
      <c r="N418" s="18" t="str">
        <f t="shared" si="2"/>
        <v>#DIV/0!</v>
      </c>
      <c r="O418" s="12" t="str">
        <f t="shared" si="4"/>
        <v/>
      </c>
      <c r="P418" s="18" t="str">
        <f t="shared" si="3"/>
        <v>#DIV/0!</v>
      </c>
      <c r="Q418" s="12"/>
    </row>
    <row r="419">
      <c r="A419" s="1" t="s">
        <v>2327</v>
      </c>
      <c r="B419" s="7" t="s">
        <v>2328</v>
      </c>
      <c r="C419" s="2" t="s">
        <v>4340</v>
      </c>
      <c r="D419" s="1" t="s">
        <v>4341</v>
      </c>
      <c r="E419" s="31"/>
      <c r="F419" s="31"/>
      <c r="G419" s="31"/>
      <c r="H419" s="29"/>
      <c r="I419" s="12"/>
      <c r="J419" s="12"/>
      <c r="K419" s="12"/>
      <c r="L419" s="12"/>
      <c r="M419" s="18" t="str">
        <f t="shared" si="1"/>
        <v>#DIV/0!</v>
      </c>
      <c r="N419" s="18" t="str">
        <f t="shared" si="2"/>
        <v>#DIV/0!</v>
      </c>
      <c r="O419" s="12" t="str">
        <f t="shared" si="4"/>
        <v/>
      </c>
      <c r="P419" s="18" t="str">
        <f t="shared" si="3"/>
        <v>#DIV/0!</v>
      </c>
      <c r="Q419" s="12"/>
    </row>
    <row r="420">
      <c r="A420" s="1" t="s">
        <v>2331</v>
      </c>
      <c r="B420" s="7" t="s">
        <v>2332</v>
      </c>
      <c r="C420" s="2" t="s">
        <v>4342</v>
      </c>
      <c r="D420" s="1" t="s">
        <v>4343</v>
      </c>
      <c r="E420" s="31"/>
      <c r="F420" s="31"/>
      <c r="G420" s="31"/>
      <c r="H420" s="29"/>
      <c r="I420" s="12"/>
      <c r="J420" s="12"/>
      <c r="K420" s="12"/>
      <c r="L420" s="12"/>
      <c r="M420" s="18" t="str">
        <f t="shared" si="1"/>
        <v>#DIV/0!</v>
      </c>
      <c r="N420" s="18" t="str">
        <f t="shared" si="2"/>
        <v>#DIV/0!</v>
      </c>
      <c r="O420" s="12" t="str">
        <f t="shared" si="4"/>
        <v/>
      </c>
      <c r="P420" s="18" t="str">
        <f t="shared" si="3"/>
        <v>#DIV/0!</v>
      </c>
      <c r="Q420" s="12"/>
    </row>
    <row r="421">
      <c r="A421" s="1" t="s">
        <v>2339</v>
      </c>
      <c r="B421" s="7" t="s">
        <v>2340</v>
      </c>
      <c r="C421" s="2" t="s">
        <v>4344</v>
      </c>
      <c r="D421" s="1" t="s">
        <v>4345</v>
      </c>
      <c r="E421" s="31"/>
      <c r="F421" s="31"/>
      <c r="G421" s="31"/>
      <c r="H421" s="29"/>
      <c r="I421" s="12"/>
      <c r="J421" s="12"/>
      <c r="K421" s="12"/>
      <c r="L421" s="12"/>
      <c r="M421" s="18" t="str">
        <f t="shared" si="1"/>
        <v>#DIV/0!</v>
      </c>
      <c r="N421" s="18" t="str">
        <f t="shared" si="2"/>
        <v>#DIV/0!</v>
      </c>
      <c r="O421" s="12" t="str">
        <f t="shared" si="4"/>
        <v/>
      </c>
      <c r="P421" s="18" t="str">
        <f t="shared" si="3"/>
        <v>#DIV/0!</v>
      </c>
      <c r="Q421" s="12"/>
    </row>
    <row r="422">
      <c r="A422" s="1" t="s">
        <v>2343</v>
      </c>
      <c r="B422" s="7" t="s">
        <v>2344</v>
      </c>
      <c r="C422" s="2" t="s">
        <v>4346</v>
      </c>
      <c r="D422" s="7" t="s">
        <v>4347</v>
      </c>
      <c r="E422" s="31"/>
      <c r="F422" s="31"/>
      <c r="G422" s="31"/>
      <c r="H422" s="29"/>
      <c r="I422" s="12"/>
      <c r="J422" s="12"/>
      <c r="K422" s="12"/>
      <c r="L422" s="12"/>
      <c r="M422" s="18" t="str">
        <f t="shared" si="1"/>
        <v>#DIV/0!</v>
      </c>
      <c r="N422" s="18" t="str">
        <f t="shared" si="2"/>
        <v>#DIV/0!</v>
      </c>
      <c r="O422" s="12" t="str">
        <f t="shared" si="4"/>
        <v/>
      </c>
      <c r="P422" s="18" t="str">
        <f t="shared" si="3"/>
        <v>#DIV/0!</v>
      </c>
      <c r="Q422" s="12"/>
    </row>
    <row r="423">
      <c r="A423" s="1" t="s">
        <v>2347</v>
      </c>
      <c r="B423" s="7" t="s">
        <v>2348</v>
      </c>
      <c r="C423" s="2" t="s">
        <v>4348</v>
      </c>
      <c r="D423" s="1" t="s">
        <v>4349</v>
      </c>
      <c r="E423" s="31"/>
      <c r="F423" s="31"/>
      <c r="G423" s="31"/>
      <c r="H423" s="29"/>
      <c r="I423" s="12"/>
      <c r="J423" s="12"/>
      <c r="K423" s="12"/>
      <c r="L423" s="12"/>
      <c r="M423" s="18" t="str">
        <f t="shared" si="1"/>
        <v>#DIV/0!</v>
      </c>
      <c r="N423" s="18" t="str">
        <f t="shared" si="2"/>
        <v>#DIV/0!</v>
      </c>
      <c r="O423" s="12" t="str">
        <f t="shared" si="4"/>
        <v/>
      </c>
      <c r="P423" s="18" t="str">
        <f t="shared" si="3"/>
        <v>#DIV/0!</v>
      </c>
      <c r="Q423" s="12"/>
    </row>
    <row r="424">
      <c r="A424" s="1" t="s">
        <v>2351</v>
      </c>
      <c r="B424" s="7" t="s">
        <v>2352</v>
      </c>
      <c r="C424" s="2" t="s">
        <v>4350</v>
      </c>
      <c r="D424" s="1" t="s">
        <v>3962</v>
      </c>
      <c r="E424" s="31"/>
      <c r="F424" s="31"/>
      <c r="G424" s="31"/>
      <c r="H424" s="29"/>
      <c r="I424" s="12"/>
      <c r="J424" s="12"/>
      <c r="K424" s="12"/>
      <c r="L424" s="12"/>
      <c r="M424" s="18" t="str">
        <f t="shared" si="1"/>
        <v>#DIV/0!</v>
      </c>
      <c r="N424" s="18" t="str">
        <f t="shared" si="2"/>
        <v>#DIV/0!</v>
      </c>
      <c r="O424" s="12" t="str">
        <f t="shared" si="4"/>
        <v/>
      </c>
      <c r="P424" s="18" t="str">
        <f t="shared" si="3"/>
        <v>#DIV/0!</v>
      </c>
      <c r="Q424" s="12"/>
    </row>
    <row r="425">
      <c r="A425" s="1" t="s">
        <v>2355</v>
      </c>
      <c r="B425" s="7" t="s">
        <v>2356</v>
      </c>
      <c r="C425" s="2" t="s">
        <v>3838</v>
      </c>
      <c r="D425" s="7" t="s">
        <v>3839</v>
      </c>
      <c r="E425" s="31"/>
      <c r="F425" s="31"/>
      <c r="G425" s="31"/>
      <c r="H425" s="29"/>
      <c r="I425" s="12"/>
      <c r="J425" s="12"/>
      <c r="K425" s="12"/>
      <c r="L425" s="12"/>
      <c r="M425" s="18" t="str">
        <f t="shared" si="1"/>
        <v>#DIV/0!</v>
      </c>
      <c r="N425" s="18" t="str">
        <f t="shared" si="2"/>
        <v>#DIV/0!</v>
      </c>
      <c r="O425" s="12" t="str">
        <f t="shared" si="4"/>
        <v/>
      </c>
      <c r="P425" s="18" t="str">
        <f t="shared" si="3"/>
        <v>#DIV/0!</v>
      </c>
      <c r="Q425" s="12"/>
    </row>
    <row r="426">
      <c r="A426" s="1" t="s">
        <v>2359</v>
      </c>
      <c r="B426" s="7" t="s">
        <v>2360</v>
      </c>
      <c r="C426" s="2" t="s">
        <v>4351</v>
      </c>
      <c r="D426" s="7" t="s">
        <v>4352</v>
      </c>
      <c r="E426" s="31"/>
      <c r="F426" s="31"/>
      <c r="G426" s="31"/>
      <c r="H426" s="29"/>
      <c r="I426" s="12"/>
      <c r="J426" s="12"/>
      <c r="K426" s="12"/>
      <c r="L426" s="12"/>
      <c r="M426" s="18" t="str">
        <f t="shared" si="1"/>
        <v>#DIV/0!</v>
      </c>
      <c r="N426" s="18" t="str">
        <f t="shared" si="2"/>
        <v>#DIV/0!</v>
      </c>
      <c r="O426" s="12" t="str">
        <f t="shared" si="4"/>
        <v/>
      </c>
      <c r="P426" s="18" t="str">
        <f t="shared" si="3"/>
        <v>#DIV/0!</v>
      </c>
      <c r="Q426" s="12"/>
    </row>
    <row r="427">
      <c r="A427" s="1" t="s">
        <v>2371</v>
      </c>
      <c r="B427" s="7" t="s">
        <v>2372</v>
      </c>
      <c r="C427" s="2" t="s">
        <v>4353</v>
      </c>
      <c r="D427" s="1" t="s">
        <v>4354</v>
      </c>
      <c r="E427" s="31"/>
      <c r="F427" s="31"/>
      <c r="G427" s="31"/>
      <c r="H427" s="29"/>
      <c r="I427" s="12"/>
      <c r="J427" s="12"/>
      <c r="K427" s="12"/>
      <c r="L427" s="12"/>
      <c r="M427" s="18" t="str">
        <f t="shared" si="1"/>
        <v>#DIV/0!</v>
      </c>
      <c r="N427" s="18" t="str">
        <f t="shared" si="2"/>
        <v>#DIV/0!</v>
      </c>
      <c r="O427" s="12" t="str">
        <f t="shared" si="4"/>
        <v/>
      </c>
      <c r="P427" s="18" t="str">
        <f t="shared" si="3"/>
        <v>#DIV/0!</v>
      </c>
      <c r="Q427" s="12"/>
    </row>
    <row r="428">
      <c r="A428" s="1" t="s">
        <v>2379</v>
      </c>
      <c r="B428" s="7" t="s">
        <v>2380</v>
      </c>
      <c r="C428" s="2" t="s">
        <v>4355</v>
      </c>
      <c r="E428" s="31"/>
      <c r="F428" s="31"/>
      <c r="G428" s="31"/>
      <c r="H428" s="29"/>
      <c r="I428" s="12"/>
      <c r="J428" s="12"/>
      <c r="K428" s="12"/>
      <c r="L428" s="12"/>
      <c r="M428" s="18" t="str">
        <f t="shared" si="1"/>
        <v>#DIV/0!</v>
      </c>
      <c r="N428" s="18" t="str">
        <f t="shared" si="2"/>
        <v>#DIV/0!</v>
      </c>
      <c r="O428" s="12" t="str">
        <f t="shared" si="4"/>
        <v/>
      </c>
      <c r="P428" s="18" t="str">
        <f t="shared" si="3"/>
        <v>#DIV/0!</v>
      </c>
      <c r="Q428" s="12"/>
    </row>
    <row r="429">
      <c r="A429" s="1" t="s">
        <v>2383</v>
      </c>
      <c r="B429" s="7" t="s">
        <v>2384</v>
      </c>
      <c r="C429" s="2" t="s">
        <v>3980</v>
      </c>
      <c r="D429" s="1" t="s">
        <v>3981</v>
      </c>
      <c r="E429" s="31"/>
      <c r="F429" s="31"/>
      <c r="G429" s="31"/>
      <c r="H429" s="29"/>
      <c r="I429" s="12"/>
      <c r="J429" s="12"/>
      <c r="K429" s="12"/>
      <c r="L429" s="12"/>
      <c r="M429" s="18" t="str">
        <f t="shared" si="1"/>
        <v>#DIV/0!</v>
      </c>
      <c r="N429" s="18" t="str">
        <f t="shared" si="2"/>
        <v>#DIV/0!</v>
      </c>
      <c r="O429" s="12" t="str">
        <f t="shared" si="4"/>
        <v/>
      </c>
      <c r="P429" s="18" t="str">
        <f t="shared" si="3"/>
        <v>#DIV/0!</v>
      </c>
      <c r="Q429" s="12"/>
    </row>
    <row r="430">
      <c r="A430" s="1" t="s">
        <v>2385</v>
      </c>
      <c r="B430" s="7" t="s">
        <v>2386</v>
      </c>
      <c r="C430" s="2" t="s">
        <v>3846</v>
      </c>
      <c r="D430" s="7" t="s">
        <v>3847</v>
      </c>
      <c r="E430" s="31"/>
      <c r="F430" s="31"/>
      <c r="G430" s="31"/>
      <c r="H430" s="29"/>
      <c r="I430" s="12"/>
      <c r="J430" s="12"/>
      <c r="K430" s="12"/>
      <c r="L430" s="12"/>
      <c r="M430" s="18" t="str">
        <f t="shared" si="1"/>
        <v>#DIV/0!</v>
      </c>
      <c r="N430" s="18" t="str">
        <f t="shared" si="2"/>
        <v>#DIV/0!</v>
      </c>
      <c r="O430" s="12" t="str">
        <f t="shared" si="4"/>
        <v/>
      </c>
      <c r="P430" s="18" t="str">
        <f t="shared" si="3"/>
        <v>#DIV/0!</v>
      </c>
      <c r="Q430" s="12"/>
    </row>
    <row r="431">
      <c r="A431" s="1" t="s">
        <v>2387</v>
      </c>
      <c r="B431" s="7" t="s">
        <v>2388</v>
      </c>
      <c r="C431" s="2" t="s">
        <v>4166</v>
      </c>
      <c r="D431" s="1" t="s">
        <v>4356</v>
      </c>
      <c r="E431" s="31"/>
      <c r="F431" s="31"/>
      <c r="G431" s="31"/>
      <c r="H431" s="29"/>
      <c r="I431" s="12"/>
      <c r="J431" s="12"/>
      <c r="K431" s="12"/>
      <c r="L431" s="12"/>
      <c r="M431" s="18" t="str">
        <f t="shared" si="1"/>
        <v>#DIV/0!</v>
      </c>
      <c r="N431" s="18" t="str">
        <f t="shared" si="2"/>
        <v>#DIV/0!</v>
      </c>
      <c r="O431" s="12" t="str">
        <f t="shared" si="4"/>
        <v/>
      </c>
      <c r="P431" s="18" t="str">
        <f t="shared" si="3"/>
        <v>#DIV/0!</v>
      </c>
      <c r="Q431" s="12"/>
    </row>
    <row r="432">
      <c r="A432" s="1" t="s">
        <v>2395</v>
      </c>
      <c r="B432" s="7" t="s">
        <v>2396</v>
      </c>
      <c r="C432" s="2" t="s">
        <v>3844</v>
      </c>
      <c r="D432" s="1" t="s">
        <v>4357</v>
      </c>
      <c r="E432" s="31"/>
      <c r="F432" s="31"/>
      <c r="G432" s="31"/>
      <c r="H432" s="29"/>
      <c r="I432" s="12"/>
      <c r="J432" s="12"/>
      <c r="K432" s="12"/>
      <c r="L432" s="12"/>
      <c r="M432" s="18" t="str">
        <f t="shared" si="1"/>
        <v>#DIV/0!</v>
      </c>
      <c r="N432" s="18" t="str">
        <f t="shared" si="2"/>
        <v>#DIV/0!</v>
      </c>
      <c r="O432" s="12" t="str">
        <f t="shared" si="4"/>
        <v/>
      </c>
      <c r="P432" s="18" t="str">
        <f t="shared" si="3"/>
        <v>#DIV/0!</v>
      </c>
      <c r="Q432" s="12"/>
    </row>
    <row r="433">
      <c r="A433" s="1" t="s">
        <v>2401</v>
      </c>
      <c r="B433" s="7" t="s">
        <v>2402</v>
      </c>
      <c r="C433" s="2" t="s">
        <v>4358</v>
      </c>
      <c r="D433" s="7" t="s">
        <v>4359</v>
      </c>
      <c r="E433" s="31"/>
      <c r="F433" s="31"/>
      <c r="G433" s="31"/>
      <c r="H433" s="29"/>
      <c r="I433" s="12"/>
      <c r="J433" s="12"/>
      <c r="K433" s="12"/>
      <c r="L433" s="12"/>
      <c r="M433" s="18" t="str">
        <f t="shared" si="1"/>
        <v>#DIV/0!</v>
      </c>
      <c r="N433" s="18" t="str">
        <f t="shared" si="2"/>
        <v>#DIV/0!</v>
      </c>
      <c r="O433" s="12" t="str">
        <f t="shared" si="4"/>
        <v/>
      </c>
      <c r="P433" s="18" t="str">
        <f t="shared" si="3"/>
        <v>#DIV/0!</v>
      </c>
      <c r="Q433" s="12"/>
    </row>
    <row r="434">
      <c r="A434" s="1" t="s">
        <v>2405</v>
      </c>
      <c r="B434" s="7" t="s">
        <v>2406</v>
      </c>
      <c r="C434" s="2" t="s">
        <v>3838</v>
      </c>
      <c r="D434" s="7" t="s">
        <v>3839</v>
      </c>
      <c r="E434" s="31"/>
      <c r="F434" s="31"/>
      <c r="G434" s="31"/>
      <c r="H434" s="29"/>
      <c r="I434" s="12"/>
      <c r="J434" s="12"/>
      <c r="K434" s="12"/>
      <c r="L434" s="12"/>
      <c r="M434" s="18" t="str">
        <f t="shared" si="1"/>
        <v>#DIV/0!</v>
      </c>
      <c r="N434" s="18" t="str">
        <f t="shared" si="2"/>
        <v>#DIV/0!</v>
      </c>
      <c r="O434" s="12" t="str">
        <f t="shared" si="4"/>
        <v/>
      </c>
      <c r="P434" s="18" t="str">
        <f t="shared" si="3"/>
        <v>#DIV/0!</v>
      </c>
      <c r="Q434" s="12"/>
    </row>
    <row r="435">
      <c r="A435" s="1" t="s">
        <v>2407</v>
      </c>
      <c r="B435" s="7" t="s">
        <v>2408</v>
      </c>
      <c r="C435" s="2" t="s">
        <v>4360</v>
      </c>
      <c r="D435" s="1" t="s">
        <v>4361</v>
      </c>
      <c r="E435" s="31"/>
      <c r="F435" s="31"/>
      <c r="G435" s="31"/>
      <c r="H435" s="29"/>
      <c r="I435" s="12"/>
      <c r="J435" s="12"/>
      <c r="K435" s="12"/>
      <c r="L435" s="12"/>
      <c r="M435" s="18" t="str">
        <f t="shared" si="1"/>
        <v>#DIV/0!</v>
      </c>
      <c r="N435" s="18" t="str">
        <f t="shared" si="2"/>
        <v>#DIV/0!</v>
      </c>
      <c r="O435" s="12" t="str">
        <f t="shared" si="4"/>
        <v/>
      </c>
      <c r="P435" s="18" t="str">
        <f t="shared" si="3"/>
        <v>#DIV/0!</v>
      </c>
      <c r="Q435" s="12"/>
    </row>
    <row r="436">
      <c r="A436" s="1" t="s">
        <v>2411</v>
      </c>
      <c r="B436" s="7" t="s">
        <v>2412</v>
      </c>
      <c r="C436" s="2" t="s">
        <v>4362</v>
      </c>
      <c r="D436" s="7" t="s">
        <v>4363</v>
      </c>
      <c r="E436" s="31"/>
      <c r="F436" s="31"/>
      <c r="G436" s="31"/>
      <c r="H436" s="29"/>
      <c r="I436" s="12"/>
      <c r="J436" s="12"/>
      <c r="K436" s="12"/>
      <c r="L436" s="12"/>
      <c r="M436" s="18" t="str">
        <f t="shared" si="1"/>
        <v>#DIV/0!</v>
      </c>
      <c r="N436" s="18" t="str">
        <f t="shared" si="2"/>
        <v>#DIV/0!</v>
      </c>
      <c r="O436" s="12" t="str">
        <f t="shared" si="4"/>
        <v/>
      </c>
      <c r="P436" s="18" t="str">
        <f t="shared" si="3"/>
        <v>#DIV/0!</v>
      </c>
      <c r="Q436" s="12"/>
    </row>
    <row r="437">
      <c r="A437" s="1" t="s">
        <v>2419</v>
      </c>
      <c r="B437" s="7" t="s">
        <v>2420</v>
      </c>
      <c r="C437" s="2" t="s">
        <v>3980</v>
      </c>
      <c r="D437" s="1" t="s">
        <v>3981</v>
      </c>
      <c r="E437" s="31"/>
      <c r="F437" s="31"/>
      <c r="G437" s="31"/>
      <c r="H437" s="29"/>
      <c r="I437" s="12"/>
      <c r="J437" s="12"/>
      <c r="K437" s="12"/>
      <c r="L437" s="12"/>
      <c r="M437" s="18" t="str">
        <f t="shared" si="1"/>
        <v>#DIV/0!</v>
      </c>
      <c r="N437" s="18" t="str">
        <f t="shared" si="2"/>
        <v>#DIV/0!</v>
      </c>
      <c r="O437" s="12" t="str">
        <f t="shared" si="4"/>
        <v/>
      </c>
      <c r="P437" s="18" t="str">
        <f t="shared" si="3"/>
        <v>#DIV/0!</v>
      </c>
      <c r="Q437" s="12"/>
    </row>
    <row r="438">
      <c r="A438" s="1" t="s">
        <v>2421</v>
      </c>
      <c r="B438" s="7" t="s">
        <v>2422</v>
      </c>
      <c r="C438" s="2" t="s">
        <v>4364</v>
      </c>
      <c r="D438" s="1" t="s">
        <v>4365</v>
      </c>
      <c r="E438" s="31"/>
      <c r="F438" s="31"/>
      <c r="G438" s="31"/>
      <c r="H438" s="29"/>
      <c r="I438" s="12"/>
      <c r="J438" s="12"/>
      <c r="K438" s="12"/>
      <c r="L438" s="12"/>
      <c r="M438" s="18" t="str">
        <f t="shared" si="1"/>
        <v>#DIV/0!</v>
      </c>
      <c r="N438" s="18" t="str">
        <f t="shared" si="2"/>
        <v>#DIV/0!</v>
      </c>
      <c r="O438" s="12" t="str">
        <f t="shared" si="4"/>
        <v/>
      </c>
      <c r="P438" s="18" t="str">
        <f t="shared" si="3"/>
        <v>#DIV/0!</v>
      </c>
      <c r="Q438" s="12"/>
    </row>
    <row r="439">
      <c r="A439" s="1" t="s">
        <v>2425</v>
      </c>
      <c r="B439" s="7" t="s">
        <v>2426</v>
      </c>
      <c r="C439" s="2" t="s">
        <v>4366</v>
      </c>
      <c r="D439" s="1" t="s">
        <v>4367</v>
      </c>
      <c r="E439" s="31"/>
      <c r="F439" s="31"/>
      <c r="G439" s="31"/>
      <c r="H439" s="29"/>
      <c r="I439" s="12"/>
      <c r="J439" s="12"/>
      <c r="K439" s="12"/>
      <c r="L439" s="12"/>
      <c r="M439" s="18" t="str">
        <f t="shared" si="1"/>
        <v>#DIV/0!</v>
      </c>
      <c r="N439" s="18" t="str">
        <f t="shared" si="2"/>
        <v>#DIV/0!</v>
      </c>
      <c r="O439" s="12" t="str">
        <f t="shared" si="4"/>
        <v/>
      </c>
      <c r="P439" s="18" t="str">
        <f t="shared" si="3"/>
        <v>#DIV/0!</v>
      </c>
      <c r="Q439" s="12"/>
    </row>
    <row r="440">
      <c r="A440" s="1" t="s">
        <v>2429</v>
      </c>
      <c r="B440" s="7" t="s">
        <v>2430</v>
      </c>
      <c r="C440" s="2" t="s">
        <v>3838</v>
      </c>
      <c r="D440" s="7" t="s">
        <v>3839</v>
      </c>
      <c r="E440" s="31"/>
      <c r="F440" s="31"/>
      <c r="G440" s="31"/>
      <c r="H440" s="29"/>
      <c r="I440" s="12"/>
      <c r="J440" s="12"/>
      <c r="K440" s="12"/>
      <c r="L440" s="12"/>
      <c r="M440" s="18" t="str">
        <f t="shared" si="1"/>
        <v>#DIV/0!</v>
      </c>
      <c r="N440" s="18" t="str">
        <f t="shared" si="2"/>
        <v>#DIV/0!</v>
      </c>
      <c r="O440" s="12" t="str">
        <f t="shared" si="4"/>
        <v/>
      </c>
      <c r="P440" s="18" t="str">
        <f t="shared" si="3"/>
        <v>#DIV/0!</v>
      </c>
      <c r="Q440" s="12"/>
    </row>
    <row r="441">
      <c r="A441" s="1" t="s">
        <v>2433</v>
      </c>
      <c r="B441" s="7" t="s">
        <v>2434</v>
      </c>
      <c r="C441" s="2" t="s">
        <v>4049</v>
      </c>
      <c r="D441" s="1" t="s">
        <v>3992</v>
      </c>
      <c r="E441" s="31"/>
      <c r="F441" s="31"/>
      <c r="G441" s="31"/>
      <c r="H441" s="29"/>
      <c r="I441" s="12"/>
      <c r="J441" s="12"/>
      <c r="K441" s="12"/>
      <c r="L441" s="12"/>
      <c r="M441" s="18" t="str">
        <f t="shared" si="1"/>
        <v>#DIV/0!</v>
      </c>
      <c r="N441" s="18" t="str">
        <f t="shared" si="2"/>
        <v>#DIV/0!</v>
      </c>
      <c r="O441" s="12" t="str">
        <f t="shared" si="4"/>
        <v/>
      </c>
      <c r="P441" s="18" t="str">
        <f t="shared" si="3"/>
        <v>#DIV/0!</v>
      </c>
      <c r="Q441" s="12"/>
    </row>
    <row r="442">
      <c r="A442" s="1" t="s">
        <v>2435</v>
      </c>
      <c r="B442" s="7" t="s">
        <v>2436</v>
      </c>
      <c r="C442" s="2" t="s">
        <v>4368</v>
      </c>
      <c r="D442" s="1" t="s">
        <v>4369</v>
      </c>
      <c r="E442" s="31"/>
      <c r="F442" s="31"/>
      <c r="G442" s="31"/>
      <c r="H442" s="29"/>
      <c r="I442" s="12"/>
      <c r="J442" s="12"/>
      <c r="K442" s="12"/>
      <c r="L442" s="12"/>
      <c r="M442" s="18" t="str">
        <f t="shared" si="1"/>
        <v>#DIV/0!</v>
      </c>
      <c r="N442" s="18" t="str">
        <f t="shared" si="2"/>
        <v>#DIV/0!</v>
      </c>
      <c r="O442" s="12" t="str">
        <f t="shared" si="4"/>
        <v/>
      </c>
      <c r="P442" s="18" t="str">
        <f t="shared" si="3"/>
        <v>#DIV/0!</v>
      </c>
      <c r="Q442" s="12"/>
    </row>
    <row r="443">
      <c r="A443" s="1" t="s">
        <v>2439</v>
      </c>
      <c r="B443" s="7" t="s">
        <v>2440</v>
      </c>
      <c r="C443" s="2" t="s">
        <v>4370</v>
      </c>
      <c r="E443" s="31"/>
      <c r="F443" s="31"/>
      <c r="G443" s="31"/>
      <c r="H443" s="29"/>
      <c r="I443" s="12"/>
      <c r="J443" s="12"/>
      <c r="K443" s="12"/>
      <c r="L443" s="12"/>
      <c r="M443" s="18" t="str">
        <f t="shared" si="1"/>
        <v>#DIV/0!</v>
      </c>
      <c r="N443" s="18" t="str">
        <f t="shared" si="2"/>
        <v>#DIV/0!</v>
      </c>
      <c r="O443" s="12" t="str">
        <f t="shared" si="4"/>
        <v/>
      </c>
      <c r="P443" s="18" t="str">
        <f t="shared" si="3"/>
        <v>#DIV/0!</v>
      </c>
      <c r="Q443" s="12"/>
    </row>
    <row r="444">
      <c r="A444" s="1" t="s">
        <v>2445</v>
      </c>
      <c r="B444" s="7" t="s">
        <v>2446</v>
      </c>
      <c r="C444" s="2" t="s">
        <v>4371</v>
      </c>
      <c r="D444" s="1" t="s">
        <v>4372</v>
      </c>
      <c r="E444" s="31"/>
      <c r="F444" s="31"/>
      <c r="G444" s="31"/>
      <c r="H444" s="29"/>
      <c r="I444" s="12"/>
      <c r="J444" s="12"/>
      <c r="K444" s="12"/>
      <c r="L444" s="12"/>
      <c r="M444" s="18" t="str">
        <f t="shared" si="1"/>
        <v>#DIV/0!</v>
      </c>
      <c r="N444" s="18" t="str">
        <f t="shared" si="2"/>
        <v>#DIV/0!</v>
      </c>
      <c r="O444" s="12" t="str">
        <f t="shared" si="4"/>
        <v/>
      </c>
      <c r="P444" s="18" t="str">
        <f t="shared" si="3"/>
        <v>#DIV/0!</v>
      </c>
      <c r="Q444" s="12"/>
    </row>
    <row r="445">
      <c r="A445" s="1" t="s">
        <v>2449</v>
      </c>
      <c r="B445" s="7" t="s">
        <v>2450</v>
      </c>
      <c r="C445" s="2" t="s">
        <v>4373</v>
      </c>
      <c r="E445" s="31"/>
      <c r="F445" s="31"/>
      <c r="G445" s="31"/>
      <c r="H445" s="29"/>
      <c r="I445" s="12"/>
      <c r="J445" s="12"/>
      <c r="K445" s="12"/>
      <c r="L445" s="12"/>
      <c r="M445" s="18" t="str">
        <f t="shared" si="1"/>
        <v>#DIV/0!</v>
      </c>
      <c r="N445" s="18" t="str">
        <f t="shared" si="2"/>
        <v>#DIV/0!</v>
      </c>
      <c r="O445" s="12" t="str">
        <f t="shared" si="4"/>
        <v/>
      </c>
      <c r="P445" s="18" t="str">
        <f t="shared" si="3"/>
        <v>#DIV/0!</v>
      </c>
      <c r="Q445" s="12"/>
    </row>
    <row r="446">
      <c r="A446" s="1" t="s">
        <v>2453</v>
      </c>
      <c r="B446" s="7" t="s">
        <v>2454</v>
      </c>
      <c r="C446" s="2" t="s">
        <v>4374</v>
      </c>
      <c r="D446" s="1" t="s">
        <v>4375</v>
      </c>
      <c r="E446" s="31"/>
      <c r="F446" s="31"/>
      <c r="G446" s="31"/>
      <c r="H446" s="29"/>
      <c r="I446" s="12"/>
      <c r="J446" s="12"/>
      <c r="K446" s="12"/>
      <c r="L446" s="12"/>
      <c r="M446" s="18" t="str">
        <f t="shared" si="1"/>
        <v>#DIV/0!</v>
      </c>
      <c r="N446" s="18" t="str">
        <f t="shared" si="2"/>
        <v>#DIV/0!</v>
      </c>
      <c r="O446" s="12" t="str">
        <f t="shared" si="4"/>
        <v/>
      </c>
      <c r="P446" s="18" t="str">
        <f t="shared" si="3"/>
        <v>#DIV/0!</v>
      </c>
      <c r="Q446" s="12"/>
    </row>
    <row r="447">
      <c r="A447" s="1" t="s">
        <v>2461</v>
      </c>
      <c r="B447" s="7" t="s">
        <v>2462</v>
      </c>
      <c r="C447" s="2" t="s">
        <v>3980</v>
      </c>
      <c r="D447" s="1" t="s">
        <v>3981</v>
      </c>
      <c r="E447" s="31"/>
      <c r="F447" s="31"/>
      <c r="G447" s="31"/>
      <c r="H447" s="29"/>
      <c r="I447" s="12"/>
      <c r="J447" s="12"/>
      <c r="K447" s="12"/>
      <c r="L447" s="12"/>
      <c r="M447" s="18" t="str">
        <f t="shared" si="1"/>
        <v>#DIV/0!</v>
      </c>
      <c r="N447" s="18" t="str">
        <f t="shared" si="2"/>
        <v>#DIV/0!</v>
      </c>
      <c r="O447" s="12" t="str">
        <f t="shared" si="4"/>
        <v/>
      </c>
      <c r="P447" s="18" t="str">
        <f t="shared" si="3"/>
        <v>#DIV/0!</v>
      </c>
      <c r="Q447" s="12"/>
    </row>
    <row r="448">
      <c r="A448" s="1" t="s">
        <v>2465</v>
      </c>
      <c r="B448" s="7" t="s">
        <v>2466</v>
      </c>
      <c r="C448" s="2" t="s">
        <v>4376</v>
      </c>
      <c r="D448" s="1" t="s">
        <v>4377</v>
      </c>
      <c r="E448" s="31"/>
      <c r="F448" s="31"/>
      <c r="G448" s="31"/>
      <c r="H448" s="29"/>
      <c r="I448" s="12"/>
      <c r="J448" s="12"/>
      <c r="K448" s="12"/>
      <c r="L448" s="12"/>
      <c r="M448" s="18" t="str">
        <f t="shared" si="1"/>
        <v>#DIV/0!</v>
      </c>
      <c r="N448" s="18" t="str">
        <f t="shared" si="2"/>
        <v>#DIV/0!</v>
      </c>
      <c r="O448" s="12" t="str">
        <f t="shared" si="4"/>
        <v/>
      </c>
      <c r="P448" s="18" t="str">
        <f t="shared" si="3"/>
        <v>#DIV/0!</v>
      </c>
      <c r="Q448" s="12"/>
    </row>
    <row r="449">
      <c r="A449" s="1" t="s">
        <v>2469</v>
      </c>
      <c r="B449" s="7" t="s">
        <v>2470</v>
      </c>
      <c r="C449" s="2" t="s">
        <v>4378</v>
      </c>
      <c r="D449" s="1" t="s">
        <v>4379</v>
      </c>
      <c r="E449" s="31"/>
      <c r="F449" s="31"/>
      <c r="G449" s="31"/>
      <c r="H449" s="29"/>
      <c r="I449" s="12"/>
      <c r="J449" s="12"/>
      <c r="K449" s="12"/>
      <c r="L449" s="12"/>
      <c r="M449" s="18" t="str">
        <f t="shared" si="1"/>
        <v>#DIV/0!</v>
      </c>
      <c r="N449" s="18" t="str">
        <f t="shared" si="2"/>
        <v>#DIV/0!</v>
      </c>
      <c r="O449" s="12" t="str">
        <f t="shared" si="4"/>
        <v/>
      </c>
      <c r="P449" s="18" t="str">
        <f t="shared" si="3"/>
        <v>#DIV/0!</v>
      </c>
      <c r="Q449" s="12"/>
    </row>
    <row r="450">
      <c r="A450" s="1" t="s">
        <v>2477</v>
      </c>
      <c r="B450" s="7" t="s">
        <v>2478</v>
      </c>
      <c r="C450" s="2" t="s">
        <v>4380</v>
      </c>
      <c r="D450" s="1" t="s">
        <v>4381</v>
      </c>
      <c r="E450" s="31"/>
      <c r="F450" s="31"/>
      <c r="G450" s="31"/>
      <c r="H450" s="29"/>
      <c r="I450" s="12"/>
      <c r="J450" s="12"/>
      <c r="K450" s="12"/>
      <c r="L450" s="12"/>
      <c r="M450" s="18" t="str">
        <f t="shared" si="1"/>
        <v>#DIV/0!</v>
      </c>
      <c r="N450" s="18" t="str">
        <f t="shared" si="2"/>
        <v>#DIV/0!</v>
      </c>
      <c r="O450" s="12" t="str">
        <f t="shared" si="4"/>
        <v/>
      </c>
      <c r="P450" s="18" t="str">
        <f t="shared" si="3"/>
        <v>#DIV/0!</v>
      </c>
      <c r="Q450" s="12"/>
    </row>
    <row r="451">
      <c r="A451" s="1" t="s">
        <v>2481</v>
      </c>
      <c r="B451" s="7" t="s">
        <v>2482</v>
      </c>
      <c r="C451" s="2" t="s">
        <v>3914</v>
      </c>
      <c r="D451" s="1" t="s">
        <v>4301</v>
      </c>
      <c r="E451" s="31"/>
      <c r="F451" s="31"/>
      <c r="G451" s="31"/>
      <c r="H451" s="29"/>
      <c r="I451" s="12"/>
      <c r="J451" s="12"/>
      <c r="K451" s="12"/>
      <c r="L451" s="12"/>
      <c r="M451" s="18" t="str">
        <f t="shared" si="1"/>
        <v>#DIV/0!</v>
      </c>
      <c r="N451" s="18" t="str">
        <f t="shared" si="2"/>
        <v>#DIV/0!</v>
      </c>
      <c r="O451" s="12" t="str">
        <f t="shared" si="4"/>
        <v/>
      </c>
      <c r="P451" s="18" t="str">
        <f t="shared" si="3"/>
        <v>#DIV/0!</v>
      </c>
      <c r="Q451" s="12"/>
    </row>
    <row r="452">
      <c r="A452" s="1" t="s">
        <v>2487</v>
      </c>
      <c r="B452" s="7" t="s">
        <v>2488</v>
      </c>
      <c r="C452" s="2" t="s">
        <v>4382</v>
      </c>
      <c r="D452" s="1" t="s">
        <v>4383</v>
      </c>
      <c r="E452" s="31"/>
      <c r="F452" s="31"/>
      <c r="G452" s="31"/>
      <c r="H452" s="29"/>
      <c r="I452" s="12"/>
      <c r="J452" s="12"/>
      <c r="K452" s="12"/>
      <c r="L452" s="12"/>
      <c r="M452" s="18" t="str">
        <f t="shared" si="1"/>
        <v>#DIV/0!</v>
      </c>
      <c r="N452" s="18" t="str">
        <f t="shared" si="2"/>
        <v>#DIV/0!</v>
      </c>
      <c r="O452" s="12" t="str">
        <f t="shared" si="4"/>
        <v/>
      </c>
      <c r="P452" s="18" t="str">
        <f t="shared" si="3"/>
        <v>#DIV/0!</v>
      </c>
      <c r="Q452" s="12"/>
    </row>
    <row r="453">
      <c r="A453" s="1" t="s">
        <v>2491</v>
      </c>
      <c r="B453" s="7" t="s">
        <v>2492</v>
      </c>
      <c r="C453" s="2" t="s">
        <v>4384</v>
      </c>
      <c r="D453" s="1" t="s">
        <v>4385</v>
      </c>
      <c r="E453" s="31"/>
      <c r="F453" s="31"/>
      <c r="G453" s="31"/>
      <c r="H453" s="29"/>
      <c r="I453" s="12"/>
      <c r="J453" s="12"/>
      <c r="K453" s="12"/>
      <c r="L453" s="12"/>
      <c r="M453" s="18" t="str">
        <f t="shared" si="1"/>
        <v>#DIV/0!</v>
      </c>
      <c r="N453" s="18" t="str">
        <f t="shared" si="2"/>
        <v>#DIV/0!</v>
      </c>
      <c r="O453" s="12" t="str">
        <f t="shared" si="4"/>
        <v/>
      </c>
      <c r="P453" s="18" t="str">
        <f t="shared" si="3"/>
        <v>#DIV/0!</v>
      </c>
      <c r="Q453" s="12"/>
    </row>
    <row r="454">
      <c r="A454" s="1" t="s">
        <v>2495</v>
      </c>
      <c r="B454" s="7" t="s">
        <v>2496</v>
      </c>
      <c r="C454" s="2" t="s">
        <v>4386</v>
      </c>
      <c r="D454" s="1" t="s">
        <v>4387</v>
      </c>
      <c r="E454" s="31"/>
      <c r="F454" s="31"/>
      <c r="G454" s="31"/>
      <c r="H454" s="29"/>
      <c r="I454" s="12"/>
      <c r="J454" s="12"/>
      <c r="K454" s="12"/>
      <c r="L454" s="12"/>
      <c r="M454" s="18" t="str">
        <f t="shared" si="1"/>
        <v>#DIV/0!</v>
      </c>
      <c r="N454" s="18" t="str">
        <f t="shared" si="2"/>
        <v>#DIV/0!</v>
      </c>
      <c r="O454" s="12" t="str">
        <f t="shared" si="4"/>
        <v/>
      </c>
      <c r="P454" s="18" t="str">
        <f t="shared" si="3"/>
        <v>#DIV/0!</v>
      </c>
      <c r="Q454" s="12"/>
    </row>
    <row r="455">
      <c r="A455" s="1" t="s">
        <v>2498</v>
      </c>
      <c r="B455" s="7" t="s">
        <v>2499</v>
      </c>
      <c r="C455" s="2" t="s">
        <v>3859</v>
      </c>
      <c r="D455" s="7" t="s">
        <v>3860</v>
      </c>
      <c r="E455" s="31"/>
      <c r="F455" s="31"/>
      <c r="G455" s="31"/>
      <c r="H455" s="29"/>
      <c r="I455" s="12"/>
      <c r="J455" s="12"/>
      <c r="K455" s="12"/>
      <c r="L455" s="12"/>
      <c r="M455" s="18" t="str">
        <f t="shared" si="1"/>
        <v>#DIV/0!</v>
      </c>
      <c r="N455" s="18" t="str">
        <f t="shared" si="2"/>
        <v>#DIV/0!</v>
      </c>
      <c r="O455" s="12" t="str">
        <f t="shared" si="4"/>
        <v/>
      </c>
      <c r="P455" s="18" t="str">
        <f t="shared" si="3"/>
        <v>#DIV/0!</v>
      </c>
      <c r="Q455" s="12"/>
    </row>
    <row r="456">
      <c r="A456" s="1" t="s">
        <v>2500</v>
      </c>
      <c r="B456" s="7" t="s">
        <v>2501</v>
      </c>
      <c r="C456" s="2" t="s">
        <v>4235</v>
      </c>
      <c r="E456" s="31"/>
      <c r="F456" s="31"/>
      <c r="G456" s="31"/>
      <c r="H456" s="29"/>
      <c r="I456" s="12"/>
      <c r="J456" s="12"/>
      <c r="K456" s="12"/>
      <c r="L456" s="12"/>
      <c r="M456" s="18" t="str">
        <f t="shared" si="1"/>
        <v>#DIV/0!</v>
      </c>
      <c r="N456" s="18" t="str">
        <f t="shared" si="2"/>
        <v>#DIV/0!</v>
      </c>
      <c r="O456" s="12" t="str">
        <f t="shared" si="4"/>
        <v/>
      </c>
      <c r="P456" s="18" t="str">
        <f t="shared" si="3"/>
        <v>#DIV/0!</v>
      </c>
      <c r="Q456" s="12"/>
    </row>
    <row r="457">
      <c r="A457" s="1" t="s">
        <v>2512</v>
      </c>
      <c r="B457" s="7" t="s">
        <v>2513</v>
      </c>
      <c r="C457" s="2" t="s">
        <v>4388</v>
      </c>
      <c r="D457" s="1" t="s">
        <v>4389</v>
      </c>
      <c r="E457" s="31"/>
      <c r="F457" s="31"/>
      <c r="G457" s="31"/>
      <c r="H457" s="29"/>
      <c r="I457" s="12"/>
      <c r="J457" s="12"/>
      <c r="K457" s="12"/>
      <c r="L457" s="12"/>
      <c r="M457" s="18" t="str">
        <f t="shared" si="1"/>
        <v>#DIV/0!</v>
      </c>
      <c r="N457" s="18" t="str">
        <f t="shared" si="2"/>
        <v>#DIV/0!</v>
      </c>
      <c r="O457" s="12" t="str">
        <f t="shared" si="4"/>
        <v/>
      </c>
      <c r="P457" s="18" t="str">
        <f t="shared" si="3"/>
        <v>#DIV/0!</v>
      </c>
      <c r="Q457" s="12"/>
    </row>
    <row r="458">
      <c r="A458" s="1" t="s">
        <v>2516</v>
      </c>
      <c r="B458" s="7" t="s">
        <v>2517</v>
      </c>
      <c r="C458" s="2" t="s">
        <v>4390</v>
      </c>
      <c r="D458" s="1" t="s">
        <v>4391</v>
      </c>
      <c r="E458" s="31"/>
      <c r="F458" s="31"/>
      <c r="G458" s="31"/>
      <c r="H458" s="29"/>
      <c r="I458" s="12"/>
      <c r="J458" s="12"/>
      <c r="K458" s="12"/>
      <c r="L458" s="12"/>
      <c r="M458" s="18" t="str">
        <f t="shared" si="1"/>
        <v>#DIV/0!</v>
      </c>
      <c r="N458" s="18" t="str">
        <f t="shared" si="2"/>
        <v>#DIV/0!</v>
      </c>
      <c r="O458" s="12" t="str">
        <f t="shared" si="4"/>
        <v/>
      </c>
      <c r="P458" s="18" t="str">
        <f t="shared" si="3"/>
        <v>#DIV/0!</v>
      </c>
      <c r="Q458" s="12"/>
    </row>
    <row r="459">
      <c r="A459" s="1" t="s">
        <v>2519</v>
      </c>
      <c r="B459" s="7" t="s">
        <v>2520</v>
      </c>
      <c r="C459" s="2" t="s">
        <v>4392</v>
      </c>
      <c r="D459" s="1" t="s">
        <v>4393</v>
      </c>
      <c r="E459" s="31"/>
      <c r="F459" s="31"/>
      <c r="G459" s="31"/>
      <c r="H459" s="29"/>
      <c r="I459" s="12"/>
      <c r="J459" s="12"/>
      <c r="K459" s="12"/>
      <c r="L459" s="12"/>
      <c r="M459" s="18" t="str">
        <f t="shared" si="1"/>
        <v>#DIV/0!</v>
      </c>
      <c r="N459" s="18" t="str">
        <f t="shared" si="2"/>
        <v>#DIV/0!</v>
      </c>
      <c r="O459" s="12" t="str">
        <f t="shared" si="4"/>
        <v/>
      </c>
      <c r="P459" s="18" t="str">
        <f t="shared" si="3"/>
        <v>#DIV/0!</v>
      </c>
      <c r="Q459" s="12"/>
    </row>
    <row r="460">
      <c r="A460" s="1" t="s">
        <v>2523</v>
      </c>
      <c r="B460" s="7" t="s">
        <v>2524</v>
      </c>
      <c r="C460" s="2" t="s">
        <v>4394</v>
      </c>
      <c r="D460" s="1" t="s">
        <v>4395</v>
      </c>
      <c r="E460" s="31"/>
      <c r="F460" s="31"/>
      <c r="G460" s="31"/>
      <c r="H460" s="29"/>
      <c r="I460" s="12"/>
      <c r="J460" s="12"/>
      <c r="K460" s="12"/>
      <c r="L460" s="12"/>
      <c r="M460" s="18" t="str">
        <f t="shared" si="1"/>
        <v>#DIV/0!</v>
      </c>
      <c r="N460" s="18" t="str">
        <f t="shared" si="2"/>
        <v>#DIV/0!</v>
      </c>
      <c r="O460" s="12" t="str">
        <f t="shared" si="4"/>
        <v/>
      </c>
      <c r="P460" s="18" t="str">
        <f t="shared" si="3"/>
        <v>#DIV/0!</v>
      </c>
      <c r="Q460" s="12"/>
    </row>
    <row r="461">
      <c r="A461" s="1" t="s">
        <v>2526</v>
      </c>
      <c r="B461" s="7" t="s">
        <v>2527</v>
      </c>
      <c r="C461" s="2" t="s">
        <v>3982</v>
      </c>
      <c r="D461" s="7" t="s">
        <v>3983</v>
      </c>
      <c r="E461" s="31"/>
      <c r="F461" s="31"/>
      <c r="G461" s="31"/>
      <c r="H461" s="29"/>
      <c r="I461" s="12"/>
      <c r="J461" s="12"/>
      <c r="K461" s="12"/>
      <c r="L461" s="12"/>
      <c r="M461" s="18" t="str">
        <f t="shared" si="1"/>
        <v>#DIV/0!</v>
      </c>
      <c r="N461" s="18" t="str">
        <f t="shared" si="2"/>
        <v>#DIV/0!</v>
      </c>
      <c r="O461" s="12" t="str">
        <f t="shared" si="4"/>
        <v/>
      </c>
      <c r="P461" s="18" t="str">
        <f t="shared" si="3"/>
        <v>#DIV/0!</v>
      </c>
      <c r="Q461" s="12"/>
    </row>
    <row r="462">
      <c r="A462" s="1" t="s">
        <v>2532</v>
      </c>
      <c r="B462" s="7" t="s">
        <v>2533</v>
      </c>
      <c r="C462" s="2" t="s">
        <v>3980</v>
      </c>
      <c r="D462" s="1" t="s">
        <v>3992</v>
      </c>
      <c r="E462" s="31"/>
      <c r="F462" s="31"/>
      <c r="G462" s="31"/>
      <c r="H462" s="29"/>
      <c r="I462" s="12"/>
      <c r="J462" s="12"/>
      <c r="K462" s="12"/>
      <c r="L462" s="12"/>
      <c r="M462" s="18" t="str">
        <f t="shared" si="1"/>
        <v>#DIV/0!</v>
      </c>
      <c r="N462" s="18" t="str">
        <f t="shared" si="2"/>
        <v>#DIV/0!</v>
      </c>
      <c r="O462" s="12" t="str">
        <f t="shared" si="4"/>
        <v/>
      </c>
      <c r="P462" s="18" t="str">
        <f t="shared" si="3"/>
        <v>#DIV/0!</v>
      </c>
      <c r="Q462" s="12"/>
    </row>
    <row r="463">
      <c r="A463" s="1" t="s">
        <v>2536</v>
      </c>
      <c r="B463" s="7" t="s">
        <v>2537</v>
      </c>
      <c r="C463" s="2" t="s">
        <v>3982</v>
      </c>
      <c r="D463" s="7" t="s">
        <v>3983</v>
      </c>
      <c r="E463" s="31"/>
      <c r="F463" s="31"/>
      <c r="G463" s="31"/>
      <c r="H463" s="29"/>
      <c r="I463" s="12"/>
      <c r="J463" s="12"/>
      <c r="K463" s="12"/>
      <c r="L463" s="12"/>
      <c r="M463" s="18" t="str">
        <f t="shared" si="1"/>
        <v>#DIV/0!</v>
      </c>
      <c r="N463" s="18" t="str">
        <f t="shared" si="2"/>
        <v>#DIV/0!</v>
      </c>
      <c r="O463" s="12" t="str">
        <f t="shared" si="4"/>
        <v/>
      </c>
      <c r="P463" s="18" t="str">
        <f t="shared" si="3"/>
        <v>#DIV/0!</v>
      </c>
      <c r="Q463" s="12"/>
    </row>
    <row r="464">
      <c r="A464" s="1" t="s">
        <v>2538</v>
      </c>
      <c r="B464" s="7" t="s">
        <v>2539</v>
      </c>
      <c r="C464" s="2" t="s">
        <v>4396</v>
      </c>
      <c r="D464" s="7" t="s">
        <v>4397</v>
      </c>
      <c r="E464" s="31"/>
      <c r="F464" s="31"/>
      <c r="G464" s="31"/>
      <c r="H464" s="29"/>
      <c r="I464" s="12"/>
      <c r="J464" s="12"/>
      <c r="K464" s="12"/>
      <c r="L464" s="12"/>
      <c r="M464" s="18" t="str">
        <f t="shared" si="1"/>
        <v>#DIV/0!</v>
      </c>
      <c r="N464" s="18" t="str">
        <f t="shared" si="2"/>
        <v>#DIV/0!</v>
      </c>
      <c r="O464" s="12" t="str">
        <f t="shared" si="4"/>
        <v/>
      </c>
      <c r="P464" s="18" t="str">
        <f t="shared" si="3"/>
        <v>#DIV/0!</v>
      </c>
      <c r="Q464" s="12"/>
    </row>
    <row r="465">
      <c r="A465" s="1" t="s">
        <v>2544</v>
      </c>
      <c r="B465" s="7" t="s">
        <v>2545</v>
      </c>
      <c r="C465" s="2" t="s">
        <v>3830</v>
      </c>
      <c r="D465" s="7" t="s">
        <v>3831</v>
      </c>
      <c r="E465" s="31"/>
      <c r="F465" s="31"/>
      <c r="G465" s="31"/>
      <c r="H465" s="29"/>
      <c r="I465" s="12"/>
      <c r="J465" s="12"/>
      <c r="K465" s="12"/>
      <c r="L465" s="12"/>
      <c r="M465" s="18" t="str">
        <f t="shared" si="1"/>
        <v>#DIV/0!</v>
      </c>
      <c r="N465" s="18" t="str">
        <f t="shared" si="2"/>
        <v>#DIV/0!</v>
      </c>
      <c r="O465" s="12" t="str">
        <f t="shared" si="4"/>
        <v/>
      </c>
      <c r="P465" s="18" t="str">
        <f t="shared" si="3"/>
        <v>#DIV/0!</v>
      </c>
      <c r="Q465" s="12"/>
    </row>
    <row r="466">
      <c r="A466" s="1" t="s">
        <v>2547</v>
      </c>
      <c r="B466" s="7" t="s">
        <v>2548</v>
      </c>
      <c r="C466" s="2" t="s">
        <v>4398</v>
      </c>
      <c r="D466" s="1" t="s">
        <v>4399</v>
      </c>
      <c r="E466" s="31"/>
      <c r="F466" s="31"/>
      <c r="G466" s="31"/>
      <c r="H466" s="29"/>
      <c r="I466" s="12"/>
      <c r="J466" s="12"/>
      <c r="K466" s="12"/>
      <c r="L466" s="12"/>
      <c r="M466" s="18" t="str">
        <f t="shared" si="1"/>
        <v>#DIV/0!</v>
      </c>
      <c r="N466" s="18" t="str">
        <f t="shared" si="2"/>
        <v>#DIV/0!</v>
      </c>
      <c r="O466" s="12" t="str">
        <f t="shared" si="4"/>
        <v/>
      </c>
      <c r="P466" s="18" t="str">
        <f t="shared" si="3"/>
        <v>#DIV/0!</v>
      </c>
      <c r="Q466" s="12"/>
    </row>
    <row r="467">
      <c r="A467" s="1" t="s">
        <v>2551</v>
      </c>
      <c r="B467" s="7" t="s">
        <v>2552</v>
      </c>
      <c r="C467" s="2" t="s">
        <v>4400</v>
      </c>
      <c r="D467" s="1" t="s">
        <v>4401</v>
      </c>
      <c r="E467" s="31"/>
      <c r="F467" s="31"/>
      <c r="G467" s="31"/>
      <c r="H467" s="29"/>
      <c r="I467" s="12"/>
      <c r="J467" s="12"/>
      <c r="K467" s="12"/>
      <c r="L467" s="12"/>
      <c r="M467" s="18" t="str">
        <f t="shared" si="1"/>
        <v>#DIV/0!</v>
      </c>
      <c r="N467" s="18" t="str">
        <f t="shared" si="2"/>
        <v>#DIV/0!</v>
      </c>
      <c r="O467" s="12" t="str">
        <f t="shared" si="4"/>
        <v/>
      </c>
      <c r="P467" s="18" t="str">
        <f t="shared" si="3"/>
        <v>#DIV/0!</v>
      </c>
      <c r="Q467" s="12"/>
    </row>
    <row r="468">
      <c r="A468" s="1" t="s">
        <v>2553</v>
      </c>
      <c r="B468" s="7" t="s">
        <v>2554</v>
      </c>
      <c r="C468" s="2" t="s">
        <v>3980</v>
      </c>
      <c r="D468" s="1" t="s">
        <v>3981</v>
      </c>
      <c r="E468" s="31"/>
      <c r="F468" s="31"/>
      <c r="G468" s="31"/>
      <c r="H468" s="29"/>
      <c r="I468" s="12"/>
      <c r="J468" s="12"/>
      <c r="K468" s="12"/>
      <c r="L468" s="12"/>
      <c r="M468" s="18" t="str">
        <f t="shared" si="1"/>
        <v>#DIV/0!</v>
      </c>
      <c r="N468" s="18" t="str">
        <f t="shared" si="2"/>
        <v>#DIV/0!</v>
      </c>
      <c r="O468" s="12" t="str">
        <f t="shared" si="4"/>
        <v/>
      </c>
      <c r="P468" s="18" t="str">
        <f t="shared" si="3"/>
        <v>#DIV/0!</v>
      </c>
      <c r="Q468" s="12"/>
    </row>
    <row r="469">
      <c r="A469" s="1" t="s">
        <v>2556</v>
      </c>
      <c r="B469" s="7" t="s">
        <v>2557</v>
      </c>
      <c r="C469" s="2" t="s">
        <v>2558</v>
      </c>
      <c r="D469" s="7" t="s">
        <v>4402</v>
      </c>
      <c r="E469" s="31"/>
      <c r="F469" s="31"/>
      <c r="G469" s="31"/>
      <c r="H469" s="29"/>
      <c r="I469" s="12"/>
      <c r="J469" s="12"/>
      <c r="K469" s="12"/>
      <c r="L469" s="12"/>
      <c r="M469" s="18" t="str">
        <f t="shared" si="1"/>
        <v>#DIV/0!</v>
      </c>
      <c r="N469" s="18" t="str">
        <f t="shared" si="2"/>
        <v>#DIV/0!</v>
      </c>
      <c r="O469" s="12" t="str">
        <f t="shared" si="4"/>
        <v/>
      </c>
      <c r="P469" s="18" t="str">
        <f t="shared" si="3"/>
        <v>#DIV/0!</v>
      </c>
      <c r="Q469" s="12"/>
    </row>
    <row r="470">
      <c r="A470" s="1" t="s">
        <v>2560</v>
      </c>
      <c r="B470" s="7" t="s">
        <v>2561</v>
      </c>
      <c r="C470" s="2" t="s">
        <v>4403</v>
      </c>
      <c r="D470" s="7" t="s">
        <v>4404</v>
      </c>
      <c r="E470" s="31"/>
      <c r="F470" s="31"/>
      <c r="G470" s="31"/>
      <c r="H470" s="29"/>
      <c r="I470" s="12"/>
      <c r="J470" s="12"/>
      <c r="K470" s="12"/>
      <c r="L470" s="12"/>
      <c r="M470" s="18" t="str">
        <f t="shared" si="1"/>
        <v>#DIV/0!</v>
      </c>
      <c r="N470" s="18" t="str">
        <f t="shared" si="2"/>
        <v>#DIV/0!</v>
      </c>
      <c r="O470" s="12" t="str">
        <f t="shared" si="4"/>
        <v/>
      </c>
      <c r="P470" s="18" t="str">
        <f t="shared" si="3"/>
        <v>#DIV/0!</v>
      </c>
      <c r="Q470" s="12"/>
    </row>
    <row r="471">
      <c r="A471" s="1" t="s">
        <v>2562</v>
      </c>
      <c r="B471" s="7" t="s">
        <v>2563</v>
      </c>
      <c r="C471" s="2" t="s">
        <v>4074</v>
      </c>
      <c r="D471" s="7" t="s">
        <v>4075</v>
      </c>
      <c r="E471" s="31"/>
      <c r="F471" s="31"/>
      <c r="G471" s="31"/>
      <c r="H471" s="29"/>
      <c r="I471" s="12"/>
      <c r="J471" s="12"/>
      <c r="K471" s="12"/>
      <c r="L471" s="12"/>
      <c r="M471" s="18" t="str">
        <f t="shared" si="1"/>
        <v>#DIV/0!</v>
      </c>
      <c r="N471" s="18" t="str">
        <f t="shared" si="2"/>
        <v>#DIV/0!</v>
      </c>
      <c r="O471" s="12" t="str">
        <f t="shared" si="4"/>
        <v/>
      </c>
      <c r="P471" s="18" t="str">
        <f t="shared" si="3"/>
        <v>#DIV/0!</v>
      </c>
      <c r="Q471" s="12"/>
    </row>
    <row r="472">
      <c r="A472" s="1" t="s">
        <v>2565</v>
      </c>
      <c r="B472" s="7" t="s">
        <v>2566</v>
      </c>
      <c r="C472" s="2" t="s">
        <v>4405</v>
      </c>
      <c r="E472" s="31"/>
      <c r="F472" s="31"/>
      <c r="G472" s="31"/>
      <c r="H472" s="29"/>
      <c r="I472" s="12"/>
      <c r="J472" s="12"/>
      <c r="K472" s="12"/>
      <c r="L472" s="12"/>
      <c r="M472" s="18" t="str">
        <f t="shared" si="1"/>
        <v>#DIV/0!</v>
      </c>
      <c r="N472" s="18" t="str">
        <f t="shared" si="2"/>
        <v>#DIV/0!</v>
      </c>
      <c r="O472" s="12" t="str">
        <f t="shared" si="4"/>
        <v/>
      </c>
      <c r="P472" s="18" t="str">
        <f t="shared" si="3"/>
        <v>#DIV/0!</v>
      </c>
      <c r="Q472" s="12"/>
    </row>
    <row r="473">
      <c r="A473" s="1" t="s">
        <v>2569</v>
      </c>
      <c r="B473" s="7" t="s">
        <v>2570</v>
      </c>
      <c r="C473" s="2" t="s">
        <v>4406</v>
      </c>
      <c r="D473" s="1" t="s">
        <v>4407</v>
      </c>
      <c r="E473" s="31"/>
      <c r="F473" s="31"/>
      <c r="G473" s="31"/>
      <c r="H473" s="29"/>
      <c r="I473" s="12"/>
      <c r="J473" s="12"/>
      <c r="K473" s="12"/>
      <c r="L473" s="12"/>
      <c r="M473" s="18" t="str">
        <f t="shared" si="1"/>
        <v>#DIV/0!</v>
      </c>
      <c r="N473" s="18" t="str">
        <f t="shared" si="2"/>
        <v>#DIV/0!</v>
      </c>
      <c r="O473" s="12" t="str">
        <f t="shared" si="4"/>
        <v/>
      </c>
      <c r="P473" s="18" t="str">
        <f t="shared" si="3"/>
        <v>#DIV/0!</v>
      </c>
      <c r="Q473" s="12"/>
    </row>
    <row r="474">
      <c r="A474" s="1" t="s">
        <v>2577</v>
      </c>
      <c r="B474" s="7" t="s">
        <v>2578</v>
      </c>
      <c r="C474" s="2" t="s">
        <v>4408</v>
      </c>
      <c r="D474" s="1" t="s">
        <v>4409</v>
      </c>
      <c r="E474" s="31"/>
      <c r="F474" s="31"/>
      <c r="G474" s="31"/>
      <c r="H474" s="29"/>
      <c r="I474" s="12"/>
      <c r="J474" s="12"/>
      <c r="K474" s="12"/>
      <c r="L474" s="12"/>
      <c r="M474" s="18" t="str">
        <f t="shared" si="1"/>
        <v>#DIV/0!</v>
      </c>
      <c r="N474" s="18" t="str">
        <f t="shared" si="2"/>
        <v>#DIV/0!</v>
      </c>
      <c r="O474" s="12" t="str">
        <f t="shared" si="4"/>
        <v/>
      </c>
      <c r="P474" s="18" t="str">
        <f t="shared" si="3"/>
        <v>#DIV/0!</v>
      </c>
      <c r="Q474" s="12"/>
    </row>
    <row r="475">
      <c r="A475" s="1" t="s">
        <v>2581</v>
      </c>
      <c r="B475" s="7" t="s">
        <v>2582</v>
      </c>
      <c r="C475" s="2" t="s">
        <v>4410</v>
      </c>
      <c r="D475" s="1" t="s">
        <v>4411</v>
      </c>
      <c r="E475" s="31"/>
      <c r="F475" s="31"/>
      <c r="G475" s="31"/>
      <c r="H475" s="29"/>
      <c r="I475" s="12"/>
      <c r="J475" s="12"/>
      <c r="K475" s="12"/>
      <c r="L475" s="12"/>
      <c r="M475" s="18" t="str">
        <f t="shared" si="1"/>
        <v>#DIV/0!</v>
      </c>
      <c r="N475" s="18" t="str">
        <f t="shared" si="2"/>
        <v>#DIV/0!</v>
      </c>
      <c r="O475" s="12" t="str">
        <f t="shared" si="4"/>
        <v/>
      </c>
      <c r="P475" s="18" t="str">
        <f t="shared" si="3"/>
        <v>#DIV/0!</v>
      </c>
      <c r="Q475" s="12"/>
    </row>
    <row r="476">
      <c r="A476" s="1" t="s">
        <v>2585</v>
      </c>
      <c r="B476" s="7" t="s">
        <v>2586</v>
      </c>
      <c r="C476" s="2" t="s">
        <v>4412</v>
      </c>
      <c r="D476" s="7" t="s">
        <v>4413</v>
      </c>
      <c r="E476" s="31"/>
      <c r="F476" s="31"/>
      <c r="G476" s="31"/>
      <c r="H476" s="29"/>
      <c r="I476" s="12"/>
      <c r="J476" s="12"/>
      <c r="K476" s="12"/>
      <c r="L476" s="12"/>
      <c r="M476" s="18" t="str">
        <f t="shared" si="1"/>
        <v>#DIV/0!</v>
      </c>
      <c r="N476" s="18" t="str">
        <f t="shared" si="2"/>
        <v>#DIV/0!</v>
      </c>
      <c r="O476" s="12" t="str">
        <f t="shared" si="4"/>
        <v/>
      </c>
      <c r="P476" s="18" t="str">
        <f t="shared" si="3"/>
        <v>#DIV/0!</v>
      </c>
      <c r="Q476" s="12"/>
    </row>
    <row r="477">
      <c r="A477" s="1" t="s">
        <v>2587</v>
      </c>
      <c r="B477" s="7" t="s">
        <v>2588</v>
      </c>
      <c r="C477" s="2" t="s">
        <v>4414</v>
      </c>
      <c r="D477" s="7" t="s">
        <v>4415</v>
      </c>
      <c r="E477" s="31"/>
      <c r="F477" s="31"/>
      <c r="G477" s="31"/>
      <c r="H477" s="29"/>
      <c r="I477" s="12"/>
      <c r="J477" s="12"/>
      <c r="K477" s="12"/>
      <c r="L477" s="12"/>
      <c r="M477" s="18" t="str">
        <f t="shared" si="1"/>
        <v>#DIV/0!</v>
      </c>
      <c r="N477" s="18" t="str">
        <f t="shared" si="2"/>
        <v>#DIV/0!</v>
      </c>
      <c r="O477" s="12" t="str">
        <f t="shared" si="4"/>
        <v/>
      </c>
      <c r="P477" s="18" t="str">
        <f t="shared" si="3"/>
        <v>#DIV/0!</v>
      </c>
      <c r="Q477" s="12"/>
    </row>
    <row r="478">
      <c r="A478" s="1" t="s">
        <v>2590</v>
      </c>
      <c r="B478" s="7" t="s">
        <v>2591</v>
      </c>
      <c r="C478" s="2" t="s">
        <v>3982</v>
      </c>
      <c r="D478" s="7" t="s">
        <v>3983</v>
      </c>
      <c r="E478" s="31"/>
      <c r="F478" s="31"/>
      <c r="G478" s="31"/>
      <c r="H478" s="29"/>
      <c r="I478" s="12"/>
      <c r="J478" s="12"/>
      <c r="K478" s="12"/>
      <c r="L478" s="12"/>
      <c r="M478" s="18" t="str">
        <f t="shared" si="1"/>
        <v>#DIV/0!</v>
      </c>
      <c r="N478" s="18" t="str">
        <f t="shared" si="2"/>
        <v>#DIV/0!</v>
      </c>
      <c r="O478" s="12" t="str">
        <f t="shared" si="4"/>
        <v/>
      </c>
      <c r="P478" s="18" t="str">
        <f t="shared" si="3"/>
        <v>#DIV/0!</v>
      </c>
      <c r="Q478" s="12"/>
    </row>
    <row r="479">
      <c r="A479" s="1" t="s">
        <v>2592</v>
      </c>
      <c r="B479" s="7" t="s">
        <v>2593</v>
      </c>
      <c r="C479" s="2" t="s">
        <v>4416</v>
      </c>
      <c r="D479" s="1" t="s">
        <v>4139</v>
      </c>
      <c r="E479" s="31"/>
      <c r="F479" s="31"/>
      <c r="G479" s="31"/>
      <c r="H479" s="29"/>
      <c r="I479" s="12"/>
      <c r="J479" s="12"/>
      <c r="K479" s="12"/>
      <c r="L479" s="12"/>
      <c r="M479" s="18" t="str">
        <f t="shared" si="1"/>
        <v>#DIV/0!</v>
      </c>
      <c r="N479" s="18" t="str">
        <f t="shared" si="2"/>
        <v>#DIV/0!</v>
      </c>
      <c r="O479" s="12" t="str">
        <f t="shared" si="4"/>
        <v/>
      </c>
      <c r="P479" s="18" t="str">
        <f t="shared" si="3"/>
        <v>#DIV/0!</v>
      </c>
      <c r="Q479" s="12"/>
    </row>
    <row r="480">
      <c r="A480" s="1" t="s">
        <v>2601</v>
      </c>
      <c r="B480" s="7" t="s">
        <v>2602</v>
      </c>
      <c r="C480" s="2" t="s">
        <v>3854</v>
      </c>
      <c r="D480" s="1" t="s">
        <v>3853</v>
      </c>
      <c r="E480" s="31"/>
      <c r="F480" s="31"/>
      <c r="G480" s="31"/>
      <c r="H480" s="29"/>
      <c r="I480" s="12"/>
      <c r="J480" s="12"/>
      <c r="K480" s="12"/>
      <c r="L480" s="12"/>
      <c r="M480" s="18" t="str">
        <f t="shared" si="1"/>
        <v>#DIV/0!</v>
      </c>
      <c r="N480" s="18" t="str">
        <f t="shared" si="2"/>
        <v>#DIV/0!</v>
      </c>
      <c r="O480" s="12" t="str">
        <f t="shared" si="4"/>
        <v/>
      </c>
      <c r="P480" s="18" t="str">
        <f t="shared" si="3"/>
        <v>#DIV/0!</v>
      </c>
      <c r="Q480" s="12"/>
    </row>
    <row r="481">
      <c r="A481" s="1" t="s">
        <v>2605</v>
      </c>
      <c r="B481" s="7" t="s">
        <v>2606</v>
      </c>
      <c r="C481" s="2" t="s">
        <v>4417</v>
      </c>
      <c r="D481" s="1" t="s">
        <v>3853</v>
      </c>
      <c r="E481" s="31"/>
      <c r="F481" s="31"/>
      <c r="G481" s="31"/>
      <c r="H481" s="29"/>
      <c r="I481" s="12"/>
      <c r="J481" s="12"/>
      <c r="K481" s="12"/>
      <c r="L481" s="12"/>
      <c r="M481" s="18" t="str">
        <f t="shared" si="1"/>
        <v>#DIV/0!</v>
      </c>
      <c r="N481" s="18" t="str">
        <f t="shared" si="2"/>
        <v>#DIV/0!</v>
      </c>
      <c r="O481" s="12" t="str">
        <f t="shared" si="4"/>
        <v/>
      </c>
      <c r="P481" s="18" t="str">
        <f t="shared" si="3"/>
        <v>#DIV/0!</v>
      </c>
      <c r="Q481" s="12"/>
    </row>
    <row r="482">
      <c r="A482" s="1" t="s">
        <v>2613</v>
      </c>
      <c r="B482" s="7" t="s">
        <v>2614</v>
      </c>
      <c r="C482" s="2" t="s">
        <v>3996</v>
      </c>
      <c r="D482" s="7" t="s">
        <v>3997</v>
      </c>
      <c r="E482" s="31"/>
      <c r="F482" s="31"/>
      <c r="G482" s="31"/>
      <c r="H482" s="29"/>
      <c r="I482" s="12"/>
      <c r="J482" s="12"/>
      <c r="K482" s="12"/>
      <c r="L482" s="12"/>
      <c r="M482" s="18" t="str">
        <f t="shared" si="1"/>
        <v>#DIV/0!</v>
      </c>
      <c r="N482" s="18" t="str">
        <f t="shared" si="2"/>
        <v>#DIV/0!</v>
      </c>
      <c r="O482" s="12" t="str">
        <f t="shared" si="4"/>
        <v/>
      </c>
      <c r="P482" s="18" t="str">
        <f t="shared" si="3"/>
        <v>#DIV/0!</v>
      </c>
      <c r="Q482" s="12"/>
    </row>
    <row r="483">
      <c r="A483" s="1" t="s">
        <v>2628</v>
      </c>
      <c r="B483" s="7" t="s">
        <v>2629</v>
      </c>
      <c r="C483" s="2" t="s">
        <v>3982</v>
      </c>
      <c r="D483" s="7" t="s">
        <v>3983</v>
      </c>
      <c r="E483" s="31"/>
      <c r="F483" s="31"/>
      <c r="G483" s="31"/>
      <c r="H483" s="29"/>
      <c r="I483" s="12"/>
      <c r="J483" s="12"/>
      <c r="K483" s="12"/>
      <c r="L483" s="12"/>
      <c r="M483" s="18" t="str">
        <f t="shared" si="1"/>
        <v>#DIV/0!</v>
      </c>
      <c r="N483" s="18" t="str">
        <f t="shared" si="2"/>
        <v>#DIV/0!</v>
      </c>
      <c r="O483" s="12" t="str">
        <f t="shared" si="4"/>
        <v/>
      </c>
      <c r="P483" s="18" t="str">
        <f t="shared" si="3"/>
        <v>#DIV/0!</v>
      </c>
      <c r="Q483" s="12"/>
    </row>
    <row r="484">
      <c r="A484" s="1" t="s">
        <v>2632</v>
      </c>
      <c r="B484" s="7" t="s">
        <v>2633</v>
      </c>
      <c r="C484" s="2" t="s">
        <v>4418</v>
      </c>
      <c r="D484" s="7" t="s">
        <v>4419</v>
      </c>
      <c r="E484" s="31"/>
      <c r="F484" s="31"/>
      <c r="G484" s="31"/>
      <c r="H484" s="29"/>
      <c r="I484" s="12"/>
      <c r="J484" s="12"/>
      <c r="K484" s="12"/>
      <c r="L484" s="12"/>
      <c r="M484" s="18" t="str">
        <f t="shared" si="1"/>
        <v>#DIV/0!</v>
      </c>
      <c r="N484" s="18" t="str">
        <f t="shared" si="2"/>
        <v>#DIV/0!</v>
      </c>
      <c r="O484" s="12" t="str">
        <f t="shared" si="4"/>
        <v/>
      </c>
      <c r="P484" s="18" t="str">
        <f t="shared" si="3"/>
        <v>#DIV/0!</v>
      </c>
      <c r="Q484" s="12"/>
    </row>
    <row r="485">
      <c r="A485" s="1" t="s">
        <v>2636</v>
      </c>
      <c r="B485" s="7" t="s">
        <v>2637</v>
      </c>
      <c r="C485" s="2" t="s">
        <v>4420</v>
      </c>
      <c r="E485" s="31"/>
      <c r="F485" s="31"/>
      <c r="G485" s="31"/>
      <c r="H485" s="29"/>
      <c r="I485" s="12"/>
      <c r="J485" s="12"/>
      <c r="K485" s="12"/>
      <c r="L485" s="12"/>
      <c r="M485" s="18" t="str">
        <f t="shared" si="1"/>
        <v>#DIV/0!</v>
      </c>
      <c r="N485" s="18" t="str">
        <f t="shared" si="2"/>
        <v>#DIV/0!</v>
      </c>
      <c r="O485" s="12" t="str">
        <f t="shared" si="4"/>
        <v/>
      </c>
      <c r="P485" s="18" t="str">
        <f t="shared" si="3"/>
        <v>#DIV/0!</v>
      </c>
      <c r="Q485" s="12"/>
    </row>
    <row r="486">
      <c r="A486" s="1" t="s">
        <v>2643</v>
      </c>
      <c r="B486" s="7" t="s">
        <v>2644</v>
      </c>
      <c r="C486" s="2" t="s">
        <v>3838</v>
      </c>
      <c r="D486" s="7" t="s">
        <v>3839</v>
      </c>
      <c r="E486" s="31"/>
      <c r="F486" s="31"/>
      <c r="G486" s="31"/>
      <c r="H486" s="29"/>
      <c r="I486" s="12"/>
      <c r="J486" s="12"/>
      <c r="K486" s="12"/>
      <c r="L486" s="12"/>
      <c r="M486" s="18" t="str">
        <f t="shared" si="1"/>
        <v>#DIV/0!</v>
      </c>
      <c r="N486" s="18" t="str">
        <f t="shared" si="2"/>
        <v>#DIV/0!</v>
      </c>
      <c r="O486" s="12" t="str">
        <f t="shared" si="4"/>
        <v/>
      </c>
      <c r="P486" s="18" t="str">
        <f t="shared" si="3"/>
        <v>#DIV/0!</v>
      </c>
      <c r="Q486" s="12"/>
    </row>
    <row r="487">
      <c r="A487" s="1" t="s">
        <v>2651</v>
      </c>
      <c r="B487" s="7" t="s">
        <v>2652</v>
      </c>
      <c r="C487" s="2" t="s">
        <v>4421</v>
      </c>
      <c r="D487" s="1" t="s">
        <v>4422</v>
      </c>
      <c r="E487" s="31"/>
      <c r="F487" s="31"/>
      <c r="G487" s="31"/>
      <c r="H487" s="29"/>
      <c r="I487" s="12"/>
      <c r="J487" s="12"/>
      <c r="K487" s="12"/>
      <c r="L487" s="12"/>
      <c r="M487" s="18" t="str">
        <f t="shared" si="1"/>
        <v>#DIV/0!</v>
      </c>
      <c r="N487" s="18" t="str">
        <f t="shared" si="2"/>
        <v>#DIV/0!</v>
      </c>
      <c r="O487" s="12" t="str">
        <f t="shared" si="4"/>
        <v/>
      </c>
      <c r="P487" s="18" t="str">
        <f t="shared" si="3"/>
        <v>#DIV/0!</v>
      </c>
      <c r="Q487" s="12"/>
    </row>
    <row r="488">
      <c r="A488" s="1" t="s">
        <v>2670</v>
      </c>
      <c r="B488" s="7" t="s">
        <v>2671</v>
      </c>
      <c r="C488" s="2" t="s">
        <v>4423</v>
      </c>
      <c r="D488" s="1" t="s">
        <v>4151</v>
      </c>
      <c r="E488" s="31"/>
      <c r="F488" s="31"/>
      <c r="G488" s="31"/>
      <c r="H488" s="29"/>
      <c r="I488" s="12"/>
      <c r="J488" s="12"/>
      <c r="K488" s="12"/>
      <c r="L488" s="12"/>
      <c r="M488" s="18" t="str">
        <f t="shared" si="1"/>
        <v>#DIV/0!</v>
      </c>
      <c r="N488" s="18" t="str">
        <f t="shared" si="2"/>
        <v>#DIV/0!</v>
      </c>
      <c r="O488" s="12" t="str">
        <f t="shared" si="4"/>
        <v/>
      </c>
      <c r="P488" s="18" t="str">
        <f t="shared" si="3"/>
        <v>#DIV/0!</v>
      </c>
      <c r="Q488" s="12"/>
    </row>
    <row r="489">
      <c r="A489" s="1" t="s">
        <v>2674</v>
      </c>
      <c r="B489" s="7" t="s">
        <v>2675</v>
      </c>
      <c r="C489" s="2" t="s">
        <v>4424</v>
      </c>
      <c r="D489" s="1" t="s">
        <v>4425</v>
      </c>
      <c r="E489" s="31"/>
      <c r="F489" s="31"/>
      <c r="G489" s="31"/>
      <c r="H489" s="29"/>
      <c r="I489" s="12"/>
      <c r="J489" s="12"/>
      <c r="K489" s="12"/>
      <c r="L489" s="12"/>
      <c r="M489" s="18" t="str">
        <f t="shared" si="1"/>
        <v>#DIV/0!</v>
      </c>
      <c r="N489" s="18" t="str">
        <f t="shared" si="2"/>
        <v>#DIV/0!</v>
      </c>
      <c r="O489" s="12" t="str">
        <f t="shared" si="4"/>
        <v/>
      </c>
      <c r="P489" s="18" t="str">
        <f t="shared" si="3"/>
        <v>#DIV/0!</v>
      </c>
      <c r="Q489" s="12"/>
    </row>
    <row r="490">
      <c r="A490" s="1" t="s">
        <v>2678</v>
      </c>
      <c r="B490" s="7" t="s">
        <v>2679</v>
      </c>
      <c r="C490" s="2" t="s">
        <v>4426</v>
      </c>
      <c r="D490" s="1" t="s">
        <v>4427</v>
      </c>
      <c r="E490" s="31"/>
      <c r="F490" s="31"/>
      <c r="G490" s="31"/>
      <c r="H490" s="29"/>
      <c r="I490" s="12"/>
      <c r="J490" s="12"/>
      <c r="K490" s="12"/>
      <c r="L490" s="12"/>
      <c r="M490" s="18" t="str">
        <f t="shared" si="1"/>
        <v>#DIV/0!</v>
      </c>
      <c r="N490" s="18" t="str">
        <f t="shared" si="2"/>
        <v>#DIV/0!</v>
      </c>
      <c r="O490" s="12" t="str">
        <f t="shared" si="4"/>
        <v/>
      </c>
      <c r="P490" s="18" t="str">
        <f t="shared" si="3"/>
        <v>#DIV/0!</v>
      </c>
      <c r="Q490" s="12"/>
    </row>
    <row r="491">
      <c r="A491" s="1" t="s">
        <v>2686</v>
      </c>
      <c r="B491" s="7" t="s">
        <v>2687</v>
      </c>
      <c r="C491" s="2" t="s">
        <v>4428</v>
      </c>
      <c r="D491" s="1" t="s">
        <v>4429</v>
      </c>
      <c r="E491" s="31"/>
      <c r="F491" s="31"/>
      <c r="G491" s="31"/>
      <c r="H491" s="29"/>
      <c r="I491" s="12"/>
      <c r="J491" s="12"/>
      <c r="K491" s="12"/>
      <c r="L491" s="12"/>
      <c r="M491" s="18" t="str">
        <f t="shared" si="1"/>
        <v>#DIV/0!</v>
      </c>
      <c r="N491" s="18" t="str">
        <f t="shared" si="2"/>
        <v>#DIV/0!</v>
      </c>
      <c r="O491" s="12" t="str">
        <f t="shared" si="4"/>
        <v/>
      </c>
      <c r="P491" s="18" t="str">
        <f t="shared" si="3"/>
        <v>#DIV/0!</v>
      </c>
      <c r="Q491" s="12"/>
    </row>
    <row r="492">
      <c r="A492" s="1" t="s">
        <v>2690</v>
      </c>
      <c r="B492" s="7" t="s">
        <v>2691</v>
      </c>
      <c r="C492" s="2" t="s">
        <v>3842</v>
      </c>
      <c r="D492" s="7" t="s">
        <v>3843</v>
      </c>
      <c r="E492" s="31"/>
      <c r="F492" s="31"/>
      <c r="G492" s="31"/>
      <c r="H492" s="29"/>
      <c r="I492" s="12"/>
      <c r="J492" s="12"/>
      <c r="K492" s="12"/>
      <c r="L492" s="12"/>
      <c r="M492" s="18" t="str">
        <f t="shared" si="1"/>
        <v>#DIV/0!</v>
      </c>
      <c r="N492" s="18" t="str">
        <f t="shared" si="2"/>
        <v>#DIV/0!</v>
      </c>
      <c r="O492" s="12" t="str">
        <f t="shared" si="4"/>
        <v/>
      </c>
      <c r="P492" s="18" t="str">
        <f t="shared" si="3"/>
        <v>#DIV/0!</v>
      </c>
      <c r="Q492" s="12"/>
    </row>
    <row r="493">
      <c r="A493" s="1" t="s">
        <v>2697</v>
      </c>
      <c r="B493" s="7" t="s">
        <v>2698</v>
      </c>
      <c r="C493" s="2" t="s">
        <v>3949</v>
      </c>
      <c r="E493" s="31"/>
      <c r="F493" s="31"/>
      <c r="G493" s="31"/>
      <c r="H493" s="29"/>
      <c r="I493" s="12"/>
      <c r="J493" s="12"/>
      <c r="K493" s="12"/>
      <c r="L493" s="12"/>
      <c r="M493" s="18" t="str">
        <f t="shared" si="1"/>
        <v>#DIV/0!</v>
      </c>
      <c r="N493" s="18" t="str">
        <f t="shared" si="2"/>
        <v>#DIV/0!</v>
      </c>
      <c r="O493" s="12" t="str">
        <f t="shared" si="4"/>
        <v/>
      </c>
      <c r="P493" s="18" t="str">
        <f t="shared" si="3"/>
        <v>#DIV/0!</v>
      </c>
      <c r="Q493" s="12"/>
    </row>
    <row r="494">
      <c r="A494" s="1" t="s">
        <v>2701</v>
      </c>
      <c r="B494" s="7" t="s">
        <v>2702</v>
      </c>
      <c r="C494" s="2" t="s">
        <v>4430</v>
      </c>
      <c r="D494" s="1" t="s">
        <v>4431</v>
      </c>
      <c r="E494" s="31"/>
      <c r="F494" s="31"/>
      <c r="G494" s="31"/>
      <c r="H494" s="29"/>
      <c r="I494" s="12"/>
      <c r="J494" s="12"/>
      <c r="K494" s="12"/>
      <c r="L494" s="12"/>
      <c r="M494" s="18" t="str">
        <f t="shared" si="1"/>
        <v>#DIV/0!</v>
      </c>
      <c r="N494" s="18" t="str">
        <f t="shared" si="2"/>
        <v>#DIV/0!</v>
      </c>
      <c r="O494" s="12" t="str">
        <f t="shared" si="4"/>
        <v/>
      </c>
      <c r="P494" s="18" t="str">
        <f t="shared" si="3"/>
        <v>#DIV/0!</v>
      </c>
      <c r="Q494" s="12"/>
    </row>
    <row r="495">
      <c r="A495" s="1" t="s">
        <v>2709</v>
      </c>
      <c r="B495" s="7" t="s">
        <v>2710</v>
      </c>
      <c r="C495" s="2" t="s">
        <v>4432</v>
      </c>
      <c r="E495" s="31"/>
      <c r="F495" s="31"/>
      <c r="G495" s="31"/>
      <c r="H495" s="29"/>
      <c r="I495" s="12"/>
      <c r="J495" s="12"/>
      <c r="K495" s="12"/>
      <c r="L495" s="12"/>
      <c r="M495" s="18" t="str">
        <f t="shared" si="1"/>
        <v>#DIV/0!</v>
      </c>
      <c r="N495" s="18" t="str">
        <f t="shared" si="2"/>
        <v>#DIV/0!</v>
      </c>
      <c r="O495" s="12" t="str">
        <f t="shared" si="4"/>
        <v/>
      </c>
      <c r="P495" s="18" t="str">
        <f t="shared" si="3"/>
        <v>#DIV/0!</v>
      </c>
      <c r="Q495" s="12"/>
    </row>
    <row r="496">
      <c r="A496" s="1" t="s">
        <v>2716</v>
      </c>
      <c r="B496" s="7" t="s">
        <v>2717</v>
      </c>
      <c r="C496" s="2" t="s">
        <v>3982</v>
      </c>
      <c r="D496" s="7" t="s">
        <v>3983</v>
      </c>
      <c r="E496" s="31"/>
      <c r="F496" s="31"/>
      <c r="G496" s="31"/>
      <c r="H496" s="29"/>
      <c r="I496" s="12"/>
      <c r="J496" s="12"/>
      <c r="K496" s="12"/>
      <c r="L496" s="12"/>
      <c r="M496" s="18" t="str">
        <f t="shared" si="1"/>
        <v>#DIV/0!</v>
      </c>
      <c r="N496" s="18" t="str">
        <f t="shared" si="2"/>
        <v>#DIV/0!</v>
      </c>
      <c r="O496" s="12" t="str">
        <f t="shared" si="4"/>
        <v/>
      </c>
      <c r="P496" s="18" t="str">
        <f t="shared" si="3"/>
        <v>#DIV/0!</v>
      </c>
      <c r="Q496" s="12"/>
    </row>
    <row r="497">
      <c r="A497" s="1" t="s">
        <v>2718</v>
      </c>
      <c r="B497" s="7" t="s">
        <v>2719</v>
      </c>
      <c r="C497" s="2" t="s">
        <v>4433</v>
      </c>
      <c r="D497" s="1" t="s">
        <v>4434</v>
      </c>
      <c r="E497" s="31"/>
      <c r="F497" s="31"/>
      <c r="G497" s="31"/>
      <c r="H497" s="29"/>
      <c r="I497" s="12"/>
      <c r="J497" s="12"/>
      <c r="K497" s="12"/>
      <c r="L497" s="12"/>
      <c r="M497" s="18" t="str">
        <f t="shared" si="1"/>
        <v>#DIV/0!</v>
      </c>
      <c r="N497" s="18" t="str">
        <f t="shared" si="2"/>
        <v>#DIV/0!</v>
      </c>
      <c r="O497" s="12" t="str">
        <f t="shared" si="4"/>
        <v/>
      </c>
      <c r="P497" s="18" t="str">
        <f t="shared" si="3"/>
        <v>#DIV/0!</v>
      </c>
      <c r="Q497" s="12"/>
    </row>
    <row r="498">
      <c r="A498" s="1" t="s">
        <v>2722</v>
      </c>
      <c r="B498" s="7" t="s">
        <v>2723</v>
      </c>
      <c r="C498" s="2" t="s">
        <v>4435</v>
      </c>
      <c r="E498" s="31"/>
      <c r="F498" s="31"/>
      <c r="G498" s="31"/>
      <c r="H498" s="29"/>
      <c r="I498" s="12"/>
      <c r="J498" s="12"/>
      <c r="K498" s="12"/>
      <c r="L498" s="12"/>
      <c r="M498" s="18" t="str">
        <f t="shared" si="1"/>
        <v>#DIV/0!</v>
      </c>
      <c r="N498" s="18" t="str">
        <f t="shared" si="2"/>
        <v>#DIV/0!</v>
      </c>
      <c r="O498" s="12" t="str">
        <f t="shared" si="4"/>
        <v/>
      </c>
      <c r="P498" s="18" t="str">
        <f t="shared" si="3"/>
        <v>#DIV/0!</v>
      </c>
      <c r="Q498" s="12"/>
    </row>
    <row r="499">
      <c r="A499" s="1" t="s">
        <v>2730</v>
      </c>
      <c r="B499" s="7" t="s">
        <v>2731</v>
      </c>
      <c r="C499" s="2" t="s">
        <v>3914</v>
      </c>
      <c r="D499" s="1" t="s">
        <v>4301</v>
      </c>
      <c r="E499" s="31"/>
      <c r="F499" s="31"/>
      <c r="G499" s="31"/>
      <c r="H499" s="29"/>
      <c r="I499" s="12"/>
      <c r="J499" s="12"/>
      <c r="K499" s="12"/>
      <c r="L499" s="12"/>
      <c r="M499" s="18" t="str">
        <f t="shared" si="1"/>
        <v>#DIV/0!</v>
      </c>
      <c r="N499" s="18" t="str">
        <f t="shared" si="2"/>
        <v>#DIV/0!</v>
      </c>
      <c r="O499" s="12" t="str">
        <f t="shared" si="4"/>
        <v/>
      </c>
      <c r="P499" s="18" t="str">
        <f t="shared" si="3"/>
        <v>#DIV/0!</v>
      </c>
      <c r="Q499" s="12"/>
    </row>
    <row r="500">
      <c r="A500" s="1" t="s">
        <v>2734</v>
      </c>
      <c r="B500" s="7" t="s">
        <v>2735</v>
      </c>
      <c r="C500" s="2" t="s">
        <v>4436</v>
      </c>
      <c r="D500" s="1" t="s">
        <v>4437</v>
      </c>
      <c r="E500" s="31"/>
      <c r="F500" s="31"/>
      <c r="G500" s="31"/>
      <c r="H500" s="29"/>
      <c r="I500" s="12"/>
      <c r="J500" s="12"/>
      <c r="K500" s="12"/>
      <c r="L500" s="12"/>
      <c r="M500" s="18" t="str">
        <f t="shared" si="1"/>
        <v>#DIV/0!</v>
      </c>
      <c r="N500" s="18" t="str">
        <f t="shared" si="2"/>
        <v>#DIV/0!</v>
      </c>
      <c r="O500" s="12" t="str">
        <f t="shared" si="4"/>
        <v/>
      </c>
      <c r="P500" s="18" t="str">
        <f t="shared" si="3"/>
        <v>#DIV/0!</v>
      </c>
      <c r="Q500" s="12"/>
    </row>
    <row r="501">
      <c r="A501" s="1" t="s">
        <v>2738</v>
      </c>
      <c r="B501" s="7" t="s">
        <v>2739</v>
      </c>
      <c r="C501" s="2" t="s">
        <v>3251</v>
      </c>
      <c r="E501" s="31"/>
      <c r="F501" s="31"/>
      <c r="G501" s="31"/>
      <c r="H501" s="29"/>
      <c r="I501" s="12"/>
      <c r="J501" s="12"/>
      <c r="K501" s="12"/>
      <c r="L501" s="12"/>
      <c r="M501" s="18" t="str">
        <f t="shared" si="1"/>
        <v>#DIV/0!</v>
      </c>
      <c r="N501" s="18" t="str">
        <f t="shared" si="2"/>
        <v>#DIV/0!</v>
      </c>
      <c r="O501" s="12" t="str">
        <f t="shared" si="4"/>
        <v/>
      </c>
      <c r="P501" s="18" t="str">
        <f t="shared" si="3"/>
        <v>#DIV/0!</v>
      </c>
      <c r="Q501" s="12"/>
    </row>
    <row r="502">
      <c r="A502" s="1" t="s">
        <v>2742</v>
      </c>
      <c r="B502" s="7" t="s">
        <v>2743</v>
      </c>
      <c r="C502" s="2" t="s">
        <v>4438</v>
      </c>
      <c r="E502" s="31"/>
      <c r="F502" s="31"/>
      <c r="G502" s="31"/>
      <c r="H502" s="29"/>
      <c r="I502" s="12"/>
      <c r="J502" s="12"/>
      <c r="K502" s="12"/>
      <c r="L502" s="12"/>
      <c r="M502" s="18" t="str">
        <f t="shared" si="1"/>
        <v>#DIV/0!</v>
      </c>
      <c r="N502" s="18" t="str">
        <f t="shared" si="2"/>
        <v>#DIV/0!</v>
      </c>
      <c r="O502" s="12" t="str">
        <f t="shared" si="4"/>
        <v/>
      </c>
      <c r="P502" s="18" t="str">
        <f t="shared" si="3"/>
        <v>#DIV/0!</v>
      </c>
      <c r="Q502" s="12"/>
    </row>
    <row r="503">
      <c r="A503" s="1" t="s">
        <v>2746</v>
      </c>
      <c r="B503" s="7" t="s">
        <v>2747</v>
      </c>
      <c r="C503" s="2" t="s">
        <v>4439</v>
      </c>
      <c r="D503" s="1" t="s">
        <v>4440</v>
      </c>
      <c r="E503" s="31"/>
      <c r="F503" s="31"/>
      <c r="G503" s="31"/>
      <c r="H503" s="29"/>
      <c r="I503" s="12"/>
      <c r="J503" s="12"/>
      <c r="K503" s="12"/>
      <c r="L503" s="12"/>
      <c r="M503" s="18" t="str">
        <f t="shared" si="1"/>
        <v>#DIV/0!</v>
      </c>
      <c r="N503" s="18" t="str">
        <f t="shared" si="2"/>
        <v>#DIV/0!</v>
      </c>
      <c r="O503" s="12" t="str">
        <f t="shared" si="4"/>
        <v/>
      </c>
      <c r="P503" s="18" t="str">
        <f t="shared" si="3"/>
        <v>#DIV/0!</v>
      </c>
      <c r="Q503" s="12"/>
    </row>
    <row r="504">
      <c r="A504" s="1" t="s">
        <v>2750</v>
      </c>
      <c r="B504" s="7" t="s">
        <v>2751</v>
      </c>
      <c r="C504" s="2" t="s">
        <v>3980</v>
      </c>
      <c r="D504" s="1" t="s">
        <v>3981</v>
      </c>
      <c r="E504" s="31"/>
      <c r="F504" s="31"/>
      <c r="G504" s="31"/>
      <c r="H504" s="29"/>
      <c r="I504" s="12"/>
      <c r="J504" s="12"/>
      <c r="K504" s="12"/>
      <c r="L504" s="12"/>
      <c r="M504" s="18" t="str">
        <f t="shared" si="1"/>
        <v>#DIV/0!</v>
      </c>
      <c r="N504" s="18" t="str">
        <f t="shared" si="2"/>
        <v>#DIV/0!</v>
      </c>
      <c r="O504" s="12" t="str">
        <f t="shared" si="4"/>
        <v/>
      </c>
      <c r="P504" s="18" t="str">
        <f t="shared" si="3"/>
        <v>#DIV/0!</v>
      </c>
      <c r="Q504" s="12"/>
    </row>
    <row r="505">
      <c r="A505" s="1" t="s">
        <v>2752</v>
      </c>
      <c r="B505" s="7" t="s">
        <v>2753</v>
      </c>
      <c r="C505" s="2" t="s">
        <v>3980</v>
      </c>
      <c r="D505" s="1" t="s">
        <v>3981</v>
      </c>
      <c r="E505" s="31"/>
      <c r="F505" s="31"/>
      <c r="G505" s="31"/>
      <c r="H505" s="29"/>
      <c r="I505" s="12"/>
      <c r="J505" s="12"/>
      <c r="K505" s="12"/>
      <c r="L505" s="12"/>
      <c r="M505" s="18" t="str">
        <f t="shared" si="1"/>
        <v>#DIV/0!</v>
      </c>
      <c r="N505" s="18" t="str">
        <f t="shared" si="2"/>
        <v>#DIV/0!</v>
      </c>
      <c r="O505" s="12" t="str">
        <f t="shared" si="4"/>
        <v/>
      </c>
      <c r="P505" s="18" t="str">
        <f t="shared" si="3"/>
        <v>#DIV/0!</v>
      </c>
      <c r="Q505" s="12"/>
    </row>
    <row r="506">
      <c r="A506" s="1" t="s">
        <v>2756</v>
      </c>
      <c r="B506" s="7" t="s">
        <v>2757</v>
      </c>
      <c r="C506" s="2" t="s">
        <v>4441</v>
      </c>
      <c r="D506" s="1" t="s">
        <v>4442</v>
      </c>
      <c r="E506" s="31"/>
      <c r="F506" s="31"/>
      <c r="G506" s="31"/>
      <c r="H506" s="29"/>
      <c r="I506" s="12"/>
      <c r="J506" s="12"/>
      <c r="K506" s="12"/>
      <c r="L506" s="12"/>
      <c r="M506" s="18" t="str">
        <f t="shared" si="1"/>
        <v>#DIV/0!</v>
      </c>
      <c r="N506" s="18" t="str">
        <f t="shared" si="2"/>
        <v>#DIV/0!</v>
      </c>
      <c r="O506" s="12" t="str">
        <f t="shared" si="4"/>
        <v/>
      </c>
      <c r="P506" s="18" t="str">
        <f t="shared" si="3"/>
        <v>#DIV/0!</v>
      </c>
      <c r="Q506" s="12"/>
    </row>
    <row r="507">
      <c r="A507" s="1" t="s">
        <v>2760</v>
      </c>
      <c r="B507" s="7" t="s">
        <v>2761</v>
      </c>
      <c r="C507" s="2" t="s">
        <v>4443</v>
      </c>
      <c r="D507" s="1" t="s">
        <v>4444</v>
      </c>
      <c r="E507" s="31"/>
      <c r="F507" s="31"/>
      <c r="G507" s="31"/>
      <c r="H507" s="29"/>
      <c r="I507" s="12"/>
      <c r="J507" s="12"/>
      <c r="K507" s="12"/>
      <c r="L507" s="12"/>
      <c r="M507" s="18" t="str">
        <f t="shared" si="1"/>
        <v>#DIV/0!</v>
      </c>
      <c r="N507" s="18" t="str">
        <f t="shared" si="2"/>
        <v>#DIV/0!</v>
      </c>
      <c r="O507" s="12" t="str">
        <f t="shared" si="4"/>
        <v/>
      </c>
      <c r="P507" s="18" t="str">
        <f t="shared" si="3"/>
        <v>#DIV/0!</v>
      </c>
      <c r="Q507" s="12"/>
    </row>
    <row r="508">
      <c r="A508" s="1" t="s">
        <v>2765</v>
      </c>
      <c r="B508" s="7" t="s">
        <v>2766</v>
      </c>
      <c r="C508" s="2" t="s">
        <v>4445</v>
      </c>
      <c r="D508" s="1" t="s">
        <v>4446</v>
      </c>
      <c r="E508" s="31"/>
      <c r="F508" s="31"/>
      <c r="G508" s="31"/>
      <c r="H508" s="29"/>
      <c r="I508" s="12"/>
      <c r="J508" s="12"/>
      <c r="K508" s="12"/>
      <c r="L508" s="12"/>
      <c r="M508" s="18" t="str">
        <f t="shared" si="1"/>
        <v>#DIV/0!</v>
      </c>
      <c r="N508" s="18" t="str">
        <f t="shared" si="2"/>
        <v>#DIV/0!</v>
      </c>
      <c r="O508" s="12" t="str">
        <f t="shared" si="4"/>
        <v/>
      </c>
      <c r="P508" s="18" t="str">
        <f t="shared" si="3"/>
        <v>#DIV/0!</v>
      </c>
      <c r="Q508" s="12"/>
    </row>
    <row r="509">
      <c r="A509" s="1" t="s">
        <v>2769</v>
      </c>
      <c r="B509" s="7" t="s">
        <v>2770</v>
      </c>
      <c r="C509" s="2" t="s">
        <v>4447</v>
      </c>
      <c r="D509" s="1" t="s">
        <v>4448</v>
      </c>
      <c r="E509" s="31"/>
      <c r="F509" s="31"/>
      <c r="G509" s="31"/>
      <c r="H509" s="29"/>
      <c r="I509" s="12"/>
      <c r="J509" s="12"/>
      <c r="K509" s="12"/>
      <c r="L509" s="12"/>
      <c r="M509" s="18" t="str">
        <f t="shared" si="1"/>
        <v>#DIV/0!</v>
      </c>
      <c r="N509" s="18" t="str">
        <f t="shared" si="2"/>
        <v>#DIV/0!</v>
      </c>
      <c r="O509" s="12" t="str">
        <f t="shared" si="4"/>
        <v/>
      </c>
      <c r="P509" s="18" t="str">
        <f t="shared" si="3"/>
        <v>#DIV/0!</v>
      </c>
      <c r="Q509" s="12"/>
    </row>
    <row r="510">
      <c r="A510" s="1" t="s">
        <v>2773</v>
      </c>
      <c r="B510" s="7" t="s">
        <v>2774</v>
      </c>
      <c r="C510" s="2" t="s">
        <v>4449</v>
      </c>
      <c r="D510" s="1" t="s">
        <v>4444</v>
      </c>
      <c r="E510" s="31"/>
      <c r="F510" s="31"/>
      <c r="G510" s="31"/>
      <c r="H510" s="29"/>
      <c r="I510" s="12"/>
      <c r="J510" s="12"/>
      <c r="K510" s="12"/>
      <c r="L510" s="12"/>
      <c r="M510" s="18" t="str">
        <f t="shared" si="1"/>
        <v>#DIV/0!</v>
      </c>
      <c r="N510" s="18" t="str">
        <f t="shared" si="2"/>
        <v>#DIV/0!</v>
      </c>
      <c r="O510" s="12" t="str">
        <f t="shared" si="4"/>
        <v/>
      </c>
      <c r="P510" s="18" t="str">
        <f t="shared" si="3"/>
        <v>#DIV/0!</v>
      </c>
      <c r="Q510" s="12"/>
    </row>
    <row r="511">
      <c r="A511" s="1" t="s">
        <v>2777</v>
      </c>
      <c r="B511" s="7" t="s">
        <v>2778</v>
      </c>
      <c r="C511" s="2" t="s">
        <v>4450</v>
      </c>
      <c r="D511" s="1" t="s">
        <v>4451</v>
      </c>
      <c r="E511" s="31"/>
      <c r="F511" s="31"/>
      <c r="G511" s="31"/>
      <c r="H511" s="29"/>
      <c r="I511" s="12"/>
      <c r="J511" s="12"/>
      <c r="K511" s="12"/>
      <c r="L511" s="12"/>
      <c r="M511" s="18" t="str">
        <f t="shared" si="1"/>
        <v>#DIV/0!</v>
      </c>
      <c r="N511" s="18" t="str">
        <f t="shared" si="2"/>
        <v>#DIV/0!</v>
      </c>
      <c r="O511" s="12" t="str">
        <f t="shared" si="4"/>
        <v/>
      </c>
      <c r="P511" s="18" t="str">
        <f t="shared" si="3"/>
        <v>#DIV/0!</v>
      </c>
      <c r="Q511" s="12"/>
    </row>
    <row r="512">
      <c r="A512" s="1" t="s">
        <v>2781</v>
      </c>
      <c r="B512" s="7" t="s">
        <v>2782</v>
      </c>
      <c r="C512" s="2" t="s">
        <v>4452</v>
      </c>
      <c r="E512" s="31"/>
      <c r="F512" s="31"/>
      <c r="G512" s="31"/>
      <c r="H512" s="29"/>
      <c r="I512" s="12"/>
      <c r="J512" s="12"/>
      <c r="K512" s="12"/>
      <c r="L512" s="12"/>
      <c r="M512" s="18" t="str">
        <f t="shared" si="1"/>
        <v>#DIV/0!</v>
      </c>
      <c r="N512" s="18" t="str">
        <f t="shared" si="2"/>
        <v>#DIV/0!</v>
      </c>
      <c r="O512" s="12" t="str">
        <f t="shared" si="4"/>
        <v/>
      </c>
      <c r="P512" s="18" t="str">
        <f t="shared" si="3"/>
        <v>#DIV/0!</v>
      </c>
      <c r="Q512" s="12"/>
    </row>
    <row r="513">
      <c r="A513" s="1" t="s">
        <v>2785</v>
      </c>
      <c r="B513" s="7" t="s">
        <v>2786</v>
      </c>
      <c r="C513" s="2" t="s">
        <v>4190</v>
      </c>
      <c r="D513" s="7" t="s">
        <v>4191</v>
      </c>
      <c r="E513" s="31"/>
      <c r="F513" s="31"/>
      <c r="G513" s="31"/>
      <c r="H513" s="29"/>
      <c r="I513" s="12"/>
      <c r="J513" s="12"/>
      <c r="K513" s="12"/>
      <c r="L513" s="12"/>
      <c r="M513" s="18" t="str">
        <f t="shared" si="1"/>
        <v>#DIV/0!</v>
      </c>
      <c r="N513" s="18" t="str">
        <f t="shared" si="2"/>
        <v>#DIV/0!</v>
      </c>
      <c r="O513" s="12" t="str">
        <f t="shared" si="4"/>
        <v/>
      </c>
      <c r="P513" s="18" t="str">
        <f t="shared" si="3"/>
        <v>#DIV/0!</v>
      </c>
      <c r="Q513" s="12"/>
    </row>
    <row r="514">
      <c r="A514" s="1" t="s">
        <v>2788</v>
      </c>
      <c r="B514" s="7" t="s">
        <v>2789</v>
      </c>
      <c r="C514" s="2" t="s">
        <v>4453</v>
      </c>
      <c r="D514" s="1" t="s">
        <v>4454</v>
      </c>
      <c r="E514" s="31"/>
      <c r="F514" s="31"/>
      <c r="G514" s="31"/>
      <c r="H514" s="29"/>
      <c r="I514" s="12"/>
      <c r="J514" s="12"/>
      <c r="K514" s="12"/>
      <c r="L514" s="12"/>
      <c r="M514" s="18" t="str">
        <f t="shared" si="1"/>
        <v>#DIV/0!</v>
      </c>
      <c r="N514" s="18" t="str">
        <f t="shared" si="2"/>
        <v>#DIV/0!</v>
      </c>
      <c r="O514" s="12" t="str">
        <f t="shared" si="4"/>
        <v/>
      </c>
      <c r="P514" s="18" t="str">
        <f t="shared" si="3"/>
        <v>#DIV/0!</v>
      </c>
      <c r="Q514" s="12"/>
    </row>
    <row r="515">
      <c r="A515" s="1" t="s">
        <v>2792</v>
      </c>
      <c r="B515" s="7" t="s">
        <v>2793</v>
      </c>
      <c r="C515" s="2" t="s">
        <v>4455</v>
      </c>
      <c r="D515" s="1" t="s">
        <v>4456</v>
      </c>
      <c r="E515" s="31"/>
      <c r="F515" s="31"/>
      <c r="G515" s="31"/>
      <c r="H515" s="29"/>
      <c r="I515" s="12"/>
      <c r="J515" s="12"/>
      <c r="K515" s="12"/>
      <c r="L515" s="12"/>
      <c r="M515" s="18" t="str">
        <f t="shared" si="1"/>
        <v>#DIV/0!</v>
      </c>
      <c r="N515" s="18" t="str">
        <f t="shared" si="2"/>
        <v>#DIV/0!</v>
      </c>
      <c r="O515" s="12" t="str">
        <f t="shared" si="4"/>
        <v/>
      </c>
      <c r="P515" s="18" t="str">
        <f t="shared" si="3"/>
        <v>#DIV/0!</v>
      </c>
      <c r="Q515" s="12"/>
    </row>
    <row r="516">
      <c r="A516" s="1" t="s">
        <v>2798</v>
      </c>
      <c r="B516" s="7" t="s">
        <v>2799</v>
      </c>
      <c r="C516" s="2" t="s">
        <v>4457</v>
      </c>
      <c r="D516" s="7" t="s">
        <v>4458</v>
      </c>
      <c r="E516" s="31"/>
      <c r="F516" s="31"/>
      <c r="G516" s="31"/>
      <c r="H516" s="29"/>
      <c r="I516" s="12"/>
      <c r="J516" s="12"/>
      <c r="K516" s="12"/>
      <c r="L516" s="12"/>
      <c r="M516" s="18" t="str">
        <f t="shared" si="1"/>
        <v>#DIV/0!</v>
      </c>
      <c r="N516" s="18" t="str">
        <f t="shared" si="2"/>
        <v>#DIV/0!</v>
      </c>
      <c r="O516" s="12" t="str">
        <f t="shared" si="4"/>
        <v/>
      </c>
      <c r="P516" s="18" t="str">
        <f t="shared" si="3"/>
        <v>#DIV/0!</v>
      </c>
      <c r="Q516" s="12"/>
    </row>
    <row r="517">
      <c r="A517" s="1" t="s">
        <v>2802</v>
      </c>
      <c r="B517" s="7" t="s">
        <v>2803</v>
      </c>
      <c r="C517" s="2" t="s">
        <v>4459</v>
      </c>
      <c r="D517" s="1" t="s">
        <v>4460</v>
      </c>
      <c r="E517" s="31"/>
      <c r="F517" s="31"/>
      <c r="G517" s="31"/>
      <c r="H517" s="29"/>
      <c r="I517" s="12"/>
      <c r="J517" s="12"/>
      <c r="K517" s="12"/>
      <c r="L517" s="12"/>
      <c r="M517" s="18" t="str">
        <f t="shared" si="1"/>
        <v>#DIV/0!</v>
      </c>
      <c r="N517" s="18" t="str">
        <f t="shared" si="2"/>
        <v>#DIV/0!</v>
      </c>
      <c r="O517" s="12" t="str">
        <f t="shared" si="4"/>
        <v/>
      </c>
      <c r="P517" s="18" t="str">
        <f t="shared" si="3"/>
        <v>#DIV/0!</v>
      </c>
      <c r="Q517" s="12"/>
    </row>
    <row r="518">
      <c r="A518" s="1" t="s">
        <v>2805</v>
      </c>
      <c r="B518" s="7" t="s">
        <v>2806</v>
      </c>
      <c r="C518" s="2" t="s">
        <v>4461</v>
      </c>
      <c r="D518" s="1" t="s">
        <v>4462</v>
      </c>
      <c r="E518" s="31"/>
      <c r="F518" s="31"/>
      <c r="G518" s="31"/>
      <c r="H518" s="29"/>
      <c r="I518" s="12"/>
      <c r="J518" s="12"/>
      <c r="K518" s="12"/>
      <c r="L518" s="12"/>
      <c r="M518" s="18" t="str">
        <f t="shared" si="1"/>
        <v>#DIV/0!</v>
      </c>
      <c r="N518" s="18" t="str">
        <f t="shared" si="2"/>
        <v>#DIV/0!</v>
      </c>
      <c r="O518" s="12" t="str">
        <f t="shared" si="4"/>
        <v/>
      </c>
      <c r="P518" s="18" t="str">
        <f t="shared" si="3"/>
        <v>#DIV/0!</v>
      </c>
      <c r="Q518" s="12"/>
    </row>
    <row r="519">
      <c r="A519" s="1" t="s">
        <v>2808</v>
      </c>
      <c r="B519" s="7" t="s">
        <v>2809</v>
      </c>
      <c r="C519" s="2" t="s">
        <v>3982</v>
      </c>
      <c r="D519" s="7" t="s">
        <v>3983</v>
      </c>
      <c r="E519" s="31"/>
      <c r="F519" s="31"/>
      <c r="G519" s="31"/>
      <c r="H519" s="29"/>
      <c r="I519" s="12"/>
      <c r="J519" s="12"/>
      <c r="K519" s="12"/>
      <c r="L519" s="12"/>
      <c r="M519" s="18" t="str">
        <f t="shared" si="1"/>
        <v>#DIV/0!</v>
      </c>
      <c r="N519" s="18" t="str">
        <f t="shared" si="2"/>
        <v>#DIV/0!</v>
      </c>
      <c r="O519" s="12" t="str">
        <f t="shared" si="4"/>
        <v/>
      </c>
      <c r="P519" s="18" t="str">
        <f t="shared" si="3"/>
        <v>#DIV/0!</v>
      </c>
      <c r="Q519" s="12"/>
    </row>
    <row r="520">
      <c r="A520" s="1" t="s">
        <v>2811</v>
      </c>
      <c r="B520" s="7" t="s">
        <v>2812</v>
      </c>
      <c r="C520" s="2" t="s">
        <v>4463</v>
      </c>
      <c r="D520" s="7" t="s">
        <v>4464</v>
      </c>
      <c r="E520" s="31"/>
      <c r="F520" s="31"/>
      <c r="G520" s="31"/>
      <c r="H520" s="29"/>
      <c r="I520" s="12"/>
      <c r="J520" s="12"/>
      <c r="K520" s="12"/>
      <c r="L520" s="12"/>
      <c r="M520" s="18" t="str">
        <f t="shared" si="1"/>
        <v>#DIV/0!</v>
      </c>
      <c r="N520" s="18" t="str">
        <f t="shared" si="2"/>
        <v>#DIV/0!</v>
      </c>
      <c r="O520" s="12" t="str">
        <f t="shared" si="4"/>
        <v/>
      </c>
      <c r="P520" s="18" t="str">
        <f t="shared" si="3"/>
        <v>#DIV/0!</v>
      </c>
      <c r="Q520" s="12"/>
    </row>
    <row r="521">
      <c r="A521" s="1" t="s">
        <v>2819</v>
      </c>
      <c r="B521" s="7" t="s">
        <v>2820</v>
      </c>
      <c r="C521" s="2" t="s">
        <v>4465</v>
      </c>
      <c r="D521" s="7" t="s">
        <v>4466</v>
      </c>
      <c r="E521" s="31"/>
      <c r="F521" s="31"/>
      <c r="G521" s="31"/>
      <c r="H521" s="29"/>
      <c r="I521" s="12"/>
      <c r="J521" s="12"/>
      <c r="K521" s="12"/>
      <c r="L521" s="12"/>
      <c r="M521" s="18" t="str">
        <f t="shared" si="1"/>
        <v>#DIV/0!</v>
      </c>
      <c r="N521" s="18" t="str">
        <f t="shared" si="2"/>
        <v>#DIV/0!</v>
      </c>
      <c r="O521" s="12" t="str">
        <f t="shared" si="4"/>
        <v/>
      </c>
      <c r="P521" s="18" t="str">
        <f t="shared" si="3"/>
        <v>#DIV/0!</v>
      </c>
      <c r="Q521" s="12"/>
    </row>
    <row r="522">
      <c r="A522" s="1" t="s">
        <v>2827</v>
      </c>
      <c r="B522" s="7" t="s">
        <v>2828</v>
      </c>
      <c r="C522" s="2" t="s">
        <v>4467</v>
      </c>
      <c r="D522" s="7" t="s">
        <v>4468</v>
      </c>
      <c r="E522" s="31"/>
      <c r="F522" s="31"/>
      <c r="G522" s="31"/>
      <c r="H522" s="29"/>
      <c r="I522" s="12"/>
      <c r="J522" s="12"/>
      <c r="K522" s="12"/>
      <c r="L522" s="12"/>
      <c r="M522" s="18" t="str">
        <f t="shared" si="1"/>
        <v>#DIV/0!</v>
      </c>
      <c r="N522" s="18" t="str">
        <f t="shared" si="2"/>
        <v>#DIV/0!</v>
      </c>
      <c r="O522" s="12" t="str">
        <f t="shared" si="4"/>
        <v/>
      </c>
      <c r="P522" s="18" t="str">
        <f t="shared" si="3"/>
        <v>#DIV/0!</v>
      </c>
      <c r="Q522" s="12"/>
    </row>
    <row r="523">
      <c r="A523" s="1" t="s">
        <v>2834</v>
      </c>
      <c r="B523" s="7" t="s">
        <v>2835</v>
      </c>
      <c r="C523" s="2" t="s">
        <v>4469</v>
      </c>
      <c r="D523" s="1" t="s">
        <v>4470</v>
      </c>
      <c r="E523" s="31"/>
      <c r="F523" s="31"/>
      <c r="G523" s="31"/>
      <c r="H523" s="29"/>
      <c r="I523" s="12"/>
      <c r="J523" s="12"/>
      <c r="K523" s="12"/>
      <c r="L523" s="12"/>
      <c r="M523" s="18" t="str">
        <f t="shared" si="1"/>
        <v>#DIV/0!</v>
      </c>
      <c r="N523" s="18" t="str">
        <f t="shared" si="2"/>
        <v>#DIV/0!</v>
      </c>
      <c r="O523" s="12" t="str">
        <f t="shared" si="4"/>
        <v/>
      </c>
      <c r="P523" s="18" t="str">
        <f t="shared" si="3"/>
        <v>#DIV/0!</v>
      </c>
      <c r="Q523" s="12"/>
    </row>
    <row r="524">
      <c r="A524" s="1" t="s">
        <v>2838</v>
      </c>
      <c r="B524" s="7" t="s">
        <v>2839</v>
      </c>
      <c r="C524" s="2" t="s">
        <v>3905</v>
      </c>
      <c r="D524" s="7" t="s">
        <v>3906</v>
      </c>
      <c r="E524" s="31"/>
      <c r="F524" s="31"/>
      <c r="G524" s="31"/>
      <c r="H524" s="29"/>
      <c r="I524" s="12"/>
      <c r="J524" s="12"/>
      <c r="K524" s="12"/>
      <c r="L524" s="12"/>
      <c r="M524" s="18" t="str">
        <f t="shared" si="1"/>
        <v>#DIV/0!</v>
      </c>
      <c r="N524" s="18" t="str">
        <f t="shared" si="2"/>
        <v>#DIV/0!</v>
      </c>
      <c r="O524" s="12" t="str">
        <f t="shared" si="4"/>
        <v/>
      </c>
      <c r="P524" s="18" t="str">
        <f t="shared" si="3"/>
        <v>#DIV/0!</v>
      </c>
      <c r="Q524" s="12"/>
    </row>
    <row r="525">
      <c r="A525" s="1" t="s">
        <v>2842</v>
      </c>
      <c r="B525" s="7" t="s">
        <v>2843</v>
      </c>
      <c r="C525" s="2" t="s">
        <v>4471</v>
      </c>
      <c r="E525" s="31"/>
      <c r="F525" s="31"/>
      <c r="G525" s="31"/>
      <c r="H525" s="29"/>
      <c r="I525" s="12"/>
      <c r="J525" s="12"/>
      <c r="K525" s="12"/>
      <c r="L525" s="12"/>
      <c r="M525" s="18" t="str">
        <f t="shared" si="1"/>
        <v>#DIV/0!</v>
      </c>
      <c r="N525" s="18" t="str">
        <f t="shared" si="2"/>
        <v>#DIV/0!</v>
      </c>
      <c r="O525" s="12" t="str">
        <f t="shared" si="4"/>
        <v/>
      </c>
      <c r="P525" s="18" t="str">
        <f t="shared" si="3"/>
        <v>#DIV/0!</v>
      </c>
      <c r="Q525" s="12"/>
    </row>
    <row r="526">
      <c r="A526" s="1" t="s">
        <v>2846</v>
      </c>
      <c r="B526" s="7" t="s">
        <v>2847</v>
      </c>
      <c r="C526" s="2" t="s">
        <v>4472</v>
      </c>
      <c r="D526" s="1" t="s">
        <v>4473</v>
      </c>
      <c r="E526" s="31"/>
      <c r="F526" s="31"/>
      <c r="G526" s="31"/>
      <c r="H526" s="29"/>
      <c r="I526" s="12"/>
      <c r="J526" s="12"/>
      <c r="K526" s="12"/>
      <c r="L526" s="12"/>
      <c r="M526" s="18" t="str">
        <f t="shared" si="1"/>
        <v>#DIV/0!</v>
      </c>
      <c r="N526" s="18" t="str">
        <f t="shared" si="2"/>
        <v>#DIV/0!</v>
      </c>
      <c r="O526" s="12" t="str">
        <f t="shared" si="4"/>
        <v/>
      </c>
      <c r="P526" s="18" t="str">
        <f t="shared" si="3"/>
        <v>#DIV/0!</v>
      </c>
      <c r="Q526" s="12"/>
    </row>
    <row r="527">
      <c r="A527" s="1" t="s">
        <v>2850</v>
      </c>
      <c r="B527" s="7" t="s">
        <v>2851</v>
      </c>
      <c r="C527" s="2" t="s">
        <v>4474</v>
      </c>
      <c r="D527" s="1" t="s">
        <v>4429</v>
      </c>
      <c r="E527" s="31"/>
      <c r="F527" s="31"/>
      <c r="G527" s="31"/>
      <c r="H527" s="29"/>
      <c r="I527" s="12"/>
      <c r="J527" s="12"/>
      <c r="K527" s="12"/>
      <c r="L527" s="12"/>
      <c r="M527" s="18" t="str">
        <f t="shared" si="1"/>
        <v>#DIV/0!</v>
      </c>
      <c r="N527" s="18" t="str">
        <f t="shared" si="2"/>
        <v>#DIV/0!</v>
      </c>
      <c r="O527" s="12" t="str">
        <f t="shared" si="4"/>
        <v/>
      </c>
      <c r="P527" s="18" t="str">
        <f t="shared" si="3"/>
        <v>#DIV/0!</v>
      </c>
      <c r="Q527" s="12"/>
    </row>
    <row r="528">
      <c r="A528" s="1" t="s">
        <v>2854</v>
      </c>
      <c r="B528" s="7" t="s">
        <v>2855</v>
      </c>
      <c r="C528" s="2" t="s">
        <v>4475</v>
      </c>
      <c r="D528" s="1" t="s">
        <v>4476</v>
      </c>
      <c r="E528" s="31"/>
      <c r="F528" s="31"/>
      <c r="G528" s="31"/>
      <c r="H528" s="29"/>
      <c r="I528" s="12"/>
      <c r="J528" s="12"/>
      <c r="K528" s="12"/>
      <c r="L528" s="12"/>
      <c r="M528" s="18" t="str">
        <f t="shared" si="1"/>
        <v>#DIV/0!</v>
      </c>
      <c r="N528" s="18" t="str">
        <f t="shared" si="2"/>
        <v>#DIV/0!</v>
      </c>
      <c r="O528" s="12" t="str">
        <f t="shared" si="4"/>
        <v/>
      </c>
      <c r="P528" s="18" t="str">
        <f t="shared" si="3"/>
        <v>#DIV/0!</v>
      </c>
      <c r="Q528" s="12"/>
    </row>
    <row r="529">
      <c r="A529" s="1" t="s">
        <v>2858</v>
      </c>
      <c r="B529" s="7" t="s">
        <v>2859</v>
      </c>
      <c r="C529" s="2" t="s">
        <v>3838</v>
      </c>
      <c r="D529" s="7" t="s">
        <v>3839</v>
      </c>
      <c r="E529" s="31"/>
      <c r="F529" s="31"/>
      <c r="G529" s="31"/>
      <c r="H529" s="29"/>
      <c r="I529" s="12"/>
      <c r="J529" s="12"/>
      <c r="K529" s="12"/>
      <c r="L529" s="12"/>
      <c r="M529" s="18" t="str">
        <f t="shared" si="1"/>
        <v>#DIV/0!</v>
      </c>
      <c r="N529" s="18" t="str">
        <f t="shared" si="2"/>
        <v>#DIV/0!</v>
      </c>
      <c r="O529" s="12" t="str">
        <f t="shared" si="4"/>
        <v/>
      </c>
      <c r="P529" s="18" t="str">
        <f t="shared" si="3"/>
        <v>#DIV/0!</v>
      </c>
      <c r="Q529" s="12"/>
    </row>
    <row r="530">
      <c r="A530" s="1" t="s">
        <v>2860</v>
      </c>
      <c r="B530" s="7" t="s">
        <v>2861</v>
      </c>
      <c r="C530" s="2" t="s">
        <v>4477</v>
      </c>
      <c r="D530" s="1" t="s">
        <v>4478</v>
      </c>
      <c r="E530" s="31"/>
      <c r="F530" s="31"/>
      <c r="G530" s="31"/>
      <c r="H530" s="29"/>
      <c r="I530" s="12"/>
      <c r="J530" s="12"/>
      <c r="K530" s="12"/>
      <c r="L530" s="12"/>
      <c r="M530" s="18" t="str">
        <f t="shared" si="1"/>
        <v>#DIV/0!</v>
      </c>
      <c r="N530" s="18" t="str">
        <f t="shared" si="2"/>
        <v>#DIV/0!</v>
      </c>
      <c r="O530" s="12" t="str">
        <f t="shared" si="4"/>
        <v/>
      </c>
      <c r="P530" s="18" t="str">
        <f t="shared" si="3"/>
        <v>#DIV/0!</v>
      </c>
      <c r="Q530" s="12"/>
    </row>
    <row r="531">
      <c r="A531" s="1" t="s">
        <v>2872</v>
      </c>
      <c r="B531" s="7" t="s">
        <v>2873</v>
      </c>
      <c r="C531" s="2" t="s">
        <v>4479</v>
      </c>
      <c r="D531" s="7" t="s">
        <v>4480</v>
      </c>
      <c r="E531" s="31"/>
      <c r="F531" s="31"/>
      <c r="G531" s="31"/>
      <c r="H531" s="29"/>
      <c r="I531" s="12"/>
      <c r="J531" s="12"/>
      <c r="K531" s="12"/>
      <c r="L531" s="12"/>
      <c r="M531" s="18" t="str">
        <f t="shared" si="1"/>
        <v>#DIV/0!</v>
      </c>
      <c r="N531" s="18" t="str">
        <f t="shared" si="2"/>
        <v>#DIV/0!</v>
      </c>
      <c r="O531" s="12" t="str">
        <f t="shared" si="4"/>
        <v/>
      </c>
      <c r="P531" s="18" t="str">
        <f t="shared" si="3"/>
        <v>#DIV/0!</v>
      </c>
      <c r="Q531" s="12"/>
    </row>
    <row r="532">
      <c r="A532" s="1" t="s">
        <v>2876</v>
      </c>
      <c r="B532" s="7" t="s">
        <v>2877</v>
      </c>
      <c r="C532" s="2" t="s">
        <v>3838</v>
      </c>
      <c r="D532" s="7" t="s">
        <v>3839</v>
      </c>
      <c r="E532" s="31"/>
      <c r="F532" s="31"/>
      <c r="G532" s="31"/>
      <c r="H532" s="29"/>
      <c r="I532" s="12"/>
      <c r="J532" s="12"/>
      <c r="K532" s="12"/>
      <c r="L532" s="12"/>
      <c r="M532" s="18" t="str">
        <f t="shared" si="1"/>
        <v>#DIV/0!</v>
      </c>
      <c r="N532" s="18" t="str">
        <f t="shared" si="2"/>
        <v>#DIV/0!</v>
      </c>
      <c r="O532" s="12" t="str">
        <f t="shared" si="4"/>
        <v/>
      </c>
      <c r="P532" s="18" t="str">
        <f t="shared" si="3"/>
        <v>#DIV/0!</v>
      </c>
      <c r="Q532" s="12"/>
    </row>
    <row r="533">
      <c r="A533" s="1" t="s">
        <v>2878</v>
      </c>
      <c r="B533" s="7" t="s">
        <v>2879</v>
      </c>
      <c r="C533" s="2" t="s">
        <v>3838</v>
      </c>
      <c r="D533" s="7" t="s">
        <v>3839</v>
      </c>
      <c r="E533" s="31"/>
      <c r="F533" s="31"/>
      <c r="G533" s="31"/>
      <c r="H533" s="29"/>
      <c r="I533" s="12"/>
      <c r="J533" s="12"/>
      <c r="K533" s="12"/>
      <c r="L533" s="12"/>
      <c r="M533" s="18" t="str">
        <f t="shared" si="1"/>
        <v>#DIV/0!</v>
      </c>
      <c r="N533" s="18" t="str">
        <f t="shared" si="2"/>
        <v>#DIV/0!</v>
      </c>
      <c r="O533" s="12" t="str">
        <f t="shared" si="4"/>
        <v/>
      </c>
      <c r="P533" s="18" t="str">
        <f t="shared" si="3"/>
        <v>#DIV/0!</v>
      </c>
      <c r="Q533" s="12"/>
    </row>
    <row r="534">
      <c r="A534" s="1" t="s">
        <v>2880</v>
      </c>
      <c r="B534" s="7" t="s">
        <v>2881</v>
      </c>
      <c r="C534" s="2" t="s">
        <v>3959</v>
      </c>
      <c r="D534" s="7" t="s">
        <v>3960</v>
      </c>
      <c r="E534" s="31"/>
      <c r="F534" s="31"/>
      <c r="G534" s="31"/>
      <c r="H534" s="29"/>
      <c r="I534" s="12"/>
      <c r="J534" s="12"/>
      <c r="K534" s="12"/>
      <c r="L534" s="12"/>
      <c r="M534" s="18" t="str">
        <f t="shared" si="1"/>
        <v>#DIV/0!</v>
      </c>
      <c r="N534" s="18" t="str">
        <f t="shared" si="2"/>
        <v>#DIV/0!</v>
      </c>
      <c r="O534" s="12" t="str">
        <f t="shared" si="4"/>
        <v/>
      </c>
      <c r="P534" s="18" t="str">
        <f t="shared" si="3"/>
        <v>#DIV/0!</v>
      </c>
      <c r="Q534" s="12"/>
    </row>
    <row r="535">
      <c r="A535" s="1" t="s">
        <v>2882</v>
      </c>
      <c r="B535" s="7" t="s">
        <v>2883</v>
      </c>
      <c r="C535" s="2" t="s">
        <v>4481</v>
      </c>
      <c r="E535" s="31"/>
      <c r="F535" s="31"/>
      <c r="G535" s="31"/>
      <c r="H535" s="29"/>
      <c r="I535" s="12"/>
      <c r="J535" s="12"/>
      <c r="K535" s="12"/>
      <c r="L535" s="12"/>
      <c r="M535" s="18" t="str">
        <f t="shared" si="1"/>
        <v>#DIV/0!</v>
      </c>
      <c r="N535" s="18" t="str">
        <f t="shared" si="2"/>
        <v>#DIV/0!</v>
      </c>
      <c r="O535" s="12" t="str">
        <f t="shared" si="4"/>
        <v/>
      </c>
      <c r="P535" s="18" t="str">
        <f t="shared" si="3"/>
        <v>#DIV/0!</v>
      </c>
      <c r="Q535" s="12"/>
    </row>
    <row r="536">
      <c r="A536" s="1" t="s">
        <v>2886</v>
      </c>
      <c r="B536" s="7" t="s">
        <v>2887</v>
      </c>
      <c r="C536" s="2" t="s">
        <v>4482</v>
      </c>
      <c r="D536" s="1" t="s">
        <v>4483</v>
      </c>
      <c r="E536" s="31"/>
      <c r="F536" s="31"/>
      <c r="G536" s="31"/>
      <c r="H536" s="29"/>
      <c r="I536" s="12"/>
      <c r="J536" s="12"/>
      <c r="K536" s="12"/>
      <c r="L536" s="12"/>
      <c r="M536" s="18" t="str">
        <f t="shared" si="1"/>
        <v>#DIV/0!</v>
      </c>
      <c r="N536" s="18" t="str">
        <f t="shared" si="2"/>
        <v>#DIV/0!</v>
      </c>
      <c r="O536" s="12" t="str">
        <f t="shared" si="4"/>
        <v/>
      </c>
      <c r="P536" s="18" t="str">
        <f t="shared" si="3"/>
        <v>#DIV/0!</v>
      </c>
      <c r="Q536" s="12"/>
    </row>
    <row r="537">
      <c r="A537" s="1" t="s">
        <v>2890</v>
      </c>
      <c r="B537" s="7" t="s">
        <v>2891</v>
      </c>
      <c r="C537" s="2" t="s">
        <v>4484</v>
      </c>
      <c r="D537" s="1" t="s">
        <v>4485</v>
      </c>
      <c r="E537" s="31"/>
      <c r="F537" s="31"/>
      <c r="G537" s="31"/>
      <c r="H537" s="29"/>
      <c r="I537" s="12"/>
      <c r="J537" s="12"/>
      <c r="K537" s="12"/>
      <c r="L537" s="12"/>
      <c r="M537" s="18" t="str">
        <f t="shared" si="1"/>
        <v>#DIV/0!</v>
      </c>
      <c r="N537" s="18" t="str">
        <f t="shared" si="2"/>
        <v>#DIV/0!</v>
      </c>
      <c r="O537" s="12" t="str">
        <f t="shared" si="4"/>
        <v/>
      </c>
      <c r="P537" s="18" t="str">
        <f t="shared" si="3"/>
        <v>#DIV/0!</v>
      </c>
      <c r="Q537" s="12"/>
    </row>
    <row r="538">
      <c r="A538" s="1" t="s">
        <v>2900</v>
      </c>
      <c r="B538" s="7" t="s">
        <v>2901</v>
      </c>
      <c r="C538" s="2" t="s">
        <v>4486</v>
      </c>
      <c r="D538" s="1" t="s">
        <v>4487</v>
      </c>
      <c r="E538" s="31"/>
      <c r="F538" s="31"/>
      <c r="G538" s="31"/>
      <c r="H538" s="29"/>
      <c r="I538" s="12"/>
      <c r="J538" s="12"/>
      <c r="K538" s="12"/>
      <c r="L538" s="12"/>
      <c r="M538" s="18" t="str">
        <f t="shared" si="1"/>
        <v>#DIV/0!</v>
      </c>
      <c r="N538" s="18" t="str">
        <f t="shared" si="2"/>
        <v>#DIV/0!</v>
      </c>
      <c r="O538" s="12" t="str">
        <f t="shared" si="4"/>
        <v/>
      </c>
      <c r="P538" s="18" t="str">
        <f t="shared" si="3"/>
        <v>#DIV/0!</v>
      </c>
      <c r="Q538" s="12"/>
    </row>
    <row r="539">
      <c r="A539" s="1" t="s">
        <v>2904</v>
      </c>
      <c r="B539" s="7" t="s">
        <v>2905</v>
      </c>
      <c r="C539" s="2" t="s">
        <v>4488</v>
      </c>
      <c r="D539" s="1" t="s">
        <v>4489</v>
      </c>
      <c r="E539" s="31"/>
      <c r="F539" s="31"/>
      <c r="G539" s="31"/>
      <c r="H539" s="29"/>
      <c r="I539" s="12"/>
      <c r="J539" s="12"/>
      <c r="K539" s="12"/>
      <c r="L539" s="12"/>
      <c r="M539" s="18" t="str">
        <f t="shared" si="1"/>
        <v>#DIV/0!</v>
      </c>
      <c r="N539" s="18" t="str">
        <f t="shared" si="2"/>
        <v>#DIV/0!</v>
      </c>
      <c r="O539" s="12" t="str">
        <f t="shared" si="4"/>
        <v/>
      </c>
      <c r="P539" s="18" t="str">
        <f t="shared" si="3"/>
        <v>#DIV/0!</v>
      </c>
      <c r="Q539" s="12"/>
    </row>
    <row r="540">
      <c r="A540" s="1" t="s">
        <v>2908</v>
      </c>
      <c r="B540" s="7" t="s">
        <v>2909</v>
      </c>
      <c r="C540" s="2" t="s">
        <v>4490</v>
      </c>
      <c r="D540" s="1" t="s">
        <v>4491</v>
      </c>
      <c r="E540" s="31"/>
      <c r="F540" s="31"/>
      <c r="G540" s="31"/>
      <c r="H540" s="29"/>
      <c r="I540" s="12"/>
      <c r="J540" s="12"/>
      <c r="K540" s="12"/>
      <c r="L540" s="12"/>
      <c r="M540" s="18" t="str">
        <f t="shared" si="1"/>
        <v>#DIV/0!</v>
      </c>
      <c r="N540" s="18" t="str">
        <f t="shared" si="2"/>
        <v>#DIV/0!</v>
      </c>
      <c r="O540" s="12" t="str">
        <f t="shared" si="4"/>
        <v/>
      </c>
      <c r="P540" s="18" t="str">
        <f t="shared" si="3"/>
        <v>#DIV/0!</v>
      </c>
      <c r="Q540" s="12"/>
    </row>
    <row r="541">
      <c r="A541" s="1" t="s">
        <v>2920</v>
      </c>
      <c r="B541" s="7" t="s">
        <v>2921</v>
      </c>
      <c r="C541" s="2" t="s">
        <v>4492</v>
      </c>
      <c r="D541" s="1" t="s">
        <v>4493</v>
      </c>
      <c r="E541" s="31"/>
      <c r="F541" s="31"/>
      <c r="G541" s="31"/>
      <c r="H541" s="29"/>
      <c r="I541" s="12"/>
      <c r="J541" s="12"/>
      <c r="K541" s="12"/>
      <c r="L541" s="12"/>
      <c r="M541" s="18" t="str">
        <f t="shared" si="1"/>
        <v>#DIV/0!</v>
      </c>
      <c r="N541" s="18" t="str">
        <f t="shared" si="2"/>
        <v>#DIV/0!</v>
      </c>
      <c r="O541" s="12" t="str">
        <f t="shared" si="4"/>
        <v/>
      </c>
      <c r="P541" s="18" t="str">
        <f t="shared" si="3"/>
        <v>#DIV/0!</v>
      </c>
      <c r="Q541" s="12"/>
    </row>
    <row r="542">
      <c r="A542" s="1" t="s">
        <v>2924</v>
      </c>
      <c r="B542" s="7" t="s">
        <v>2925</v>
      </c>
      <c r="C542" s="2" t="s">
        <v>3980</v>
      </c>
      <c r="D542" s="1" t="s">
        <v>3992</v>
      </c>
      <c r="E542" s="31"/>
      <c r="F542" s="31"/>
      <c r="G542" s="31"/>
      <c r="H542" s="29"/>
      <c r="I542" s="12"/>
      <c r="J542" s="12"/>
      <c r="K542" s="12"/>
      <c r="L542" s="12"/>
      <c r="M542" s="18" t="str">
        <f t="shared" si="1"/>
        <v>#DIV/0!</v>
      </c>
      <c r="N542" s="18" t="str">
        <f t="shared" si="2"/>
        <v>#DIV/0!</v>
      </c>
      <c r="O542" s="12" t="str">
        <f t="shared" si="4"/>
        <v/>
      </c>
      <c r="P542" s="18" t="str">
        <f t="shared" si="3"/>
        <v>#DIV/0!</v>
      </c>
      <c r="Q542" s="12"/>
    </row>
    <row r="543">
      <c r="A543" s="1" t="s">
        <v>2928</v>
      </c>
      <c r="B543" s="7" t="s">
        <v>2929</v>
      </c>
      <c r="C543" s="2" t="s">
        <v>4494</v>
      </c>
      <c r="D543" s="7" t="s">
        <v>4495</v>
      </c>
      <c r="E543" s="31"/>
      <c r="F543" s="31"/>
      <c r="G543" s="31"/>
      <c r="H543" s="29"/>
      <c r="I543" s="12"/>
      <c r="J543" s="12"/>
      <c r="K543" s="12"/>
      <c r="L543" s="12"/>
      <c r="M543" s="18" t="str">
        <f t="shared" si="1"/>
        <v>#DIV/0!</v>
      </c>
      <c r="N543" s="18" t="str">
        <f t="shared" si="2"/>
        <v>#DIV/0!</v>
      </c>
      <c r="O543" s="12" t="str">
        <f t="shared" si="4"/>
        <v/>
      </c>
      <c r="P543" s="18" t="str">
        <f t="shared" si="3"/>
        <v>#DIV/0!</v>
      </c>
      <c r="Q543" s="12"/>
    </row>
    <row r="544">
      <c r="A544" s="1" t="s">
        <v>2932</v>
      </c>
      <c r="B544" s="7" t="s">
        <v>2933</v>
      </c>
      <c r="C544" s="2" t="s">
        <v>3879</v>
      </c>
      <c r="D544" s="7" t="s">
        <v>3880</v>
      </c>
      <c r="E544" s="31"/>
      <c r="F544" s="31"/>
      <c r="G544" s="31"/>
      <c r="H544" s="29"/>
      <c r="I544" s="12"/>
      <c r="J544" s="12"/>
      <c r="K544" s="12"/>
      <c r="L544" s="12"/>
      <c r="M544" s="18" t="str">
        <f t="shared" si="1"/>
        <v>#DIV/0!</v>
      </c>
      <c r="N544" s="18" t="str">
        <f t="shared" si="2"/>
        <v>#DIV/0!</v>
      </c>
      <c r="O544" s="12" t="str">
        <f t="shared" si="4"/>
        <v/>
      </c>
      <c r="P544" s="18" t="str">
        <f t="shared" si="3"/>
        <v>#DIV/0!</v>
      </c>
      <c r="Q544" s="12"/>
    </row>
    <row r="545">
      <c r="A545" s="1" t="s">
        <v>2942</v>
      </c>
      <c r="B545" s="7" t="s">
        <v>2943</v>
      </c>
      <c r="C545" s="2" t="s">
        <v>4496</v>
      </c>
      <c r="D545" s="7" t="s">
        <v>4497</v>
      </c>
      <c r="E545" s="31"/>
      <c r="F545" s="31"/>
      <c r="G545" s="31"/>
      <c r="H545" s="29"/>
      <c r="I545" s="12"/>
      <c r="J545" s="12"/>
      <c r="K545" s="12"/>
      <c r="L545" s="12"/>
      <c r="M545" s="18" t="str">
        <f t="shared" si="1"/>
        <v>#DIV/0!</v>
      </c>
      <c r="N545" s="18" t="str">
        <f t="shared" si="2"/>
        <v>#DIV/0!</v>
      </c>
      <c r="O545" s="12" t="str">
        <f t="shared" si="4"/>
        <v/>
      </c>
      <c r="P545" s="18" t="str">
        <f t="shared" si="3"/>
        <v>#DIV/0!</v>
      </c>
      <c r="Q545" s="12"/>
    </row>
    <row r="546">
      <c r="A546" s="1" t="s">
        <v>2946</v>
      </c>
      <c r="B546" s="7" t="s">
        <v>2947</v>
      </c>
      <c r="C546" s="2" t="s">
        <v>4498</v>
      </c>
      <c r="D546" s="1" t="s">
        <v>4499</v>
      </c>
      <c r="E546" s="31"/>
      <c r="F546" s="31"/>
      <c r="G546" s="31"/>
      <c r="H546" s="29"/>
      <c r="I546" s="12"/>
      <c r="J546" s="12"/>
      <c r="K546" s="12"/>
      <c r="L546" s="12"/>
      <c r="M546" s="18" t="str">
        <f t="shared" si="1"/>
        <v>#DIV/0!</v>
      </c>
      <c r="N546" s="18" t="str">
        <f t="shared" si="2"/>
        <v>#DIV/0!</v>
      </c>
      <c r="O546" s="12" t="str">
        <f t="shared" si="4"/>
        <v/>
      </c>
      <c r="P546" s="18" t="str">
        <f t="shared" si="3"/>
        <v>#DIV/0!</v>
      </c>
      <c r="Q546" s="12"/>
    </row>
    <row r="547">
      <c r="A547" s="1" t="s">
        <v>2952</v>
      </c>
      <c r="B547" s="7" t="s">
        <v>2953</v>
      </c>
      <c r="C547" s="2" t="s">
        <v>4500</v>
      </c>
      <c r="D547" s="1" t="s">
        <v>4501</v>
      </c>
      <c r="E547" s="31"/>
      <c r="F547" s="31"/>
      <c r="G547" s="31"/>
      <c r="H547" s="29"/>
      <c r="I547" s="12"/>
      <c r="J547" s="12"/>
      <c r="K547" s="12"/>
      <c r="L547" s="12"/>
      <c r="M547" s="18" t="str">
        <f t="shared" si="1"/>
        <v>#DIV/0!</v>
      </c>
      <c r="N547" s="18" t="str">
        <f t="shared" si="2"/>
        <v>#DIV/0!</v>
      </c>
      <c r="O547" s="12" t="str">
        <f t="shared" si="4"/>
        <v/>
      </c>
      <c r="P547" s="18" t="str">
        <f t="shared" si="3"/>
        <v>#DIV/0!</v>
      </c>
      <c r="Q547" s="12"/>
    </row>
    <row r="548">
      <c r="A548" s="1" t="s">
        <v>2956</v>
      </c>
      <c r="B548" s="7" t="s">
        <v>2957</v>
      </c>
      <c r="C548" s="2" t="s">
        <v>4502</v>
      </c>
      <c r="E548" s="31"/>
      <c r="F548" s="31"/>
      <c r="G548" s="31"/>
      <c r="H548" s="29"/>
      <c r="I548" s="12"/>
      <c r="J548" s="12"/>
      <c r="K548" s="12"/>
      <c r="L548" s="12"/>
      <c r="M548" s="18" t="str">
        <f t="shared" si="1"/>
        <v>#DIV/0!</v>
      </c>
      <c r="N548" s="18" t="str">
        <f t="shared" si="2"/>
        <v>#DIV/0!</v>
      </c>
      <c r="O548" s="12" t="str">
        <f t="shared" si="4"/>
        <v/>
      </c>
      <c r="P548" s="18" t="str">
        <f t="shared" si="3"/>
        <v>#DIV/0!</v>
      </c>
      <c r="Q548" s="12"/>
    </row>
    <row r="549">
      <c r="A549" s="1" t="s">
        <v>2960</v>
      </c>
      <c r="B549" s="7" t="s">
        <v>2961</v>
      </c>
      <c r="C549" s="2" t="s">
        <v>4503</v>
      </c>
      <c r="D549" s="7" t="s">
        <v>4504</v>
      </c>
      <c r="E549" s="31"/>
      <c r="F549" s="31"/>
      <c r="G549" s="31"/>
      <c r="H549" s="29"/>
      <c r="I549" s="12"/>
      <c r="J549" s="12"/>
      <c r="K549" s="12"/>
      <c r="L549" s="12"/>
      <c r="M549" s="18" t="str">
        <f t="shared" si="1"/>
        <v>#DIV/0!</v>
      </c>
      <c r="N549" s="18" t="str">
        <f t="shared" si="2"/>
        <v>#DIV/0!</v>
      </c>
      <c r="O549" s="12" t="str">
        <f t="shared" si="4"/>
        <v/>
      </c>
      <c r="P549" s="18" t="str">
        <f t="shared" si="3"/>
        <v>#DIV/0!</v>
      </c>
      <c r="Q549" s="12"/>
    </row>
    <row r="550">
      <c r="A550" s="1" t="s">
        <v>2964</v>
      </c>
      <c r="B550" s="7" t="s">
        <v>2965</v>
      </c>
      <c r="C550" s="2" t="s">
        <v>3838</v>
      </c>
      <c r="D550" s="7" t="s">
        <v>3839</v>
      </c>
      <c r="E550" s="31"/>
      <c r="F550" s="31"/>
      <c r="G550" s="31"/>
      <c r="H550" s="29"/>
      <c r="I550" s="12"/>
      <c r="J550" s="12"/>
      <c r="K550" s="12"/>
      <c r="L550" s="12"/>
      <c r="M550" s="18" t="str">
        <f t="shared" si="1"/>
        <v>#DIV/0!</v>
      </c>
      <c r="N550" s="18" t="str">
        <f t="shared" si="2"/>
        <v>#DIV/0!</v>
      </c>
      <c r="O550" s="12" t="str">
        <f t="shared" si="4"/>
        <v/>
      </c>
      <c r="P550" s="18" t="str">
        <f t="shared" si="3"/>
        <v>#DIV/0!</v>
      </c>
      <c r="Q550" s="12"/>
    </row>
    <row r="551">
      <c r="A551" s="1" t="s">
        <v>2967</v>
      </c>
      <c r="B551" s="7" t="s">
        <v>2968</v>
      </c>
      <c r="C551" s="2" t="s">
        <v>3830</v>
      </c>
      <c r="D551" s="7" t="s">
        <v>3831</v>
      </c>
      <c r="E551" s="31"/>
      <c r="F551" s="31"/>
      <c r="G551" s="31"/>
      <c r="H551" s="29"/>
      <c r="I551" s="12"/>
      <c r="J551" s="12"/>
      <c r="K551" s="12"/>
      <c r="L551" s="12"/>
      <c r="M551" s="18" t="str">
        <f t="shared" si="1"/>
        <v>#DIV/0!</v>
      </c>
      <c r="N551" s="18" t="str">
        <f t="shared" si="2"/>
        <v>#DIV/0!</v>
      </c>
      <c r="O551" s="12" t="str">
        <f t="shared" si="4"/>
        <v/>
      </c>
      <c r="P551" s="18" t="str">
        <f t="shared" si="3"/>
        <v>#DIV/0!</v>
      </c>
      <c r="Q551" s="12"/>
    </row>
    <row r="552">
      <c r="A552" s="1" t="s">
        <v>2971</v>
      </c>
      <c r="B552" s="7" t="s">
        <v>2972</v>
      </c>
      <c r="C552" s="2" t="s">
        <v>4505</v>
      </c>
      <c r="D552" s="1" t="s">
        <v>4506</v>
      </c>
      <c r="E552" s="31"/>
      <c r="F552" s="31"/>
      <c r="G552" s="31"/>
      <c r="H552" s="29"/>
      <c r="I552" s="12"/>
      <c r="J552" s="12"/>
      <c r="K552" s="12"/>
      <c r="L552" s="12"/>
      <c r="M552" s="18" t="str">
        <f t="shared" si="1"/>
        <v>#DIV/0!</v>
      </c>
      <c r="N552" s="18" t="str">
        <f t="shared" si="2"/>
        <v>#DIV/0!</v>
      </c>
      <c r="O552" s="12" t="str">
        <f t="shared" si="4"/>
        <v/>
      </c>
      <c r="P552" s="18" t="str">
        <f t="shared" si="3"/>
        <v>#DIV/0!</v>
      </c>
      <c r="Q552" s="12"/>
    </row>
    <row r="553">
      <c r="A553" s="1" t="s">
        <v>2977</v>
      </c>
      <c r="B553" s="7" t="s">
        <v>2978</v>
      </c>
      <c r="C553" s="2" t="s">
        <v>3978</v>
      </c>
      <c r="D553" s="7" t="s">
        <v>3979</v>
      </c>
      <c r="E553" s="31"/>
      <c r="F553" s="31"/>
      <c r="G553" s="31"/>
      <c r="H553" s="29"/>
      <c r="I553" s="12"/>
      <c r="J553" s="12"/>
      <c r="K553" s="12"/>
      <c r="L553" s="12"/>
      <c r="M553" s="18" t="str">
        <f t="shared" si="1"/>
        <v>#DIV/0!</v>
      </c>
      <c r="N553" s="18" t="str">
        <f t="shared" si="2"/>
        <v>#DIV/0!</v>
      </c>
      <c r="O553" s="12" t="str">
        <f t="shared" si="4"/>
        <v/>
      </c>
      <c r="P553" s="18" t="str">
        <f t="shared" si="3"/>
        <v>#DIV/0!</v>
      </c>
      <c r="Q553" s="12"/>
    </row>
    <row r="554">
      <c r="A554" s="1" t="s">
        <v>2983</v>
      </c>
      <c r="B554" s="7" t="s">
        <v>2984</v>
      </c>
      <c r="C554" s="2" t="s">
        <v>3844</v>
      </c>
      <c r="D554" s="1" t="s">
        <v>3845</v>
      </c>
      <c r="E554" s="31"/>
      <c r="F554" s="31"/>
      <c r="G554" s="31"/>
      <c r="H554" s="29"/>
      <c r="I554" s="12"/>
      <c r="J554" s="12"/>
      <c r="K554" s="12"/>
      <c r="L554" s="12"/>
      <c r="M554" s="18" t="str">
        <f t="shared" si="1"/>
        <v>#DIV/0!</v>
      </c>
      <c r="N554" s="18" t="str">
        <f t="shared" si="2"/>
        <v>#DIV/0!</v>
      </c>
      <c r="O554" s="12" t="str">
        <f t="shared" si="4"/>
        <v/>
      </c>
      <c r="P554" s="18" t="str">
        <f t="shared" si="3"/>
        <v>#DIV/0!</v>
      </c>
      <c r="Q554" s="12"/>
    </row>
    <row r="555">
      <c r="A555" s="1" t="s">
        <v>3002</v>
      </c>
      <c r="B555" s="7" t="s">
        <v>3003</v>
      </c>
      <c r="C555" s="2" t="s">
        <v>4507</v>
      </c>
      <c r="D555" s="1" t="s">
        <v>3837</v>
      </c>
      <c r="E555" s="31"/>
      <c r="F555" s="31"/>
      <c r="G555" s="31"/>
      <c r="H555" s="29"/>
      <c r="I555" s="12"/>
      <c r="J555" s="12"/>
      <c r="K555" s="12"/>
      <c r="L555" s="12"/>
      <c r="M555" s="18" t="str">
        <f t="shared" si="1"/>
        <v>#DIV/0!</v>
      </c>
      <c r="N555" s="18" t="str">
        <f t="shared" si="2"/>
        <v>#DIV/0!</v>
      </c>
      <c r="O555" s="12" t="str">
        <f t="shared" si="4"/>
        <v/>
      </c>
      <c r="P555" s="18" t="str">
        <f t="shared" si="3"/>
        <v>#DIV/0!</v>
      </c>
      <c r="Q555" s="12"/>
    </row>
    <row r="556">
      <c r="A556" s="1" t="s">
        <v>3006</v>
      </c>
      <c r="B556" s="7" t="s">
        <v>3007</v>
      </c>
      <c r="C556" s="2" t="s">
        <v>4508</v>
      </c>
      <c r="D556" s="1" t="s">
        <v>4509</v>
      </c>
      <c r="E556" s="31"/>
      <c r="F556" s="31"/>
      <c r="G556" s="31"/>
      <c r="H556" s="29"/>
      <c r="I556" s="12"/>
      <c r="J556" s="12"/>
      <c r="K556" s="12"/>
      <c r="L556" s="12"/>
      <c r="M556" s="18" t="str">
        <f t="shared" si="1"/>
        <v>#DIV/0!</v>
      </c>
      <c r="N556" s="18" t="str">
        <f t="shared" si="2"/>
        <v>#DIV/0!</v>
      </c>
      <c r="O556" s="12" t="str">
        <f t="shared" si="4"/>
        <v/>
      </c>
      <c r="P556" s="18" t="str">
        <f t="shared" si="3"/>
        <v>#DIV/0!</v>
      </c>
      <c r="Q556" s="12"/>
    </row>
    <row r="557">
      <c r="A557" s="1" t="s">
        <v>3010</v>
      </c>
      <c r="B557" s="7" t="s">
        <v>3011</v>
      </c>
      <c r="C557" s="2" t="s">
        <v>4510</v>
      </c>
      <c r="D557" s="1" t="s">
        <v>4511</v>
      </c>
      <c r="E557" s="31"/>
      <c r="F557" s="31"/>
      <c r="G557" s="31"/>
      <c r="H557" s="29"/>
      <c r="I557" s="12"/>
      <c r="J557" s="12"/>
      <c r="K557" s="12"/>
      <c r="L557" s="12"/>
      <c r="M557" s="18" t="str">
        <f t="shared" si="1"/>
        <v>#DIV/0!</v>
      </c>
      <c r="N557" s="18" t="str">
        <f t="shared" si="2"/>
        <v>#DIV/0!</v>
      </c>
      <c r="O557" s="12" t="str">
        <f t="shared" si="4"/>
        <v/>
      </c>
      <c r="P557" s="18" t="str">
        <f t="shared" si="3"/>
        <v>#DIV/0!</v>
      </c>
      <c r="Q557" s="12"/>
    </row>
    <row r="558">
      <c r="A558" s="1" t="s">
        <v>3014</v>
      </c>
      <c r="B558" s="7" t="s">
        <v>3015</v>
      </c>
      <c r="C558" s="2" t="s">
        <v>4512</v>
      </c>
      <c r="D558" s="1" t="s">
        <v>3853</v>
      </c>
      <c r="E558" s="31"/>
      <c r="F558" s="31"/>
      <c r="G558" s="31"/>
      <c r="H558" s="29"/>
      <c r="I558" s="12"/>
      <c r="J558" s="12"/>
      <c r="K558" s="12"/>
      <c r="L558" s="12"/>
      <c r="M558" s="18" t="str">
        <f t="shared" si="1"/>
        <v>#DIV/0!</v>
      </c>
      <c r="N558" s="18" t="str">
        <f t="shared" si="2"/>
        <v>#DIV/0!</v>
      </c>
      <c r="O558" s="12" t="str">
        <f t="shared" si="4"/>
        <v/>
      </c>
      <c r="P558" s="18" t="str">
        <f t="shared" si="3"/>
        <v>#DIV/0!</v>
      </c>
      <c r="Q558" s="12"/>
    </row>
    <row r="559">
      <c r="A559" s="1" t="s">
        <v>3019</v>
      </c>
      <c r="B559" s="7" t="s">
        <v>3020</v>
      </c>
      <c r="C559" s="2" t="s">
        <v>4513</v>
      </c>
      <c r="D559" s="1" t="s">
        <v>4514</v>
      </c>
      <c r="E559" s="31"/>
      <c r="F559" s="31"/>
      <c r="G559" s="31"/>
      <c r="H559" s="29"/>
      <c r="I559" s="12"/>
      <c r="J559" s="12"/>
      <c r="K559" s="12"/>
      <c r="L559" s="12"/>
      <c r="M559" s="18" t="str">
        <f t="shared" si="1"/>
        <v>#DIV/0!</v>
      </c>
      <c r="N559" s="18" t="str">
        <f t="shared" si="2"/>
        <v>#DIV/0!</v>
      </c>
      <c r="O559" s="12" t="str">
        <f t="shared" si="4"/>
        <v/>
      </c>
      <c r="P559" s="18" t="str">
        <f t="shared" si="3"/>
        <v>#DIV/0!</v>
      </c>
      <c r="Q559" s="12"/>
    </row>
    <row r="560">
      <c r="A560" s="1" t="s">
        <v>3022</v>
      </c>
      <c r="B560" s="7" t="s">
        <v>3023</v>
      </c>
      <c r="C560" s="2" t="s">
        <v>3940</v>
      </c>
      <c r="E560" s="31"/>
      <c r="F560" s="31"/>
      <c r="G560" s="31"/>
      <c r="H560" s="29"/>
      <c r="I560" s="12"/>
      <c r="J560" s="12"/>
      <c r="K560" s="12"/>
      <c r="L560" s="12"/>
      <c r="M560" s="18" t="str">
        <f t="shared" si="1"/>
        <v>#DIV/0!</v>
      </c>
      <c r="N560" s="18" t="str">
        <f t="shared" si="2"/>
        <v>#DIV/0!</v>
      </c>
      <c r="O560" s="12" t="str">
        <f t="shared" si="4"/>
        <v/>
      </c>
      <c r="P560" s="18" t="str">
        <f t="shared" si="3"/>
        <v>#DIV/0!</v>
      </c>
      <c r="Q560" s="12"/>
    </row>
    <row r="561">
      <c r="A561" s="1" t="s">
        <v>3026</v>
      </c>
      <c r="B561" s="7" t="s">
        <v>3027</v>
      </c>
      <c r="C561" s="2" t="s">
        <v>4515</v>
      </c>
      <c r="D561" s="1" t="s">
        <v>4516</v>
      </c>
      <c r="E561" s="31"/>
      <c r="F561" s="31"/>
      <c r="G561" s="31"/>
      <c r="H561" s="29"/>
      <c r="I561" s="12"/>
      <c r="J561" s="12"/>
      <c r="K561" s="12"/>
      <c r="L561" s="12"/>
      <c r="M561" s="18" t="str">
        <f t="shared" si="1"/>
        <v>#DIV/0!</v>
      </c>
      <c r="N561" s="18" t="str">
        <f t="shared" si="2"/>
        <v>#DIV/0!</v>
      </c>
      <c r="O561" s="12" t="str">
        <f t="shared" si="4"/>
        <v/>
      </c>
      <c r="P561" s="18" t="str">
        <f t="shared" si="3"/>
        <v>#DIV/0!</v>
      </c>
      <c r="Q561" s="12"/>
    </row>
    <row r="562">
      <c r="A562" s="1" t="s">
        <v>3030</v>
      </c>
      <c r="B562" s="7" t="s">
        <v>3031</v>
      </c>
      <c r="C562" s="2" t="s">
        <v>3957</v>
      </c>
      <c r="D562" s="7" t="s">
        <v>3958</v>
      </c>
      <c r="E562" s="31"/>
      <c r="F562" s="31"/>
      <c r="G562" s="31"/>
      <c r="H562" s="29"/>
      <c r="I562" s="12"/>
      <c r="J562" s="12"/>
      <c r="K562" s="12"/>
      <c r="L562" s="12"/>
      <c r="M562" s="18" t="str">
        <f t="shared" si="1"/>
        <v>#DIV/0!</v>
      </c>
      <c r="N562" s="18" t="str">
        <f t="shared" si="2"/>
        <v>#DIV/0!</v>
      </c>
      <c r="O562" s="12" t="str">
        <f t="shared" si="4"/>
        <v/>
      </c>
      <c r="P562" s="18" t="str">
        <f t="shared" si="3"/>
        <v>#DIV/0!</v>
      </c>
      <c r="Q562" s="12"/>
    </row>
    <row r="563">
      <c r="A563" s="1" t="s">
        <v>3038</v>
      </c>
      <c r="B563" s="7" t="s">
        <v>3039</v>
      </c>
      <c r="C563" s="2" t="s">
        <v>4517</v>
      </c>
      <c r="D563" s="1" t="s">
        <v>4518</v>
      </c>
      <c r="E563" s="31"/>
      <c r="F563" s="31"/>
      <c r="G563" s="31"/>
      <c r="H563" s="29"/>
      <c r="I563" s="12"/>
      <c r="J563" s="12"/>
      <c r="K563" s="12"/>
      <c r="L563" s="12"/>
      <c r="M563" s="18" t="str">
        <f t="shared" si="1"/>
        <v>#DIV/0!</v>
      </c>
      <c r="N563" s="18" t="str">
        <f t="shared" si="2"/>
        <v>#DIV/0!</v>
      </c>
      <c r="O563" s="12" t="str">
        <f t="shared" si="4"/>
        <v/>
      </c>
      <c r="P563" s="18" t="str">
        <f t="shared" si="3"/>
        <v>#DIV/0!</v>
      </c>
      <c r="Q563" s="12"/>
    </row>
    <row r="564">
      <c r="A564" s="1" t="s">
        <v>3042</v>
      </c>
      <c r="B564" s="7" t="s">
        <v>3043</v>
      </c>
      <c r="C564" s="2" t="s">
        <v>3986</v>
      </c>
      <c r="D564" s="7" t="s">
        <v>3987</v>
      </c>
      <c r="E564" s="31"/>
      <c r="F564" s="31"/>
      <c r="G564" s="31"/>
      <c r="H564" s="29"/>
      <c r="I564" s="12"/>
      <c r="J564" s="12"/>
      <c r="K564" s="12"/>
      <c r="L564" s="12"/>
      <c r="M564" s="18" t="str">
        <f t="shared" si="1"/>
        <v>#DIV/0!</v>
      </c>
      <c r="N564" s="18" t="str">
        <f t="shared" si="2"/>
        <v>#DIV/0!</v>
      </c>
      <c r="O564" s="12" t="str">
        <f t="shared" si="4"/>
        <v/>
      </c>
      <c r="P564" s="18" t="str">
        <f t="shared" si="3"/>
        <v>#DIV/0!</v>
      </c>
      <c r="Q564" s="12"/>
    </row>
    <row r="565">
      <c r="A565" s="1" t="s">
        <v>3048</v>
      </c>
      <c r="B565" s="7" t="s">
        <v>3049</v>
      </c>
      <c r="C565" s="2" t="s">
        <v>4519</v>
      </c>
      <c r="D565" s="1" t="s">
        <v>4520</v>
      </c>
      <c r="E565" s="31"/>
      <c r="F565" s="31"/>
      <c r="G565" s="31"/>
      <c r="H565" s="29"/>
      <c r="I565" s="12"/>
      <c r="J565" s="12"/>
      <c r="K565" s="12"/>
      <c r="L565" s="12"/>
      <c r="M565" s="18" t="str">
        <f t="shared" si="1"/>
        <v>#DIV/0!</v>
      </c>
      <c r="N565" s="18" t="str">
        <f t="shared" si="2"/>
        <v>#DIV/0!</v>
      </c>
      <c r="O565" s="12" t="str">
        <f t="shared" si="4"/>
        <v/>
      </c>
      <c r="P565" s="18" t="str">
        <f t="shared" si="3"/>
        <v>#DIV/0!</v>
      </c>
      <c r="Q565" s="12"/>
    </row>
    <row r="566">
      <c r="A566" s="1" t="s">
        <v>3052</v>
      </c>
      <c r="B566" s="7" t="s">
        <v>3053</v>
      </c>
      <c r="C566" s="2" t="s">
        <v>3846</v>
      </c>
      <c r="D566" s="7" t="s">
        <v>3847</v>
      </c>
      <c r="E566" s="31"/>
      <c r="F566" s="31"/>
      <c r="G566" s="31"/>
      <c r="H566" s="29"/>
      <c r="I566" s="12"/>
      <c r="J566" s="12"/>
      <c r="K566" s="12"/>
      <c r="L566" s="12"/>
      <c r="M566" s="18" t="str">
        <f t="shared" si="1"/>
        <v>#DIV/0!</v>
      </c>
      <c r="N566" s="18" t="str">
        <f t="shared" si="2"/>
        <v>#DIV/0!</v>
      </c>
      <c r="O566" s="12" t="str">
        <f t="shared" si="4"/>
        <v/>
      </c>
      <c r="P566" s="18" t="str">
        <f t="shared" si="3"/>
        <v>#DIV/0!</v>
      </c>
      <c r="Q566" s="12"/>
    </row>
    <row r="567">
      <c r="A567" s="1" t="s">
        <v>3054</v>
      </c>
      <c r="B567" s="7" t="s">
        <v>3055</v>
      </c>
      <c r="C567" s="2" t="s">
        <v>4521</v>
      </c>
      <c r="D567" s="1" t="s">
        <v>4522</v>
      </c>
      <c r="E567" s="31"/>
      <c r="F567" s="31"/>
      <c r="G567" s="31"/>
      <c r="H567" s="29"/>
      <c r="I567" s="12"/>
      <c r="J567" s="12"/>
      <c r="K567" s="12"/>
      <c r="L567" s="12"/>
      <c r="M567" s="18" t="str">
        <f t="shared" si="1"/>
        <v>#DIV/0!</v>
      </c>
      <c r="N567" s="18" t="str">
        <f t="shared" si="2"/>
        <v>#DIV/0!</v>
      </c>
      <c r="O567" s="12" t="str">
        <f t="shared" si="4"/>
        <v/>
      </c>
      <c r="P567" s="18" t="str">
        <f t="shared" si="3"/>
        <v>#DIV/0!</v>
      </c>
      <c r="Q567" s="12"/>
    </row>
    <row r="568">
      <c r="A568" s="1" t="s">
        <v>3058</v>
      </c>
      <c r="B568" s="7" t="s">
        <v>3059</v>
      </c>
      <c r="C568" s="2" t="s">
        <v>4523</v>
      </c>
      <c r="D568" s="1" t="s">
        <v>4524</v>
      </c>
      <c r="E568" s="31"/>
      <c r="F568" s="31"/>
      <c r="G568" s="31"/>
      <c r="H568" s="29"/>
      <c r="I568" s="12"/>
      <c r="J568" s="12"/>
      <c r="K568" s="12"/>
      <c r="L568" s="12"/>
      <c r="M568" s="18" t="str">
        <f t="shared" si="1"/>
        <v>#DIV/0!</v>
      </c>
      <c r="N568" s="18" t="str">
        <f t="shared" si="2"/>
        <v>#DIV/0!</v>
      </c>
      <c r="O568" s="12" t="str">
        <f t="shared" si="4"/>
        <v/>
      </c>
      <c r="P568" s="18" t="str">
        <f t="shared" si="3"/>
        <v>#DIV/0!</v>
      </c>
      <c r="Q568" s="12"/>
    </row>
    <row r="569">
      <c r="A569" s="1" t="s">
        <v>3060</v>
      </c>
      <c r="B569" s="7" t="s">
        <v>3061</v>
      </c>
      <c r="C569" s="2" t="s">
        <v>4255</v>
      </c>
      <c r="D569" s="1" t="s">
        <v>3853</v>
      </c>
      <c r="E569" s="31"/>
      <c r="F569" s="31"/>
      <c r="G569" s="31"/>
      <c r="H569" s="29"/>
      <c r="I569" s="12"/>
      <c r="J569" s="12"/>
      <c r="K569" s="12"/>
      <c r="L569" s="12"/>
      <c r="M569" s="18" t="str">
        <f t="shared" si="1"/>
        <v>#DIV/0!</v>
      </c>
      <c r="N569" s="18" t="str">
        <f t="shared" si="2"/>
        <v>#DIV/0!</v>
      </c>
      <c r="O569" s="12" t="str">
        <f t="shared" si="4"/>
        <v/>
      </c>
      <c r="P569" s="18" t="str">
        <f t="shared" si="3"/>
        <v>#DIV/0!</v>
      </c>
      <c r="Q569" s="12"/>
    </row>
    <row r="570">
      <c r="A570" s="1" t="s">
        <v>3064</v>
      </c>
      <c r="B570" s="7" t="s">
        <v>3065</v>
      </c>
      <c r="C570" s="2" t="s">
        <v>4525</v>
      </c>
      <c r="D570" s="1" t="s">
        <v>4526</v>
      </c>
      <c r="E570" s="31"/>
      <c r="F570" s="31"/>
      <c r="G570" s="31"/>
      <c r="H570" s="29"/>
      <c r="I570" s="12"/>
      <c r="J570" s="12"/>
      <c r="K570" s="12"/>
      <c r="L570" s="12"/>
      <c r="M570" s="18" t="str">
        <f t="shared" si="1"/>
        <v>#DIV/0!</v>
      </c>
      <c r="N570" s="18" t="str">
        <f t="shared" si="2"/>
        <v>#DIV/0!</v>
      </c>
      <c r="O570" s="12" t="str">
        <f t="shared" si="4"/>
        <v/>
      </c>
      <c r="P570" s="18" t="str">
        <f t="shared" si="3"/>
        <v>#DIV/0!</v>
      </c>
      <c r="Q570" s="12"/>
    </row>
    <row r="571">
      <c r="A571" s="1" t="s">
        <v>3068</v>
      </c>
      <c r="B571" s="7" t="s">
        <v>3069</v>
      </c>
      <c r="C571" s="2" t="s">
        <v>4420</v>
      </c>
      <c r="E571" s="31"/>
      <c r="F571" s="31"/>
      <c r="G571" s="31"/>
      <c r="H571" s="29"/>
      <c r="I571" s="12"/>
      <c r="J571" s="12"/>
      <c r="K571" s="12"/>
      <c r="L571" s="12"/>
      <c r="M571" s="18" t="str">
        <f t="shared" si="1"/>
        <v>#DIV/0!</v>
      </c>
      <c r="N571" s="18" t="str">
        <f t="shared" si="2"/>
        <v>#DIV/0!</v>
      </c>
      <c r="O571" s="12" t="str">
        <f t="shared" si="4"/>
        <v/>
      </c>
      <c r="P571" s="18" t="str">
        <f t="shared" si="3"/>
        <v>#DIV/0!</v>
      </c>
      <c r="Q571" s="12"/>
    </row>
    <row r="572">
      <c r="A572" s="1" t="s">
        <v>3071</v>
      </c>
      <c r="B572" s="7" t="s">
        <v>3072</v>
      </c>
      <c r="C572" s="2" t="s">
        <v>3830</v>
      </c>
      <c r="D572" s="7" t="s">
        <v>3831</v>
      </c>
      <c r="E572" s="31"/>
      <c r="F572" s="31"/>
      <c r="G572" s="31"/>
      <c r="H572" s="29"/>
      <c r="I572" s="12"/>
      <c r="J572" s="12"/>
      <c r="K572" s="12"/>
      <c r="L572" s="12"/>
      <c r="M572" s="18" t="str">
        <f t="shared" si="1"/>
        <v>#DIV/0!</v>
      </c>
      <c r="N572" s="18" t="str">
        <f t="shared" si="2"/>
        <v>#DIV/0!</v>
      </c>
      <c r="O572" s="12" t="str">
        <f t="shared" si="4"/>
        <v/>
      </c>
      <c r="P572" s="18" t="str">
        <f t="shared" si="3"/>
        <v>#DIV/0!</v>
      </c>
      <c r="Q572" s="12"/>
    </row>
    <row r="573">
      <c r="A573" s="1" t="s">
        <v>3075</v>
      </c>
      <c r="B573" s="7" t="s">
        <v>3076</v>
      </c>
      <c r="C573" s="2" t="s">
        <v>3838</v>
      </c>
      <c r="D573" s="7" t="s">
        <v>3839</v>
      </c>
      <c r="E573" s="31"/>
      <c r="F573" s="31"/>
      <c r="G573" s="31"/>
      <c r="H573" s="29"/>
      <c r="I573" s="12"/>
      <c r="J573" s="12"/>
      <c r="K573" s="12"/>
      <c r="L573" s="12"/>
      <c r="M573" s="18" t="str">
        <f t="shared" si="1"/>
        <v>#DIV/0!</v>
      </c>
      <c r="N573" s="18" t="str">
        <f t="shared" si="2"/>
        <v>#DIV/0!</v>
      </c>
      <c r="O573" s="12" t="str">
        <f t="shared" si="4"/>
        <v/>
      </c>
      <c r="P573" s="18" t="str">
        <f t="shared" si="3"/>
        <v>#DIV/0!</v>
      </c>
      <c r="Q573" s="12"/>
    </row>
    <row r="574">
      <c r="A574" s="1" t="s">
        <v>3079</v>
      </c>
      <c r="B574" s="7" t="s">
        <v>3080</v>
      </c>
      <c r="C574" s="2" t="s">
        <v>4527</v>
      </c>
      <c r="D574" s="7" t="s">
        <v>4528</v>
      </c>
      <c r="E574" s="31"/>
      <c r="F574" s="31"/>
      <c r="G574" s="31"/>
      <c r="H574" s="29"/>
      <c r="I574" s="12"/>
      <c r="J574" s="12"/>
      <c r="K574" s="12"/>
      <c r="L574" s="12"/>
      <c r="M574" s="18" t="str">
        <f t="shared" si="1"/>
        <v>#DIV/0!</v>
      </c>
      <c r="N574" s="18" t="str">
        <f t="shared" si="2"/>
        <v>#DIV/0!</v>
      </c>
      <c r="O574" s="12" t="str">
        <f t="shared" si="4"/>
        <v/>
      </c>
      <c r="P574" s="18" t="str">
        <f t="shared" si="3"/>
        <v>#DIV/0!</v>
      </c>
      <c r="Q574" s="12"/>
    </row>
    <row r="575">
      <c r="A575" s="1" t="s">
        <v>3083</v>
      </c>
      <c r="B575" s="7" t="s">
        <v>3084</v>
      </c>
      <c r="C575" s="2" t="s">
        <v>3982</v>
      </c>
      <c r="D575" s="7" t="s">
        <v>3983</v>
      </c>
      <c r="E575" s="31"/>
      <c r="F575" s="31"/>
      <c r="G575" s="31"/>
      <c r="H575" s="29"/>
      <c r="I575" s="12"/>
      <c r="J575" s="12"/>
      <c r="K575" s="12"/>
      <c r="L575" s="12"/>
      <c r="M575" s="18" t="str">
        <f t="shared" si="1"/>
        <v>#DIV/0!</v>
      </c>
      <c r="N575" s="18" t="str">
        <f t="shared" si="2"/>
        <v>#DIV/0!</v>
      </c>
      <c r="O575" s="12" t="str">
        <f t="shared" si="4"/>
        <v/>
      </c>
      <c r="P575" s="18" t="str">
        <f t="shared" si="3"/>
        <v>#DIV/0!</v>
      </c>
      <c r="Q575" s="12"/>
    </row>
    <row r="576">
      <c r="A576" s="1" t="s">
        <v>3087</v>
      </c>
      <c r="B576" s="7" t="s">
        <v>3088</v>
      </c>
      <c r="C576" s="2" t="s">
        <v>3885</v>
      </c>
      <c r="D576" s="1" t="s">
        <v>4529</v>
      </c>
      <c r="E576" s="31"/>
      <c r="F576" s="31"/>
      <c r="G576" s="31"/>
      <c r="H576" s="29"/>
      <c r="I576" s="12"/>
      <c r="J576" s="12"/>
      <c r="K576" s="12"/>
      <c r="L576" s="12"/>
      <c r="M576" s="18" t="str">
        <f t="shared" si="1"/>
        <v>#DIV/0!</v>
      </c>
      <c r="N576" s="18" t="str">
        <f t="shared" si="2"/>
        <v>#DIV/0!</v>
      </c>
      <c r="O576" s="12" t="str">
        <f t="shared" si="4"/>
        <v/>
      </c>
      <c r="P576" s="18" t="str">
        <f t="shared" si="3"/>
        <v>#DIV/0!</v>
      </c>
      <c r="Q576" s="12"/>
    </row>
    <row r="577">
      <c r="A577" s="1" t="s">
        <v>3091</v>
      </c>
      <c r="B577" s="7" t="s">
        <v>3092</v>
      </c>
      <c r="C577" s="2" t="s">
        <v>4530</v>
      </c>
      <c r="D577" s="7" t="s">
        <v>4531</v>
      </c>
      <c r="E577" s="31"/>
      <c r="F577" s="31"/>
      <c r="G577" s="31"/>
      <c r="H577" s="29"/>
      <c r="I577" s="12"/>
      <c r="J577" s="12"/>
      <c r="K577" s="12"/>
      <c r="L577" s="12"/>
      <c r="M577" s="18" t="str">
        <f t="shared" si="1"/>
        <v>#DIV/0!</v>
      </c>
      <c r="N577" s="18" t="str">
        <f t="shared" si="2"/>
        <v>#DIV/0!</v>
      </c>
      <c r="O577" s="12" t="str">
        <f t="shared" si="4"/>
        <v/>
      </c>
      <c r="P577" s="18" t="str">
        <f t="shared" si="3"/>
        <v>#DIV/0!</v>
      </c>
      <c r="Q577" s="12"/>
    </row>
    <row r="578">
      <c r="A578" s="1" t="s">
        <v>3105</v>
      </c>
      <c r="B578" s="7" t="s">
        <v>3106</v>
      </c>
      <c r="C578" s="2" t="s">
        <v>4532</v>
      </c>
      <c r="E578" s="31"/>
      <c r="F578" s="31"/>
      <c r="G578" s="31"/>
      <c r="H578" s="29"/>
      <c r="I578" s="12"/>
      <c r="J578" s="12"/>
      <c r="K578" s="12"/>
      <c r="L578" s="12"/>
      <c r="M578" s="18" t="str">
        <f t="shared" si="1"/>
        <v>#DIV/0!</v>
      </c>
      <c r="N578" s="18" t="str">
        <f t="shared" si="2"/>
        <v>#DIV/0!</v>
      </c>
      <c r="O578" s="12" t="str">
        <f t="shared" si="4"/>
        <v/>
      </c>
      <c r="P578" s="18" t="str">
        <f t="shared" si="3"/>
        <v>#DIV/0!</v>
      </c>
      <c r="Q578" s="12"/>
    </row>
    <row r="579">
      <c r="A579" s="1" t="s">
        <v>3113</v>
      </c>
      <c r="B579" s="7" t="s">
        <v>3114</v>
      </c>
      <c r="C579" s="2" t="s">
        <v>4533</v>
      </c>
      <c r="D579" s="1" t="s">
        <v>4534</v>
      </c>
      <c r="E579" s="31"/>
      <c r="F579" s="31"/>
      <c r="G579" s="31"/>
      <c r="H579" s="29"/>
      <c r="I579" s="12"/>
      <c r="J579" s="12"/>
      <c r="K579" s="12"/>
      <c r="L579" s="12"/>
      <c r="M579" s="18" t="str">
        <f t="shared" si="1"/>
        <v>#DIV/0!</v>
      </c>
      <c r="N579" s="18" t="str">
        <f t="shared" si="2"/>
        <v>#DIV/0!</v>
      </c>
      <c r="O579" s="12" t="str">
        <f t="shared" si="4"/>
        <v/>
      </c>
      <c r="P579" s="18" t="str">
        <f t="shared" si="3"/>
        <v>#DIV/0!</v>
      </c>
      <c r="Q579" s="12"/>
    </row>
    <row r="580">
      <c r="A580" s="1" t="s">
        <v>3117</v>
      </c>
      <c r="B580" s="7" t="s">
        <v>3118</v>
      </c>
      <c r="C580" s="2" t="s">
        <v>4535</v>
      </c>
      <c r="D580" s="7" t="s">
        <v>4536</v>
      </c>
      <c r="E580" s="31"/>
      <c r="F580" s="31"/>
      <c r="G580" s="31"/>
      <c r="H580" s="29"/>
      <c r="I580" s="12"/>
      <c r="J580" s="12"/>
      <c r="K580" s="12"/>
      <c r="L580" s="12"/>
      <c r="M580" s="18" t="str">
        <f t="shared" si="1"/>
        <v>#DIV/0!</v>
      </c>
      <c r="N580" s="18" t="str">
        <f t="shared" si="2"/>
        <v>#DIV/0!</v>
      </c>
      <c r="O580" s="12" t="str">
        <f t="shared" si="4"/>
        <v/>
      </c>
      <c r="P580" s="18" t="str">
        <f t="shared" si="3"/>
        <v>#DIV/0!</v>
      </c>
      <c r="Q580" s="12"/>
    </row>
    <row r="581">
      <c r="A581" s="1" t="s">
        <v>3121</v>
      </c>
      <c r="B581" s="7" t="s">
        <v>3122</v>
      </c>
      <c r="C581" s="2" t="s">
        <v>4537</v>
      </c>
      <c r="E581" s="31"/>
      <c r="F581" s="31"/>
      <c r="G581" s="31"/>
      <c r="H581" s="29"/>
      <c r="I581" s="12"/>
      <c r="J581" s="12"/>
      <c r="K581" s="12"/>
      <c r="L581" s="12"/>
      <c r="M581" s="18" t="str">
        <f t="shared" si="1"/>
        <v>#DIV/0!</v>
      </c>
      <c r="N581" s="18" t="str">
        <f t="shared" si="2"/>
        <v>#DIV/0!</v>
      </c>
      <c r="O581" s="12" t="str">
        <f t="shared" si="4"/>
        <v/>
      </c>
      <c r="P581" s="18" t="str">
        <f t="shared" si="3"/>
        <v>#DIV/0!</v>
      </c>
      <c r="Q581" s="12"/>
    </row>
    <row r="582">
      <c r="A582" s="1" t="s">
        <v>3133</v>
      </c>
      <c r="B582" s="7" t="s">
        <v>3134</v>
      </c>
      <c r="C582" s="2" t="s">
        <v>3982</v>
      </c>
      <c r="D582" s="7" t="s">
        <v>3983</v>
      </c>
      <c r="E582" s="31"/>
      <c r="F582" s="31"/>
      <c r="G582" s="31"/>
      <c r="H582" s="29"/>
      <c r="I582" s="12"/>
      <c r="J582" s="12"/>
      <c r="K582" s="12"/>
      <c r="L582" s="12"/>
      <c r="M582" s="18" t="str">
        <f t="shared" si="1"/>
        <v>#DIV/0!</v>
      </c>
      <c r="N582" s="18" t="str">
        <f t="shared" si="2"/>
        <v>#DIV/0!</v>
      </c>
      <c r="O582" s="12" t="str">
        <f t="shared" si="4"/>
        <v/>
      </c>
      <c r="P582" s="18" t="str">
        <f t="shared" si="3"/>
        <v>#DIV/0!</v>
      </c>
      <c r="Q582" s="12"/>
    </row>
    <row r="583">
      <c r="A583" s="1" t="s">
        <v>3139</v>
      </c>
      <c r="B583" s="7" t="s">
        <v>3140</v>
      </c>
      <c r="C583" s="2" t="s">
        <v>3859</v>
      </c>
      <c r="D583" s="7" t="s">
        <v>3860</v>
      </c>
      <c r="E583" s="31"/>
      <c r="F583" s="31"/>
      <c r="G583" s="31"/>
      <c r="H583" s="29"/>
      <c r="I583" s="12"/>
      <c r="J583" s="12"/>
      <c r="K583" s="12"/>
      <c r="L583" s="12"/>
      <c r="M583" s="18" t="str">
        <f t="shared" si="1"/>
        <v>#DIV/0!</v>
      </c>
      <c r="N583" s="18" t="str">
        <f t="shared" si="2"/>
        <v>#DIV/0!</v>
      </c>
      <c r="O583" s="12" t="str">
        <f t="shared" si="4"/>
        <v/>
      </c>
      <c r="P583" s="18" t="str">
        <f t="shared" si="3"/>
        <v>#DIV/0!</v>
      </c>
      <c r="Q583" s="12"/>
    </row>
    <row r="584">
      <c r="A584" s="1" t="s">
        <v>3141</v>
      </c>
      <c r="B584" s="7" t="s">
        <v>3142</v>
      </c>
      <c r="C584" s="2" t="s">
        <v>3949</v>
      </c>
      <c r="E584" s="31"/>
      <c r="F584" s="31"/>
      <c r="G584" s="31"/>
      <c r="H584" s="29"/>
      <c r="I584" s="12"/>
      <c r="J584" s="12"/>
      <c r="K584" s="12"/>
      <c r="L584" s="12"/>
      <c r="M584" s="18" t="str">
        <f t="shared" si="1"/>
        <v>#DIV/0!</v>
      </c>
      <c r="N584" s="18" t="str">
        <f t="shared" si="2"/>
        <v>#DIV/0!</v>
      </c>
      <c r="O584" s="12" t="str">
        <f t="shared" si="4"/>
        <v/>
      </c>
      <c r="P584" s="18" t="str">
        <f t="shared" si="3"/>
        <v>#DIV/0!</v>
      </c>
      <c r="Q584" s="12"/>
    </row>
    <row r="585">
      <c r="A585" s="1" t="s">
        <v>3149</v>
      </c>
      <c r="B585" s="7" t="s">
        <v>3150</v>
      </c>
      <c r="C585" s="2" t="s">
        <v>4538</v>
      </c>
      <c r="D585" s="1" t="s">
        <v>3853</v>
      </c>
      <c r="E585" s="31"/>
      <c r="F585" s="31"/>
      <c r="G585" s="31"/>
      <c r="H585" s="29"/>
      <c r="I585" s="12"/>
      <c r="J585" s="12"/>
      <c r="K585" s="12"/>
      <c r="L585" s="12"/>
      <c r="M585" s="18" t="str">
        <f t="shared" si="1"/>
        <v>#DIV/0!</v>
      </c>
      <c r="N585" s="18" t="str">
        <f t="shared" si="2"/>
        <v>#DIV/0!</v>
      </c>
      <c r="O585" s="12" t="str">
        <f t="shared" si="4"/>
        <v/>
      </c>
      <c r="P585" s="18" t="str">
        <f t="shared" si="3"/>
        <v>#DIV/0!</v>
      </c>
      <c r="Q585" s="12"/>
    </row>
    <row r="586">
      <c r="A586" s="1" t="s">
        <v>3153</v>
      </c>
      <c r="B586" s="7" t="s">
        <v>3154</v>
      </c>
      <c r="C586" s="2" t="s">
        <v>4539</v>
      </c>
      <c r="D586" s="1" t="s">
        <v>4540</v>
      </c>
      <c r="E586" s="31"/>
      <c r="F586" s="31"/>
      <c r="G586" s="31"/>
      <c r="H586" s="29"/>
      <c r="I586" s="12"/>
      <c r="J586" s="12"/>
      <c r="K586" s="12"/>
      <c r="L586" s="12"/>
      <c r="M586" s="18" t="str">
        <f t="shared" si="1"/>
        <v>#DIV/0!</v>
      </c>
      <c r="N586" s="18" t="str">
        <f t="shared" si="2"/>
        <v>#DIV/0!</v>
      </c>
      <c r="O586" s="12" t="str">
        <f t="shared" si="4"/>
        <v/>
      </c>
      <c r="P586" s="18" t="str">
        <f t="shared" si="3"/>
        <v>#DIV/0!</v>
      </c>
      <c r="Q586" s="12"/>
    </row>
    <row r="587">
      <c r="A587" s="1" t="s">
        <v>3164</v>
      </c>
      <c r="B587" s="7" t="s">
        <v>3165</v>
      </c>
      <c r="C587" s="2" t="s">
        <v>4541</v>
      </c>
      <c r="D587" s="1" t="s">
        <v>3886</v>
      </c>
      <c r="E587" s="31"/>
      <c r="F587" s="31"/>
      <c r="G587" s="31"/>
      <c r="H587" s="29"/>
      <c r="I587" s="12"/>
      <c r="J587" s="12"/>
      <c r="K587" s="12"/>
      <c r="L587" s="12"/>
      <c r="M587" s="18" t="str">
        <f t="shared" si="1"/>
        <v>#DIV/0!</v>
      </c>
      <c r="N587" s="18" t="str">
        <f t="shared" si="2"/>
        <v>#DIV/0!</v>
      </c>
      <c r="O587" s="12" t="str">
        <f t="shared" si="4"/>
        <v/>
      </c>
      <c r="P587" s="18" t="str">
        <f t="shared" si="3"/>
        <v>#DIV/0!</v>
      </c>
      <c r="Q587" s="12"/>
    </row>
    <row r="588">
      <c r="A588" s="1" t="s">
        <v>3166</v>
      </c>
      <c r="B588" s="7" t="s">
        <v>3167</v>
      </c>
      <c r="C588" s="2" t="s">
        <v>4078</v>
      </c>
      <c r="D588" s="7" t="s">
        <v>4079</v>
      </c>
      <c r="E588" s="31"/>
      <c r="F588" s="31"/>
      <c r="G588" s="31"/>
      <c r="H588" s="29"/>
      <c r="I588" s="12"/>
      <c r="J588" s="12"/>
      <c r="K588" s="12"/>
      <c r="L588" s="12"/>
      <c r="M588" s="18" t="str">
        <f t="shared" si="1"/>
        <v>#DIV/0!</v>
      </c>
      <c r="N588" s="18" t="str">
        <f t="shared" si="2"/>
        <v>#DIV/0!</v>
      </c>
      <c r="O588" s="12" t="str">
        <f t="shared" si="4"/>
        <v/>
      </c>
      <c r="P588" s="18" t="str">
        <f t="shared" si="3"/>
        <v>#DIV/0!</v>
      </c>
      <c r="Q588" s="12"/>
    </row>
    <row r="589">
      <c r="A589" s="1" t="s">
        <v>3168</v>
      </c>
      <c r="B589" s="7" t="s">
        <v>3169</v>
      </c>
      <c r="C589" s="2" t="s">
        <v>3830</v>
      </c>
      <c r="D589" s="7" t="s">
        <v>3831</v>
      </c>
      <c r="E589" s="31"/>
      <c r="F589" s="31"/>
      <c r="G589" s="31"/>
      <c r="H589" s="29"/>
      <c r="I589" s="12"/>
      <c r="J589" s="12"/>
      <c r="K589" s="12"/>
      <c r="L589" s="12"/>
      <c r="M589" s="18" t="str">
        <f t="shared" si="1"/>
        <v>#DIV/0!</v>
      </c>
      <c r="N589" s="18" t="str">
        <f t="shared" si="2"/>
        <v>#DIV/0!</v>
      </c>
      <c r="O589" s="12" t="str">
        <f t="shared" si="4"/>
        <v/>
      </c>
      <c r="P589" s="18" t="str">
        <f t="shared" si="3"/>
        <v>#DIV/0!</v>
      </c>
      <c r="Q589" s="12"/>
    </row>
    <row r="590">
      <c r="A590" s="1" t="s">
        <v>3172</v>
      </c>
      <c r="B590" s="7" t="s">
        <v>3173</v>
      </c>
      <c r="C590" s="2" t="s">
        <v>4542</v>
      </c>
      <c r="D590" s="7" t="s">
        <v>4543</v>
      </c>
      <c r="E590" s="31"/>
      <c r="F590" s="31"/>
      <c r="G590" s="31"/>
      <c r="H590" s="29"/>
      <c r="I590" s="12"/>
      <c r="J590" s="12"/>
      <c r="K590" s="12"/>
      <c r="L590" s="12"/>
      <c r="M590" s="18" t="str">
        <f t="shared" si="1"/>
        <v>#DIV/0!</v>
      </c>
      <c r="N590" s="18" t="str">
        <f t="shared" si="2"/>
        <v>#DIV/0!</v>
      </c>
      <c r="O590" s="12" t="str">
        <f t="shared" si="4"/>
        <v/>
      </c>
      <c r="P590" s="18" t="str">
        <f t="shared" si="3"/>
        <v>#DIV/0!</v>
      </c>
      <c r="Q590" s="12"/>
    </row>
    <row r="591">
      <c r="A591" s="1" t="s">
        <v>3176</v>
      </c>
      <c r="B591" s="7" t="s">
        <v>3177</v>
      </c>
      <c r="C591" s="2" t="s">
        <v>4049</v>
      </c>
      <c r="D591" s="1" t="s">
        <v>3992</v>
      </c>
      <c r="E591" s="31"/>
      <c r="F591" s="31"/>
      <c r="G591" s="31"/>
      <c r="H591" s="29"/>
      <c r="I591" s="12"/>
      <c r="J591" s="12"/>
      <c r="K591" s="12"/>
      <c r="L591" s="12"/>
      <c r="M591" s="18" t="str">
        <f t="shared" si="1"/>
        <v>#DIV/0!</v>
      </c>
      <c r="N591" s="18" t="str">
        <f t="shared" si="2"/>
        <v>#DIV/0!</v>
      </c>
      <c r="O591" s="12" t="str">
        <f t="shared" si="4"/>
        <v/>
      </c>
      <c r="P591" s="18" t="str">
        <f t="shared" si="3"/>
        <v>#DIV/0!</v>
      </c>
      <c r="Q591" s="12"/>
    </row>
    <row r="592">
      <c r="A592" s="1" t="s">
        <v>3180</v>
      </c>
      <c r="B592" s="7" t="s">
        <v>3181</v>
      </c>
      <c r="C592" s="2" t="s">
        <v>3982</v>
      </c>
      <c r="D592" s="7" t="s">
        <v>3983</v>
      </c>
      <c r="E592" s="31"/>
      <c r="F592" s="31"/>
      <c r="G592" s="31"/>
      <c r="H592" s="29"/>
      <c r="I592" s="12"/>
      <c r="J592" s="12"/>
      <c r="K592" s="12"/>
      <c r="L592" s="12"/>
      <c r="M592" s="18" t="str">
        <f t="shared" si="1"/>
        <v>#DIV/0!</v>
      </c>
      <c r="N592" s="18" t="str">
        <f t="shared" si="2"/>
        <v>#DIV/0!</v>
      </c>
      <c r="O592" s="12" t="str">
        <f t="shared" si="4"/>
        <v/>
      </c>
      <c r="P592" s="18" t="str">
        <f t="shared" si="3"/>
        <v>#DIV/0!</v>
      </c>
      <c r="Q592" s="12"/>
    </row>
    <row r="593">
      <c r="A593" s="1" t="s">
        <v>3182</v>
      </c>
      <c r="B593" s="7" t="s">
        <v>3183</v>
      </c>
      <c r="C593" s="2" t="s">
        <v>4416</v>
      </c>
      <c r="D593" s="1" t="s">
        <v>4544</v>
      </c>
      <c r="E593" s="31"/>
      <c r="F593" s="31"/>
      <c r="G593" s="31"/>
      <c r="H593" s="29"/>
      <c r="I593" s="12"/>
      <c r="J593" s="12"/>
      <c r="K593" s="12"/>
      <c r="L593" s="12"/>
      <c r="M593" s="18" t="str">
        <f t="shared" si="1"/>
        <v>#DIV/0!</v>
      </c>
      <c r="N593" s="18" t="str">
        <f t="shared" si="2"/>
        <v>#DIV/0!</v>
      </c>
      <c r="O593" s="12" t="str">
        <f t="shared" si="4"/>
        <v/>
      </c>
      <c r="P593" s="18" t="str">
        <f t="shared" si="3"/>
        <v>#DIV/0!</v>
      </c>
      <c r="Q593" s="12"/>
    </row>
    <row r="594">
      <c r="A594" s="1" t="s">
        <v>3186</v>
      </c>
      <c r="B594" s="7" t="s">
        <v>3187</v>
      </c>
      <c r="C594" s="2" t="s">
        <v>4545</v>
      </c>
      <c r="D594" s="1" t="s">
        <v>4546</v>
      </c>
      <c r="E594" s="31"/>
      <c r="F594" s="31"/>
      <c r="G594" s="31"/>
      <c r="H594" s="29"/>
      <c r="I594" s="12"/>
      <c r="J594" s="12"/>
      <c r="K594" s="12"/>
      <c r="L594" s="12"/>
      <c r="M594" s="18" t="str">
        <f t="shared" si="1"/>
        <v>#DIV/0!</v>
      </c>
      <c r="N594" s="18" t="str">
        <f t="shared" si="2"/>
        <v>#DIV/0!</v>
      </c>
      <c r="O594" s="12" t="str">
        <f t="shared" si="4"/>
        <v/>
      </c>
      <c r="P594" s="18" t="str">
        <f t="shared" si="3"/>
        <v>#DIV/0!</v>
      </c>
      <c r="Q594" s="12"/>
    </row>
    <row r="595">
      <c r="A595" s="1" t="s">
        <v>3189</v>
      </c>
      <c r="B595" s="7" t="s">
        <v>3190</v>
      </c>
      <c r="C595" s="2" t="s">
        <v>4405</v>
      </c>
      <c r="E595" s="31"/>
      <c r="F595" s="31"/>
      <c r="G595" s="31"/>
      <c r="H595" s="29"/>
      <c r="I595" s="12"/>
      <c r="J595" s="12"/>
      <c r="K595" s="12"/>
      <c r="L595" s="12"/>
      <c r="M595" s="18" t="str">
        <f t="shared" si="1"/>
        <v>#DIV/0!</v>
      </c>
      <c r="N595" s="18" t="str">
        <f t="shared" si="2"/>
        <v>#DIV/0!</v>
      </c>
      <c r="O595" s="12" t="str">
        <f t="shared" si="4"/>
        <v/>
      </c>
      <c r="P595" s="18" t="str">
        <f t="shared" si="3"/>
        <v>#DIV/0!</v>
      </c>
      <c r="Q595" s="12"/>
    </row>
    <row r="596">
      <c r="A596" s="1" t="s">
        <v>3193</v>
      </c>
      <c r="B596" s="7" t="s">
        <v>3194</v>
      </c>
      <c r="C596" s="2" t="s">
        <v>4547</v>
      </c>
      <c r="D596" s="7" t="s">
        <v>4548</v>
      </c>
      <c r="E596" s="31"/>
      <c r="F596" s="31"/>
      <c r="G596" s="31"/>
      <c r="H596" s="29"/>
      <c r="I596" s="12"/>
      <c r="J596" s="12"/>
      <c r="K596" s="12"/>
      <c r="L596" s="12"/>
      <c r="M596" s="18" t="str">
        <f t="shared" si="1"/>
        <v>#DIV/0!</v>
      </c>
      <c r="N596" s="18" t="str">
        <f t="shared" si="2"/>
        <v>#DIV/0!</v>
      </c>
      <c r="O596" s="12" t="str">
        <f t="shared" si="4"/>
        <v/>
      </c>
      <c r="P596" s="18" t="str">
        <f t="shared" si="3"/>
        <v>#DIV/0!</v>
      </c>
      <c r="Q596" s="12"/>
    </row>
    <row r="597">
      <c r="A597" s="1" t="s">
        <v>3197</v>
      </c>
      <c r="B597" s="7" t="s">
        <v>3198</v>
      </c>
      <c r="C597" s="2" t="s">
        <v>3838</v>
      </c>
      <c r="D597" s="7" t="s">
        <v>3839</v>
      </c>
      <c r="E597" s="31"/>
      <c r="F597" s="31"/>
      <c r="G597" s="31"/>
      <c r="H597" s="29"/>
      <c r="I597" s="12"/>
      <c r="J597" s="12"/>
      <c r="K597" s="12"/>
      <c r="L597" s="12"/>
      <c r="M597" s="18" t="str">
        <f t="shared" si="1"/>
        <v>#DIV/0!</v>
      </c>
      <c r="N597" s="18" t="str">
        <f t="shared" si="2"/>
        <v>#DIV/0!</v>
      </c>
      <c r="O597" s="12" t="str">
        <f t="shared" si="4"/>
        <v/>
      </c>
      <c r="P597" s="18" t="str">
        <f t="shared" si="3"/>
        <v>#DIV/0!</v>
      </c>
      <c r="Q597" s="12"/>
    </row>
    <row r="598">
      <c r="A598" s="1" t="s">
        <v>3201</v>
      </c>
      <c r="B598" s="7" t="s">
        <v>3202</v>
      </c>
      <c r="C598" s="2" t="s">
        <v>4549</v>
      </c>
      <c r="D598" s="7" t="s">
        <v>4550</v>
      </c>
      <c r="E598" s="31"/>
      <c r="F598" s="31"/>
      <c r="G598" s="31"/>
      <c r="H598" s="29"/>
      <c r="I598" s="12"/>
      <c r="J598" s="12"/>
      <c r="K598" s="12"/>
      <c r="L598" s="12"/>
      <c r="M598" s="18" t="str">
        <f t="shared" si="1"/>
        <v>#DIV/0!</v>
      </c>
      <c r="N598" s="18" t="str">
        <f t="shared" si="2"/>
        <v>#DIV/0!</v>
      </c>
      <c r="O598" s="12" t="str">
        <f t="shared" si="4"/>
        <v/>
      </c>
      <c r="P598" s="18" t="str">
        <f t="shared" si="3"/>
        <v>#DIV/0!</v>
      </c>
      <c r="Q598" s="12"/>
    </row>
    <row r="599">
      <c r="A599" s="1" t="s">
        <v>3209</v>
      </c>
      <c r="B599" s="7" t="s">
        <v>3210</v>
      </c>
      <c r="C599" s="2" t="s">
        <v>4405</v>
      </c>
      <c r="E599" s="31"/>
      <c r="F599" s="31"/>
      <c r="G599" s="31"/>
      <c r="H599" s="29"/>
      <c r="I599" s="12"/>
      <c r="J599" s="12"/>
      <c r="K599" s="12"/>
      <c r="L599" s="12"/>
      <c r="M599" s="18" t="str">
        <f t="shared" si="1"/>
        <v>#DIV/0!</v>
      </c>
      <c r="N599" s="18" t="str">
        <f t="shared" si="2"/>
        <v>#DIV/0!</v>
      </c>
      <c r="O599" s="12" t="str">
        <f t="shared" si="4"/>
        <v/>
      </c>
      <c r="P599" s="18" t="str">
        <f t="shared" si="3"/>
        <v>#DIV/0!</v>
      </c>
      <c r="Q599" s="12"/>
    </row>
    <row r="600">
      <c r="A600" s="1" t="s">
        <v>3213</v>
      </c>
      <c r="B600" s="7" t="s">
        <v>3214</v>
      </c>
      <c r="C600" s="2" t="s">
        <v>4551</v>
      </c>
      <c r="D600" s="7" t="s">
        <v>4552</v>
      </c>
      <c r="E600" s="31"/>
      <c r="F600" s="31"/>
      <c r="G600" s="31"/>
      <c r="H600" s="29"/>
      <c r="I600" s="12"/>
      <c r="J600" s="12"/>
      <c r="K600" s="12"/>
      <c r="L600" s="12"/>
      <c r="M600" s="18" t="str">
        <f t="shared" si="1"/>
        <v>#DIV/0!</v>
      </c>
      <c r="N600" s="18" t="str">
        <f t="shared" si="2"/>
        <v>#DIV/0!</v>
      </c>
      <c r="O600" s="12" t="str">
        <f t="shared" si="4"/>
        <v/>
      </c>
      <c r="P600" s="18" t="str">
        <f t="shared" si="3"/>
        <v>#DIV/0!</v>
      </c>
      <c r="Q600" s="12"/>
    </row>
    <row r="601">
      <c r="A601" s="1" t="s">
        <v>3217</v>
      </c>
      <c r="B601" s="7" t="s">
        <v>3218</v>
      </c>
      <c r="C601" s="2" t="s">
        <v>4256</v>
      </c>
      <c r="D601" s="7" t="s">
        <v>4257</v>
      </c>
      <c r="E601" s="31"/>
      <c r="F601" s="31"/>
      <c r="G601" s="31"/>
      <c r="H601" s="29"/>
      <c r="I601" s="12"/>
      <c r="J601" s="12"/>
      <c r="K601" s="12"/>
      <c r="L601" s="12"/>
      <c r="M601" s="18" t="str">
        <f t="shared" si="1"/>
        <v>#DIV/0!</v>
      </c>
      <c r="N601" s="18" t="str">
        <f t="shared" si="2"/>
        <v>#DIV/0!</v>
      </c>
      <c r="O601" s="12" t="str">
        <f t="shared" si="4"/>
        <v/>
      </c>
      <c r="P601" s="18" t="str">
        <f t="shared" si="3"/>
        <v>#DIV/0!</v>
      </c>
      <c r="Q601" s="12"/>
    </row>
    <row r="602">
      <c r="A602" s="1" t="s">
        <v>3232</v>
      </c>
      <c r="B602" s="7" t="s">
        <v>3233</v>
      </c>
      <c r="C602" s="2" t="s">
        <v>4553</v>
      </c>
      <c r="E602" s="31"/>
      <c r="F602" s="31"/>
      <c r="G602" s="31"/>
      <c r="H602" s="29"/>
      <c r="I602" s="12"/>
      <c r="J602" s="12"/>
      <c r="K602" s="12"/>
      <c r="L602" s="12"/>
      <c r="M602" s="18" t="str">
        <f t="shared" si="1"/>
        <v>#DIV/0!</v>
      </c>
      <c r="N602" s="18" t="str">
        <f t="shared" si="2"/>
        <v>#DIV/0!</v>
      </c>
      <c r="O602" s="12" t="str">
        <f t="shared" si="4"/>
        <v/>
      </c>
      <c r="P602" s="18" t="str">
        <f t="shared" si="3"/>
        <v>#DIV/0!</v>
      </c>
      <c r="Q602" s="12"/>
    </row>
    <row r="603">
      <c r="A603" s="1" t="s">
        <v>3238</v>
      </c>
      <c r="B603" s="7" t="s">
        <v>3239</v>
      </c>
      <c r="C603" s="2" t="s">
        <v>3838</v>
      </c>
      <c r="D603" s="7" t="s">
        <v>3839</v>
      </c>
      <c r="E603" s="31"/>
      <c r="F603" s="31"/>
      <c r="G603" s="31"/>
      <c r="H603" s="29"/>
      <c r="I603" s="12"/>
      <c r="J603" s="12"/>
      <c r="K603" s="12"/>
      <c r="L603" s="12"/>
      <c r="M603" s="18" t="str">
        <f t="shared" si="1"/>
        <v>#DIV/0!</v>
      </c>
      <c r="N603" s="18" t="str">
        <f t="shared" si="2"/>
        <v>#DIV/0!</v>
      </c>
      <c r="O603" s="12" t="str">
        <f t="shared" si="4"/>
        <v/>
      </c>
      <c r="P603" s="18" t="str">
        <f t="shared" si="3"/>
        <v>#DIV/0!</v>
      </c>
      <c r="Q603" s="12"/>
    </row>
    <row r="604">
      <c r="A604" s="1" t="s">
        <v>3247</v>
      </c>
      <c r="B604" s="7" t="s">
        <v>3248</v>
      </c>
      <c r="C604" s="2" t="s">
        <v>3838</v>
      </c>
      <c r="D604" s="7" t="s">
        <v>3839</v>
      </c>
      <c r="E604" s="31"/>
      <c r="F604" s="31"/>
      <c r="G604" s="31"/>
      <c r="H604" s="29"/>
      <c r="I604" s="12"/>
      <c r="J604" s="12"/>
      <c r="K604" s="12"/>
      <c r="L604" s="12"/>
      <c r="M604" s="18" t="str">
        <f t="shared" si="1"/>
        <v>#DIV/0!</v>
      </c>
      <c r="N604" s="18" t="str">
        <f t="shared" si="2"/>
        <v>#DIV/0!</v>
      </c>
      <c r="O604" s="12" t="str">
        <f t="shared" si="4"/>
        <v/>
      </c>
      <c r="P604" s="18" t="str">
        <f t="shared" si="3"/>
        <v>#DIV/0!</v>
      </c>
      <c r="Q604" s="12"/>
    </row>
    <row r="605">
      <c r="A605" s="1" t="s">
        <v>3249</v>
      </c>
      <c r="B605" s="7" t="s">
        <v>3250</v>
      </c>
      <c r="C605" s="2" t="s">
        <v>4105</v>
      </c>
      <c r="D605" s="1" t="s">
        <v>3853</v>
      </c>
      <c r="E605" s="31"/>
      <c r="F605" s="31"/>
      <c r="G605" s="31"/>
      <c r="H605" s="29"/>
      <c r="I605" s="12"/>
      <c r="J605" s="12"/>
      <c r="K605" s="12"/>
      <c r="L605" s="12"/>
      <c r="M605" s="18" t="str">
        <f t="shared" si="1"/>
        <v>#DIV/0!</v>
      </c>
      <c r="N605" s="18" t="str">
        <f t="shared" si="2"/>
        <v>#DIV/0!</v>
      </c>
      <c r="O605" s="12" t="str">
        <f t="shared" si="4"/>
        <v/>
      </c>
      <c r="P605" s="18" t="str">
        <f t="shared" si="3"/>
        <v>#DIV/0!</v>
      </c>
      <c r="Q605" s="12"/>
    </row>
    <row r="606">
      <c r="A606" s="1" t="s">
        <v>3257</v>
      </c>
      <c r="B606" s="7" t="s">
        <v>3258</v>
      </c>
      <c r="C606" s="2" t="s">
        <v>3914</v>
      </c>
      <c r="D606" s="1" t="s">
        <v>4301</v>
      </c>
      <c r="E606" s="31"/>
      <c r="F606" s="31"/>
      <c r="G606" s="31"/>
      <c r="H606" s="29"/>
      <c r="I606" s="12"/>
      <c r="J606" s="12"/>
      <c r="K606" s="12"/>
      <c r="L606" s="12"/>
      <c r="M606" s="18" t="str">
        <f t="shared" si="1"/>
        <v>#DIV/0!</v>
      </c>
      <c r="N606" s="18" t="str">
        <f t="shared" si="2"/>
        <v>#DIV/0!</v>
      </c>
      <c r="O606" s="12" t="str">
        <f t="shared" si="4"/>
        <v/>
      </c>
      <c r="P606" s="18" t="str">
        <f t="shared" si="3"/>
        <v>#DIV/0!</v>
      </c>
      <c r="Q606" s="12"/>
    </row>
    <row r="607">
      <c r="A607" s="1" t="s">
        <v>3259</v>
      </c>
      <c r="B607" s="7" t="s">
        <v>3260</v>
      </c>
      <c r="C607" s="2" t="s">
        <v>4554</v>
      </c>
      <c r="D607" s="1" t="s">
        <v>4555</v>
      </c>
      <c r="E607" s="31"/>
      <c r="F607" s="31"/>
      <c r="G607" s="31"/>
      <c r="H607" s="29"/>
      <c r="I607" s="12"/>
      <c r="J607" s="12"/>
      <c r="K607" s="12"/>
      <c r="L607" s="12"/>
      <c r="M607" s="18" t="str">
        <f t="shared" si="1"/>
        <v>#DIV/0!</v>
      </c>
      <c r="N607" s="18" t="str">
        <f t="shared" si="2"/>
        <v>#DIV/0!</v>
      </c>
      <c r="O607" s="12" t="str">
        <f t="shared" si="4"/>
        <v/>
      </c>
      <c r="P607" s="18" t="str">
        <f t="shared" si="3"/>
        <v>#DIV/0!</v>
      </c>
      <c r="Q607" s="12"/>
    </row>
    <row r="608">
      <c r="A608" s="1" t="s">
        <v>3274</v>
      </c>
      <c r="B608" s="7" t="s">
        <v>3275</v>
      </c>
      <c r="C608" s="2" t="s">
        <v>4556</v>
      </c>
      <c r="D608" s="1" t="s">
        <v>4557</v>
      </c>
      <c r="E608" s="31"/>
      <c r="F608" s="31"/>
      <c r="G608" s="31"/>
      <c r="H608" s="29"/>
      <c r="I608" s="12"/>
      <c r="J608" s="12"/>
      <c r="K608" s="12"/>
      <c r="L608" s="12"/>
      <c r="M608" s="18" t="str">
        <f t="shared" si="1"/>
        <v>#DIV/0!</v>
      </c>
      <c r="N608" s="18" t="str">
        <f t="shared" si="2"/>
        <v>#DIV/0!</v>
      </c>
      <c r="O608" s="12" t="str">
        <f t="shared" si="4"/>
        <v/>
      </c>
      <c r="P608" s="18" t="str">
        <f t="shared" si="3"/>
        <v>#DIV/0!</v>
      </c>
      <c r="Q608" s="12"/>
    </row>
    <row r="609">
      <c r="A609" s="1" t="s">
        <v>3278</v>
      </c>
      <c r="B609" s="7" t="s">
        <v>3279</v>
      </c>
      <c r="C609" s="2" t="s">
        <v>3838</v>
      </c>
      <c r="D609" s="7" t="s">
        <v>3839</v>
      </c>
      <c r="E609" s="31"/>
      <c r="F609" s="31"/>
      <c r="G609" s="31"/>
      <c r="H609" s="29"/>
      <c r="I609" s="12"/>
      <c r="J609" s="12"/>
      <c r="K609" s="12"/>
      <c r="L609" s="12"/>
      <c r="M609" s="18" t="str">
        <f t="shared" si="1"/>
        <v>#DIV/0!</v>
      </c>
      <c r="N609" s="18" t="str">
        <f t="shared" si="2"/>
        <v>#DIV/0!</v>
      </c>
      <c r="O609" s="12" t="str">
        <f t="shared" si="4"/>
        <v/>
      </c>
      <c r="P609" s="18" t="str">
        <f t="shared" si="3"/>
        <v>#DIV/0!</v>
      </c>
      <c r="Q609" s="12"/>
    </row>
    <row r="610">
      <c r="A610" s="1" t="s">
        <v>3286</v>
      </c>
      <c r="B610" s="7" t="s">
        <v>3287</v>
      </c>
      <c r="C610" s="2" t="s">
        <v>4558</v>
      </c>
      <c r="D610" s="1" t="s">
        <v>4559</v>
      </c>
      <c r="E610" s="31"/>
      <c r="F610" s="31"/>
      <c r="G610" s="31"/>
      <c r="H610" s="29"/>
      <c r="I610" s="12"/>
      <c r="J610" s="12"/>
      <c r="K610" s="12"/>
      <c r="L610" s="12"/>
      <c r="M610" s="18" t="str">
        <f t="shared" si="1"/>
        <v>#DIV/0!</v>
      </c>
      <c r="N610" s="18" t="str">
        <f t="shared" si="2"/>
        <v>#DIV/0!</v>
      </c>
      <c r="O610" s="12" t="str">
        <f t="shared" si="4"/>
        <v/>
      </c>
      <c r="P610" s="18" t="str">
        <f t="shared" si="3"/>
        <v>#DIV/0!</v>
      </c>
      <c r="Q610" s="12"/>
    </row>
    <row r="611">
      <c r="A611" s="1" t="s">
        <v>3290</v>
      </c>
      <c r="B611" s="7" t="s">
        <v>3291</v>
      </c>
      <c r="C611" s="2" t="s">
        <v>4560</v>
      </c>
      <c r="D611" s="1" t="s">
        <v>4561</v>
      </c>
      <c r="E611" s="31"/>
      <c r="F611" s="31"/>
      <c r="G611" s="31"/>
      <c r="H611" s="29"/>
      <c r="I611" s="12"/>
      <c r="J611" s="12"/>
      <c r="K611" s="12"/>
      <c r="L611" s="12"/>
      <c r="M611" s="18" t="str">
        <f t="shared" si="1"/>
        <v>#DIV/0!</v>
      </c>
      <c r="N611" s="18" t="str">
        <f t="shared" si="2"/>
        <v>#DIV/0!</v>
      </c>
      <c r="O611" s="12" t="str">
        <f t="shared" si="4"/>
        <v/>
      </c>
      <c r="P611" s="18" t="str">
        <f t="shared" si="3"/>
        <v>#DIV/0!</v>
      </c>
      <c r="Q611" s="12"/>
    </row>
    <row r="612">
      <c r="A612" s="1" t="s">
        <v>3298</v>
      </c>
      <c r="B612" s="7" t="s">
        <v>3299</v>
      </c>
      <c r="C612" s="2" t="s">
        <v>4562</v>
      </c>
      <c r="D612" s="1" t="s">
        <v>4563</v>
      </c>
      <c r="E612" s="31"/>
      <c r="F612" s="31"/>
      <c r="G612" s="31"/>
      <c r="H612" s="29"/>
      <c r="I612" s="12"/>
      <c r="J612" s="12"/>
      <c r="K612" s="12"/>
      <c r="L612" s="12"/>
      <c r="M612" s="18" t="str">
        <f t="shared" si="1"/>
        <v>#DIV/0!</v>
      </c>
      <c r="N612" s="18" t="str">
        <f t="shared" si="2"/>
        <v>#DIV/0!</v>
      </c>
      <c r="O612" s="12" t="str">
        <f t="shared" si="4"/>
        <v/>
      </c>
      <c r="P612" s="18" t="str">
        <f t="shared" si="3"/>
        <v>#DIV/0!</v>
      </c>
      <c r="Q612" s="12"/>
    </row>
    <row r="613">
      <c r="A613" s="1" t="s">
        <v>3302</v>
      </c>
      <c r="B613" s="7" t="s">
        <v>3303</v>
      </c>
      <c r="C613" s="2" t="s">
        <v>4564</v>
      </c>
      <c r="D613" s="1" t="s">
        <v>4565</v>
      </c>
      <c r="E613" s="31"/>
      <c r="F613" s="31"/>
      <c r="G613" s="31"/>
      <c r="H613" s="29"/>
      <c r="I613" s="12"/>
      <c r="J613" s="12"/>
      <c r="K613" s="12"/>
      <c r="L613" s="12"/>
      <c r="M613" s="18" t="str">
        <f t="shared" si="1"/>
        <v>#DIV/0!</v>
      </c>
      <c r="N613" s="18" t="str">
        <f t="shared" si="2"/>
        <v>#DIV/0!</v>
      </c>
      <c r="O613" s="12" t="str">
        <f t="shared" si="4"/>
        <v/>
      </c>
      <c r="P613" s="18" t="str">
        <f t="shared" si="3"/>
        <v>#DIV/0!</v>
      </c>
      <c r="Q613" s="12"/>
    </row>
    <row r="614">
      <c r="A614" s="1" t="s">
        <v>3315</v>
      </c>
      <c r="B614" s="7" t="s">
        <v>3316</v>
      </c>
      <c r="C614" s="2" t="s">
        <v>4566</v>
      </c>
      <c r="D614" s="1" t="s">
        <v>4567</v>
      </c>
      <c r="E614" s="31"/>
      <c r="F614" s="31"/>
      <c r="G614" s="31"/>
      <c r="H614" s="29"/>
      <c r="I614" s="12"/>
      <c r="J614" s="12"/>
      <c r="K614" s="12"/>
      <c r="L614" s="12"/>
      <c r="M614" s="18" t="str">
        <f t="shared" si="1"/>
        <v>#DIV/0!</v>
      </c>
      <c r="N614" s="18" t="str">
        <f t="shared" si="2"/>
        <v>#DIV/0!</v>
      </c>
      <c r="O614" s="12" t="str">
        <f t="shared" si="4"/>
        <v/>
      </c>
      <c r="P614" s="18" t="str">
        <f t="shared" si="3"/>
        <v>#DIV/0!</v>
      </c>
      <c r="Q614" s="12"/>
    </row>
    <row r="615">
      <c r="A615" s="1" t="s">
        <v>3319</v>
      </c>
      <c r="B615" s="7" t="s">
        <v>3320</v>
      </c>
      <c r="C615" s="2" t="s">
        <v>4198</v>
      </c>
      <c r="D615" s="1" t="s">
        <v>4568</v>
      </c>
      <c r="E615" s="31"/>
      <c r="F615" s="31"/>
      <c r="G615" s="31"/>
      <c r="H615" s="29"/>
      <c r="I615" s="12"/>
      <c r="J615" s="12"/>
      <c r="K615" s="12"/>
      <c r="L615" s="12"/>
      <c r="M615" s="18" t="str">
        <f t="shared" si="1"/>
        <v>#DIV/0!</v>
      </c>
      <c r="N615" s="18" t="str">
        <f t="shared" si="2"/>
        <v>#DIV/0!</v>
      </c>
      <c r="O615" s="12" t="str">
        <f t="shared" si="4"/>
        <v/>
      </c>
      <c r="P615" s="18" t="str">
        <f t="shared" si="3"/>
        <v>#DIV/0!</v>
      </c>
      <c r="Q615" s="12"/>
    </row>
    <row r="616">
      <c r="A616" s="1" t="s">
        <v>3327</v>
      </c>
      <c r="B616" s="7" t="s">
        <v>3328</v>
      </c>
      <c r="C616" s="2" t="s">
        <v>4569</v>
      </c>
      <c r="D616" s="1" t="s">
        <v>4570</v>
      </c>
      <c r="E616" s="31"/>
      <c r="F616" s="31"/>
      <c r="G616" s="31"/>
      <c r="H616" s="29"/>
      <c r="I616" s="12"/>
      <c r="J616" s="12"/>
      <c r="K616" s="12"/>
      <c r="L616" s="12"/>
      <c r="M616" s="18" t="str">
        <f t="shared" si="1"/>
        <v>#DIV/0!</v>
      </c>
      <c r="N616" s="18" t="str">
        <f t="shared" si="2"/>
        <v>#DIV/0!</v>
      </c>
      <c r="O616" s="12" t="str">
        <f t="shared" si="4"/>
        <v/>
      </c>
      <c r="P616" s="18" t="str">
        <f t="shared" si="3"/>
        <v>#DIV/0!</v>
      </c>
      <c r="Q616" s="12"/>
    </row>
    <row r="617">
      <c r="A617" s="1" t="s">
        <v>3333</v>
      </c>
      <c r="B617" s="7" t="s">
        <v>3334</v>
      </c>
      <c r="C617" s="2" t="s">
        <v>4571</v>
      </c>
      <c r="D617" s="7" t="s">
        <v>4572</v>
      </c>
      <c r="E617" s="31"/>
      <c r="F617" s="31"/>
      <c r="G617" s="31"/>
      <c r="H617" s="29"/>
      <c r="I617" s="12"/>
      <c r="J617" s="12"/>
      <c r="K617" s="12"/>
      <c r="L617" s="12"/>
      <c r="M617" s="18" t="str">
        <f t="shared" si="1"/>
        <v>#DIV/0!</v>
      </c>
      <c r="N617" s="18" t="str">
        <f t="shared" si="2"/>
        <v>#DIV/0!</v>
      </c>
      <c r="O617" s="12" t="str">
        <f t="shared" si="4"/>
        <v/>
      </c>
      <c r="P617" s="18" t="str">
        <f t="shared" si="3"/>
        <v>#DIV/0!</v>
      </c>
      <c r="Q617" s="12"/>
    </row>
    <row r="618">
      <c r="A618" s="1" t="s">
        <v>3337</v>
      </c>
      <c r="B618" s="7" t="s">
        <v>3338</v>
      </c>
      <c r="C618" s="2" t="s">
        <v>3982</v>
      </c>
      <c r="D618" s="7" t="s">
        <v>3983</v>
      </c>
      <c r="E618" s="31"/>
      <c r="F618" s="31"/>
      <c r="G618" s="31"/>
      <c r="H618" s="29"/>
      <c r="I618" s="12"/>
      <c r="J618" s="12"/>
      <c r="K618" s="12"/>
      <c r="L618" s="12"/>
      <c r="M618" s="18" t="str">
        <f t="shared" si="1"/>
        <v>#DIV/0!</v>
      </c>
      <c r="N618" s="18" t="str">
        <f t="shared" si="2"/>
        <v>#DIV/0!</v>
      </c>
      <c r="O618" s="12" t="str">
        <f t="shared" si="4"/>
        <v/>
      </c>
      <c r="P618" s="18" t="str">
        <f t="shared" si="3"/>
        <v>#DIV/0!</v>
      </c>
      <c r="Q618" s="12"/>
    </row>
    <row r="619">
      <c r="A619" s="1" t="s">
        <v>3339</v>
      </c>
      <c r="B619" s="7" t="s">
        <v>3340</v>
      </c>
      <c r="C619" s="2" t="s">
        <v>4573</v>
      </c>
      <c r="E619" s="31"/>
      <c r="F619" s="31"/>
      <c r="G619" s="31"/>
      <c r="H619" s="29"/>
      <c r="I619" s="12"/>
      <c r="J619" s="12"/>
      <c r="K619" s="12"/>
      <c r="L619" s="12"/>
      <c r="M619" s="18" t="str">
        <f t="shared" si="1"/>
        <v>#DIV/0!</v>
      </c>
      <c r="N619" s="18" t="str">
        <f t="shared" si="2"/>
        <v>#DIV/0!</v>
      </c>
      <c r="O619" s="12" t="str">
        <f t="shared" si="4"/>
        <v/>
      </c>
      <c r="P619" s="18" t="str">
        <f t="shared" si="3"/>
        <v>#DIV/0!</v>
      </c>
      <c r="Q619" s="12"/>
    </row>
    <row r="620">
      <c r="A620" s="1" t="s">
        <v>3341</v>
      </c>
      <c r="B620" s="7" t="s">
        <v>3342</v>
      </c>
      <c r="C620" s="2" t="s">
        <v>3838</v>
      </c>
      <c r="D620" s="7" t="s">
        <v>3839</v>
      </c>
      <c r="E620" s="31"/>
      <c r="F620" s="31"/>
      <c r="G620" s="31"/>
      <c r="H620" s="29"/>
      <c r="I620" s="12"/>
      <c r="J620" s="12"/>
      <c r="K620" s="12"/>
      <c r="L620" s="12"/>
      <c r="M620" s="18" t="str">
        <f t="shared" si="1"/>
        <v>#DIV/0!</v>
      </c>
      <c r="N620" s="18" t="str">
        <f t="shared" si="2"/>
        <v>#DIV/0!</v>
      </c>
      <c r="O620" s="12" t="str">
        <f t="shared" si="4"/>
        <v/>
      </c>
      <c r="P620" s="18" t="str">
        <f t="shared" si="3"/>
        <v>#DIV/0!</v>
      </c>
      <c r="Q620" s="12"/>
    </row>
    <row r="621">
      <c r="A621" s="1" t="s">
        <v>3343</v>
      </c>
      <c r="B621" s="7" t="s">
        <v>3344</v>
      </c>
      <c r="C621" s="2" t="s">
        <v>3940</v>
      </c>
      <c r="E621" s="31"/>
      <c r="F621" s="31"/>
      <c r="G621" s="31"/>
      <c r="H621" s="29"/>
      <c r="I621" s="12"/>
      <c r="J621" s="12"/>
      <c r="K621" s="12"/>
      <c r="L621" s="12"/>
      <c r="M621" s="18" t="str">
        <f t="shared" si="1"/>
        <v>#DIV/0!</v>
      </c>
      <c r="N621" s="18" t="str">
        <f t="shared" si="2"/>
        <v>#DIV/0!</v>
      </c>
      <c r="O621" s="12" t="str">
        <f t="shared" si="4"/>
        <v/>
      </c>
      <c r="P621" s="18" t="str">
        <f t="shared" si="3"/>
        <v>#DIV/0!</v>
      </c>
      <c r="Q621" s="12"/>
    </row>
    <row r="622">
      <c r="A622" s="1" t="s">
        <v>3347</v>
      </c>
      <c r="B622" s="7" t="s">
        <v>3348</v>
      </c>
      <c r="C622" s="2" t="s">
        <v>4574</v>
      </c>
      <c r="D622" s="1" t="s">
        <v>4575</v>
      </c>
      <c r="E622" s="31"/>
      <c r="F622" s="31"/>
      <c r="G622" s="31"/>
      <c r="H622" s="29"/>
      <c r="I622" s="12"/>
      <c r="J622" s="12"/>
      <c r="K622" s="12"/>
      <c r="L622" s="12"/>
      <c r="M622" s="18" t="str">
        <f t="shared" si="1"/>
        <v>#DIV/0!</v>
      </c>
      <c r="N622" s="18" t="str">
        <f t="shared" si="2"/>
        <v>#DIV/0!</v>
      </c>
      <c r="O622" s="12" t="str">
        <f t="shared" si="4"/>
        <v/>
      </c>
      <c r="P622" s="18" t="str">
        <f t="shared" si="3"/>
        <v>#DIV/0!</v>
      </c>
      <c r="Q622" s="12"/>
    </row>
    <row r="623">
      <c r="A623" s="1" t="s">
        <v>3351</v>
      </c>
      <c r="B623" s="7" t="s">
        <v>3352</v>
      </c>
      <c r="C623" s="2" t="s">
        <v>4576</v>
      </c>
      <c r="D623" s="1" t="s">
        <v>4577</v>
      </c>
      <c r="E623" s="31"/>
      <c r="F623" s="31"/>
      <c r="G623" s="31"/>
      <c r="H623" s="29"/>
      <c r="I623" s="12"/>
      <c r="J623" s="12"/>
      <c r="K623" s="12"/>
      <c r="L623" s="12"/>
      <c r="M623" s="18" t="str">
        <f t="shared" si="1"/>
        <v>#DIV/0!</v>
      </c>
      <c r="N623" s="18" t="str">
        <f t="shared" si="2"/>
        <v>#DIV/0!</v>
      </c>
      <c r="O623" s="12" t="str">
        <f t="shared" si="4"/>
        <v/>
      </c>
      <c r="P623" s="18" t="str">
        <f t="shared" si="3"/>
        <v>#DIV/0!</v>
      </c>
      <c r="Q623" s="12"/>
    </row>
    <row r="624">
      <c r="A624" s="1" t="s">
        <v>3357</v>
      </c>
      <c r="B624" s="7" t="s">
        <v>3358</v>
      </c>
      <c r="C624" s="2" t="s">
        <v>3879</v>
      </c>
      <c r="D624" s="7" t="s">
        <v>3880</v>
      </c>
      <c r="E624" s="31"/>
      <c r="F624" s="31"/>
      <c r="G624" s="31"/>
      <c r="H624" s="29"/>
      <c r="I624" s="12"/>
      <c r="J624" s="12"/>
      <c r="K624" s="12"/>
      <c r="L624" s="12"/>
      <c r="M624" s="18" t="str">
        <f t="shared" si="1"/>
        <v>#DIV/0!</v>
      </c>
      <c r="N624" s="18" t="str">
        <f t="shared" si="2"/>
        <v>#DIV/0!</v>
      </c>
      <c r="O624" s="12" t="str">
        <f t="shared" si="4"/>
        <v/>
      </c>
      <c r="P624" s="18" t="str">
        <f t="shared" si="3"/>
        <v>#DIV/0!</v>
      </c>
      <c r="Q624" s="12"/>
    </row>
    <row r="625">
      <c r="A625" s="1" t="s">
        <v>3360</v>
      </c>
      <c r="B625" s="7" t="s">
        <v>3361</v>
      </c>
      <c r="C625" s="2" t="s">
        <v>4578</v>
      </c>
      <c r="D625" s="1" t="s">
        <v>4579</v>
      </c>
      <c r="E625" s="31"/>
      <c r="F625" s="31"/>
      <c r="G625" s="31"/>
      <c r="H625" s="29"/>
      <c r="I625" s="12"/>
      <c r="J625" s="12"/>
      <c r="K625" s="12"/>
      <c r="L625" s="12"/>
      <c r="M625" s="18" t="str">
        <f t="shared" si="1"/>
        <v>#DIV/0!</v>
      </c>
      <c r="N625" s="18" t="str">
        <f t="shared" si="2"/>
        <v>#DIV/0!</v>
      </c>
      <c r="O625" s="12" t="str">
        <f t="shared" si="4"/>
        <v/>
      </c>
      <c r="P625" s="18" t="str">
        <f t="shared" si="3"/>
        <v>#DIV/0!</v>
      </c>
      <c r="Q625" s="12"/>
    </row>
    <row r="626">
      <c r="A626" s="1" t="s">
        <v>3364</v>
      </c>
      <c r="B626" s="7" t="s">
        <v>3365</v>
      </c>
      <c r="C626" s="2" t="s">
        <v>4580</v>
      </c>
      <c r="D626" s="1" t="s">
        <v>4581</v>
      </c>
      <c r="E626" s="31"/>
      <c r="F626" s="31"/>
      <c r="G626" s="31"/>
      <c r="H626" s="29"/>
      <c r="I626" s="12"/>
      <c r="J626" s="12"/>
      <c r="K626" s="12"/>
      <c r="L626" s="12"/>
      <c r="M626" s="18" t="str">
        <f t="shared" si="1"/>
        <v>#DIV/0!</v>
      </c>
      <c r="N626" s="18" t="str">
        <f t="shared" si="2"/>
        <v>#DIV/0!</v>
      </c>
      <c r="O626" s="12" t="str">
        <f t="shared" si="4"/>
        <v/>
      </c>
      <c r="P626" s="18" t="str">
        <f t="shared" si="3"/>
        <v>#DIV/0!</v>
      </c>
      <c r="Q626" s="12"/>
    </row>
    <row r="627">
      <c r="A627" s="1" t="s">
        <v>3372</v>
      </c>
      <c r="B627" s="7" t="s">
        <v>3373</v>
      </c>
      <c r="C627" s="2" t="s">
        <v>4582</v>
      </c>
      <c r="E627" s="31"/>
      <c r="F627" s="31"/>
      <c r="G627" s="31"/>
      <c r="H627" s="29"/>
      <c r="I627" s="12"/>
      <c r="J627" s="12"/>
      <c r="K627" s="12"/>
      <c r="L627" s="12"/>
      <c r="M627" s="18" t="str">
        <f t="shared" si="1"/>
        <v>#DIV/0!</v>
      </c>
      <c r="N627" s="18" t="str">
        <f t="shared" si="2"/>
        <v>#DIV/0!</v>
      </c>
      <c r="O627" s="12" t="str">
        <f t="shared" si="4"/>
        <v/>
      </c>
      <c r="P627" s="18" t="str">
        <f t="shared" si="3"/>
        <v>#DIV/0!</v>
      </c>
      <c r="Q627" s="12"/>
    </row>
    <row r="628">
      <c r="A628" s="1" t="s">
        <v>3380</v>
      </c>
      <c r="B628" s="7" t="s">
        <v>3381</v>
      </c>
      <c r="C628" s="2" t="s">
        <v>4583</v>
      </c>
      <c r="E628" s="31"/>
      <c r="F628" s="31"/>
      <c r="G628" s="31"/>
      <c r="H628" s="29"/>
      <c r="I628" s="12"/>
      <c r="J628" s="12"/>
      <c r="K628" s="12"/>
      <c r="L628" s="12"/>
      <c r="M628" s="18" t="str">
        <f t="shared" si="1"/>
        <v>#DIV/0!</v>
      </c>
      <c r="N628" s="18" t="str">
        <f t="shared" si="2"/>
        <v>#DIV/0!</v>
      </c>
      <c r="O628" s="12" t="str">
        <f t="shared" si="4"/>
        <v/>
      </c>
      <c r="P628" s="18" t="str">
        <f t="shared" si="3"/>
        <v>#DIV/0!</v>
      </c>
      <c r="Q628" s="12"/>
    </row>
    <row r="629">
      <c r="A629" s="1" t="s">
        <v>3384</v>
      </c>
      <c r="B629" s="7" t="s">
        <v>3385</v>
      </c>
      <c r="C629" s="2" t="s">
        <v>4584</v>
      </c>
      <c r="D629" s="1" t="s">
        <v>4585</v>
      </c>
      <c r="E629" s="31"/>
      <c r="F629" s="31"/>
      <c r="G629" s="31"/>
      <c r="H629" s="29"/>
      <c r="I629" s="12"/>
      <c r="J629" s="12"/>
      <c r="K629" s="12"/>
      <c r="L629" s="12"/>
      <c r="M629" s="18" t="str">
        <f t="shared" si="1"/>
        <v>#DIV/0!</v>
      </c>
      <c r="N629" s="18" t="str">
        <f t="shared" si="2"/>
        <v>#DIV/0!</v>
      </c>
      <c r="O629" s="12" t="str">
        <f t="shared" si="4"/>
        <v/>
      </c>
      <c r="P629" s="18" t="str">
        <f t="shared" si="3"/>
        <v>#DIV/0!</v>
      </c>
      <c r="Q629" s="12"/>
    </row>
    <row r="630">
      <c r="A630" s="1" t="s">
        <v>3388</v>
      </c>
      <c r="B630" s="7" t="s">
        <v>3389</v>
      </c>
      <c r="C630" s="2" t="s">
        <v>4586</v>
      </c>
      <c r="D630" s="1" t="s">
        <v>4587</v>
      </c>
      <c r="E630" s="31"/>
      <c r="F630" s="31"/>
      <c r="G630" s="31"/>
      <c r="H630" s="29"/>
      <c r="I630" s="12"/>
      <c r="J630" s="12"/>
      <c r="K630" s="12"/>
      <c r="L630" s="12"/>
      <c r="M630" s="18" t="str">
        <f t="shared" si="1"/>
        <v>#DIV/0!</v>
      </c>
      <c r="N630" s="18" t="str">
        <f t="shared" si="2"/>
        <v>#DIV/0!</v>
      </c>
      <c r="O630" s="12" t="str">
        <f t="shared" si="4"/>
        <v/>
      </c>
      <c r="P630" s="18" t="str">
        <f t="shared" si="3"/>
        <v>#DIV/0!</v>
      </c>
      <c r="Q630" s="12"/>
    </row>
    <row r="631">
      <c r="A631" s="1" t="s">
        <v>3396</v>
      </c>
      <c r="B631" s="7" t="s">
        <v>3397</v>
      </c>
      <c r="C631" s="2" t="s">
        <v>3832</v>
      </c>
      <c r="D631" s="7" t="s">
        <v>3833</v>
      </c>
      <c r="E631" s="31"/>
      <c r="F631" s="31"/>
      <c r="G631" s="31"/>
      <c r="H631" s="29"/>
      <c r="I631" s="12"/>
      <c r="J631" s="12"/>
      <c r="K631" s="12"/>
      <c r="L631" s="12"/>
      <c r="M631" s="18" t="str">
        <f t="shared" si="1"/>
        <v>#DIV/0!</v>
      </c>
      <c r="N631" s="18" t="str">
        <f t="shared" si="2"/>
        <v>#DIV/0!</v>
      </c>
      <c r="O631" s="12" t="str">
        <f t="shared" si="4"/>
        <v/>
      </c>
      <c r="P631" s="18" t="str">
        <f t="shared" si="3"/>
        <v>#DIV/0!</v>
      </c>
      <c r="Q631" s="12"/>
    </row>
    <row r="632">
      <c r="A632" s="1" t="s">
        <v>3408</v>
      </c>
      <c r="B632" s="7" t="s">
        <v>3409</v>
      </c>
      <c r="C632" s="2" t="s">
        <v>4588</v>
      </c>
      <c r="E632" s="31"/>
      <c r="F632" s="31"/>
      <c r="G632" s="31"/>
      <c r="H632" s="29"/>
      <c r="I632" s="12"/>
      <c r="J632" s="12"/>
      <c r="K632" s="12"/>
      <c r="L632" s="12"/>
      <c r="M632" s="18" t="str">
        <f t="shared" si="1"/>
        <v>#DIV/0!</v>
      </c>
      <c r="N632" s="18" t="str">
        <f t="shared" si="2"/>
        <v>#DIV/0!</v>
      </c>
      <c r="O632" s="12" t="str">
        <f t="shared" si="4"/>
        <v/>
      </c>
      <c r="P632" s="18" t="str">
        <f t="shared" si="3"/>
        <v>#DIV/0!</v>
      </c>
      <c r="Q632" s="12"/>
    </row>
    <row r="633">
      <c r="A633" s="1" t="s">
        <v>3412</v>
      </c>
      <c r="B633" s="7" t="s">
        <v>3413</v>
      </c>
      <c r="C633" s="2" t="s">
        <v>4589</v>
      </c>
      <c r="D633" s="1" t="s">
        <v>4590</v>
      </c>
      <c r="E633" s="31"/>
      <c r="F633" s="31"/>
      <c r="G633" s="31"/>
      <c r="H633" s="29"/>
      <c r="I633" s="12"/>
      <c r="J633" s="12"/>
      <c r="K633" s="12"/>
      <c r="L633" s="12"/>
      <c r="M633" s="18" t="str">
        <f t="shared" si="1"/>
        <v>#DIV/0!</v>
      </c>
      <c r="N633" s="18" t="str">
        <f t="shared" si="2"/>
        <v>#DIV/0!</v>
      </c>
      <c r="O633" s="12" t="str">
        <f t="shared" si="4"/>
        <v/>
      </c>
      <c r="P633" s="18" t="str">
        <f t="shared" si="3"/>
        <v>#DIV/0!</v>
      </c>
      <c r="Q633" s="12"/>
    </row>
    <row r="634">
      <c r="A634" s="1" t="s">
        <v>3420</v>
      </c>
      <c r="B634" s="7" t="s">
        <v>3421</v>
      </c>
      <c r="C634" s="2" t="s">
        <v>3838</v>
      </c>
      <c r="D634" s="7" t="s">
        <v>3839</v>
      </c>
      <c r="E634" s="31"/>
      <c r="F634" s="31"/>
      <c r="G634" s="31"/>
      <c r="H634" s="29"/>
      <c r="I634" s="12"/>
      <c r="J634" s="12"/>
      <c r="K634" s="12"/>
      <c r="L634" s="12"/>
      <c r="M634" s="18" t="str">
        <f t="shared" si="1"/>
        <v>#DIV/0!</v>
      </c>
      <c r="N634" s="18" t="str">
        <f t="shared" si="2"/>
        <v>#DIV/0!</v>
      </c>
      <c r="O634" s="12" t="str">
        <f t="shared" si="4"/>
        <v/>
      </c>
      <c r="P634" s="18" t="str">
        <f t="shared" si="3"/>
        <v>#DIV/0!</v>
      </c>
      <c r="Q634" s="12"/>
    </row>
    <row r="635">
      <c r="A635" s="1" t="s">
        <v>3430</v>
      </c>
      <c r="B635" s="7" t="s">
        <v>3431</v>
      </c>
      <c r="C635" s="2" t="s">
        <v>3838</v>
      </c>
      <c r="D635" s="7" t="s">
        <v>3839</v>
      </c>
      <c r="E635" s="31"/>
      <c r="F635" s="31"/>
      <c r="G635" s="31"/>
      <c r="H635" s="29"/>
      <c r="I635" s="12"/>
      <c r="J635" s="12"/>
      <c r="K635" s="12"/>
      <c r="L635" s="12"/>
      <c r="M635" s="18" t="str">
        <f t="shared" si="1"/>
        <v>#DIV/0!</v>
      </c>
      <c r="N635" s="18" t="str">
        <f t="shared" si="2"/>
        <v>#DIV/0!</v>
      </c>
      <c r="O635" s="12" t="str">
        <f t="shared" si="4"/>
        <v/>
      </c>
      <c r="P635" s="18" t="str">
        <f t="shared" si="3"/>
        <v>#DIV/0!</v>
      </c>
      <c r="Q635" s="12"/>
    </row>
    <row r="636">
      <c r="A636" s="1" t="s">
        <v>3432</v>
      </c>
      <c r="B636" s="7" t="s">
        <v>3433</v>
      </c>
      <c r="C636" s="2" t="s">
        <v>3859</v>
      </c>
      <c r="D636" s="7" t="s">
        <v>3860</v>
      </c>
      <c r="E636" s="31"/>
      <c r="F636" s="31"/>
      <c r="G636" s="31"/>
      <c r="H636" s="29"/>
      <c r="I636" s="12"/>
      <c r="J636" s="12"/>
      <c r="K636" s="12"/>
      <c r="L636" s="12"/>
      <c r="M636" s="18" t="str">
        <f t="shared" si="1"/>
        <v>#DIV/0!</v>
      </c>
      <c r="N636" s="18" t="str">
        <f t="shared" si="2"/>
        <v>#DIV/0!</v>
      </c>
      <c r="O636" s="12" t="str">
        <f t="shared" si="4"/>
        <v/>
      </c>
      <c r="P636" s="18" t="str">
        <f t="shared" si="3"/>
        <v>#DIV/0!</v>
      </c>
      <c r="Q636" s="12"/>
    </row>
    <row r="637">
      <c r="A637" s="1" t="s">
        <v>3434</v>
      </c>
      <c r="B637" s="7" t="s">
        <v>3435</v>
      </c>
      <c r="C637" s="2" t="s">
        <v>3879</v>
      </c>
      <c r="D637" s="7" t="s">
        <v>3880</v>
      </c>
      <c r="E637" s="31"/>
      <c r="F637" s="31"/>
      <c r="G637" s="31"/>
      <c r="H637" s="29"/>
      <c r="I637" s="12"/>
      <c r="J637" s="12"/>
      <c r="K637" s="12"/>
      <c r="L637" s="12"/>
      <c r="M637" s="18" t="str">
        <f t="shared" si="1"/>
        <v>#DIV/0!</v>
      </c>
      <c r="N637" s="18" t="str">
        <f t="shared" si="2"/>
        <v>#DIV/0!</v>
      </c>
      <c r="O637" s="12" t="str">
        <f t="shared" si="4"/>
        <v/>
      </c>
      <c r="P637" s="18" t="str">
        <f t="shared" si="3"/>
        <v>#DIV/0!</v>
      </c>
      <c r="Q637" s="12"/>
    </row>
    <row r="638">
      <c r="A638" s="1" t="s">
        <v>3436</v>
      </c>
      <c r="B638" s="7" t="s">
        <v>3437</v>
      </c>
      <c r="C638" s="2" t="s">
        <v>4591</v>
      </c>
      <c r="D638" s="1" t="s">
        <v>4592</v>
      </c>
      <c r="E638" s="31"/>
      <c r="F638" s="31"/>
      <c r="G638" s="31"/>
      <c r="H638" s="29"/>
      <c r="I638" s="12"/>
      <c r="J638" s="12"/>
      <c r="K638" s="12"/>
      <c r="L638" s="12"/>
      <c r="M638" s="18" t="str">
        <f t="shared" si="1"/>
        <v>#DIV/0!</v>
      </c>
      <c r="N638" s="18" t="str">
        <f t="shared" si="2"/>
        <v>#DIV/0!</v>
      </c>
      <c r="O638" s="12" t="str">
        <f t="shared" si="4"/>
        <v/>
      </c>
      <c r="P638" s="18" t="str">
        <f t="shared" si="3"/>
        <v>#DIV/0!</v>
      </c>
      <c r="Q638" s="12"/>
    </row>
    <row r="639">
      <c r="A639" s="1" t="s">
        <v>3440</v>
      </c>
      <c r="B639" s="7" t="s">
        <v>3441</v>
      </c>
      <c r="C639" s="2" t="s">
        <v>4593</v>
      </c>
      <c r="D639" s="1" t="s">
        <v>4594</v>
      </c>
      <c r="E639" s="31"/>
      <c r="F639" s="31"/>
      <c r="G639" s="31"/>
      <c r="H639" s="29"/>
      <c r="I639" s="12"/>
      <c r="J639" s="12"/>
      <c r="K639" s="12"/>
      <c r="L639" s="12"/>
      <c r="M639" s="18" t="str">
        <f t="shared" si="1"/>
        <v>#DIV/0!</v>
      </c>
      <c r="N639" s="18" t="str">
        <f t="shared" si="2"/>
        <v>#DIV/0!</v>
      </c>
      <c r="O639" s="12" t="str">
        <f t="shared" si="4"/>
        <v/>
      </c>
      <c r="P639" s="18" t="str">
        <f t="shared" si="3"/>
        <v>#DIV/0!</v>
      </c>
      <c r="Q639" s="12"/>
    </row>
    <row r="640">
      <c r="A640" s="1" t="s">
        <v>3444</v>
      </c>
      <c r="B640" s="7" t="s">
        <v>3445</v>
      </c>
      <c r="C640" s="2" t="s">
        <v>4595</v>
      </c>
      <c r="D640" s="1" t="s">
        <v>4596</v>
      </c>
      <c r="E640" s="31"/>
      <c r="F640" s="31"/>
      <c r="G640" s="31"/>
      <c r="H640" s="29"/>
      <c r="I640" s="12"/>
      <c r="J640" s="12"/>
      <c r="K640" s="12"/>
      <c r="L640" s="12"/>
      <c r="M640" s="18" t="str">
        <f t="shared" si="1"/>
        <v>#DIV/0!</v>
      </c>
      <c r="N640" s="18" t="str">
        <f t="shared" si="2"/>
        <v>#DIV/0!</v>
      </c>
      <c r="O640" s="12" t="str">
        <f t="shared" si="4"/>
        <v/>
      </c>
      <c r="P640" s="18" t="str">
        <f t="shared" si="3"/>
        <v>#DIV/0!</v>
      </c>
      <c r="Q640" s="12"/>
    </row>
    <row r="641">
      <c r="A641" s="1" t="s">
        <v>3448</v>
      </c>
      <c r="B641" s="7" t="s">
        <v>3449</v>
      </c>
      <c r="C641" s="2" t="s">
        <v>4097</v>
      </c>
      <c r="D641" s="7" t="s">
        <v>4098</v>
      </c>
      <c r="E641" s="31"/>
      <c r="F641" s="31"/>
      <c r="G641" s="31"/>
      <c r="H641" s="29"/>
      <c r="I641" s="12"/>
      <c r="J641" s="12"/>
      <c r="K641" s="12"/>
      <c r="L641" s="12"/>
      <c r="M641" s="18" t="str">
        <f t="shared" si="1"/>
        <v>#DIV/0!</v>
      </c>
      <c r="N641" s="18" t="str">
        <f t="shared" si="2"/>
        <v>#DIV/0!</v>
      </c>
      <c r="O641" s="12" t="str">
        <f t="shared" si="4"/>
        <v/>
      </c>
      <c r="P641" s="18" t="str">
        <f t="shared" si="3"/>
        <v>#DIV/0!</v>
      </c>
      <c r="Q641" s="12"/>
    </row>
    <row r="642">
      <c r="A642" s="1" t="s">
        <v>3450</v>
      </c>
      <c r="B642" s="7" t="s">
        <v>3451</v>
      </c>
      <c r="C642" s="2" t="s">
        <v>4597</v>
      </c>
      <c r="D642" s="1" t="s">
        <v>3853</v>
      </c>
      <c r="E642" s="31"/>
      <c r="F642" s="31"/>
      <c r="G642" s="31"/>
      <c r="H642" s="29"/>
      <c r="I642" s="12"/>
      <c r="J642" s="12"/>
      <c r="K642" s="12"/>
      <c r="L642" s="12"/>
      <c r="M642" s="18" t="str">
        <f t="shared" si="1"/>
        <v>#DIV/0!</v>
      </c>
      <c r="N642" s="18" t="str">
        <f t="shared" si="2"/>
        <v>#DIV/0!</v>
      </c>
      <c r="O642" s="12" t="str">
        <f t="shared" si="4"/>
        <v/>
      </c>
      <c r="P642" s="18" t="str">
        <f t="shared" si="3"/>
        <v>#DIV/0!</v>
      </c>
      <c r="Q642" s="12"/>
    </row>
    <row r="643">
      <c r="A643" s="1" t="s">
        <v>3452</v>
      </c>
      <c r="B643" s="7" t="s">
        <v>3453</v>
      </c>
      <c r="C643" s="2" t="s">
        <v>4598</v>
      </c>
      <c r="D643" s="1" t="s">
        <v>4599</v>
      </c>
      <c r="E643" s="31"/>
      <c r="F643" s="31"/>
      <c r="G643" s="31"/>
      <c r="H643" s="29"/>
      <c r="I643" s="12"/>
      <c r="J643" s="12"/>
      <c r="K643" s="12"/>
      <c r="L643" s="12"/>
      <c r="M643" s="18" t="str">
        <f t="shared" si="1"/>
        <v>#DIV/0!</v>
      </c>
      <c r="N643" s="18" t="str">
        <f t="shared" si="2"/>
        <v>#DIV/0!</v>
      </c>
      <c r="O643" s="12" t="str">
        <f t="shared" si="4"/>
        <v/>
      </c>
      <c r="P643" s="18" t="str">
        <f t="shared" si="3"/>
        <v>#DIV/0!</v>
      </c>
      <c r="Q643" s="12"/>
    </row>
    <row r="644">
      <c r="A644" s="1" t="s">
        <v>3462</v>
      </c>
      <c r="B644" s="7" t="s">
        <v>3463</v>
      </c>
      <c r="C644" s="2" t="s">
        <v>4600</v>
      </c>
      <c r="D644" s="1" t="s">
        <v>4601</v>
      </c>
      <c r="E644" s="31"/>
      <c r="F644" s="31"/>
      <c r="G644" s="31"/>
      <c r="H644" s="29"/>
      <c r="I644" s="12"/>
      <c r="J644" s="12"/>
      <c r="K644" s="12"/>
      <c r="L644" s="12"/>
      <c r="M644" s="18" t="str">
        <f t="shared" si="1"/>
        <v>#DIV/0!</v>
      </c>
      <c r="N644" s="18" t="str">
        <f t="shared" si="2"/>
        <v>#DIV/0!</v>
      </c>
      <c r="O644" s="12" t="str">
        <f t="shared" si="4"/>
        <v/>
      </c>
      <c r="P644" s="18" t="str">
        <f t="shared" si="3"/>
        <v>#DIV/0!</v>
      </c>
      <c r="Q644" s="12"/>
    </row>
    <row r="645">
      <c r="A645" s="1" t="s">
        <v>3466</v>
      </c>
      <c r="B645" s="7" t="s">
        <v>3467</v>
      </c>
      <c r="C645" s="2" t="s">
        <v>4097</v>
      </c>
      <c r="D645" s="7" t="s">
        <v>4098</v>
      </c>
      <c r="E645" s="31"/>
      <c r="F645" s="31"/>
      <c r="G645" s="31"/>
      <c r="H645" s="29"/>
      <c r="I645" s="12"/>
      <c r="J645" s="12"/>
      <c r="K645" s="12"/>
      <c r="L645" s="12"/>
      <c r="M645" s="18" t="str">
        <f t="shared" si="1"/>
        <v>#DIV/0!</v>
      </c>
      <c r="N645" s="18" t="str">
        <f t="shared" si="2"/>
        <v>#DIV/0!</v>
      </c>
      <c r="O645" s="12" t="str">
        <f t="shared" si="4"/>
        <v/>
      </c>
      <c r="P645" s="18" t="str">
        <f t="shared" si="3"/>
        <v>#DIV/0!</v>
      </c>
      <c r="Q645" s="12"/>
    </row>
    <row r="646">
      <c r="A646" s="1" t="s">
        <v>3468</v>
      </c>
      <c r="B646" s="7" t="s">
        <v>3469</v>
      </c>
      <c r="C646" s="2" t="s">
        <v>3838</v>
      </c>
      <c r="D646" s="7" t="s">
        <v>3839</v>
      </c>
      <c r="E646" s="31"/>
      <c r="F646" s="31"/>
      <c r="G646" s="31"/>
      <c r="H646" s="29"/>
      <c r="I646" s="12"/>
      <c r="J646" s="12"/>
      <c r="K646" s="12"/>
      <c r="L646" s="12"/>
      <c r="M646" s="18" t="str">
        <f t="shared" si="1"/>
        <v>#DIV/0!</v>
      </c>
      <c r="N646" s="18" t="str">
        <f t="shared" si="2"/>
        <v>#DIV/0!</v>
      </c>
      <c r="O646" s="12" t="str">
        <f t="shared" si="4"/>
        <v/>
      </c>
      <c r="P646" s="18" t="str">
        <f t="shared" si="3"/>
        <v>#DIV/0!</v>
      </c>
      <c r="Q646" s="12"/>
    </row>
    <row r="647">
      <c r="A647" s="1" t="s">
        <v>3471</v>
      </c>
      <c r="B647" s="7" t="s">
        <v>3472</v>
      </c>
      <c r="C647" s="2" t="s">
        <v>4105</v>
      </c>
      <c r="D647" s="1" t="s">
        <v>3837</v>
      </c>
      <c r="E647" s="31"/>
      <c r="F647" s="31"/>
      <c r="G647" s="31"/>
      <c r="H647" s="29"/>
      <c r="I647" s="12"/>
      <c r="J647" s="12"/>
      <c r="K647" s="12"/>
      <c r="L647" s="12"/>
      <c r="M647" s="18" t="str">
        <f t="shared" si="1"/>
        <v>#DIV/0!</v>
      </c>
      <c r="N647" s="18" t="str">
        <f t="shared" si="2"/>
        <v>#DIV/0!</v>
      </c>
      <c r="O647" s="12" t="str">
        <f t="shared" si="4"/>
        <v/>
      </c>
      <c r="P647" s="18" t="str">
        <f t="shared" si="3"/>
        <v>#DIV/0!</v>
      </c>
      <c r="Q647" s="12"/>
    </row>
    <row r="648">
      <c r="A648" s="1" t="s">
        <v>3477</v>
      </c>
      <c r="B648" s="7" t="s">
        <v>3478</v>
      </c>
      <c r="C648" s="2" t="s">
        <v>4602</v>
      </c>
      <c r="D648" s="1" t="s">
        <v>4603</v>
      </c>
      <c r="E648" s="31"/>
      <c r="F648" s="31"/>
      <c r="G648" s="31"/>
      <c r="H648" s="29"/>
      <c r="I648" s="12"/>
      <c r="J648" s="12"/>
      <c r="K648" s="12"/>
      <c r="L648" s="12"/>
      <c r="M648" s="18" t="str">
        <f t="shared" si="1"/>
        <v>#DIV/0!</v>
      </c>
      <c r="N648" s="18" t="str">
        <f t="shared" si="2"/>
        <v>#DIV/0!</v>
      </c>
      <c r="O648" s="12" t="str">
        <f t="shared" si="4"/>
        <v/>
      </c>
      <c r="P648" s="18" t="str">
        <f t="shared" si="3"/>
        <v>#DIV/0!</v>
      </c>
      <c r="Q648" s="12"/>
    </row>
    <row r="649">
      <c r="A649" s="1" t="s">
        <v>3480</v>
      </c>
      <c r="B649" s="7" t="s">
        <v>3481</v>
      </c>
      <c r="C649" s="2" t="s">
        <v>4604</v>
      </c>
      <c r="D649" s="7" t="s">
        <v>4605</v>
      </c>
      <c r="E649" s="31"/>
      <c r="F649" s="31"/>
      <c r="G649" s="31"/>
      <c r="H649" s="29"/>
      <c r="I649" s="12"/>
      <c r="J649" s="12"/>
      <c r="K649" s="12"/>
      <c r="L649" s="12"/>
      <c r="M649" s="18" t="str">
        <f t="shared" si="1"/>
        <v>#DIV/0!</v>
      </c>
      <c r="N649" s="18" t="str">
        <f t="shared" si="2"/>
        <v>#DIV/0!</v>
      </c>
      <c r="O649" s="12" t="str">
        <f t="shared" si="4"/>
        <v/>
      </c>
      <c r="P649" s="18" t="str">
        <f t="shared" si="3"/>
        <v>#DIV/0!</v>
      </c>
      <c r="Q649" s="12"/>
    </row>
    <row r="650">
      <c r="A650" s="1" t="s">
        <v>3484</v>
      </c>
      <c r="B650" s="7" t="s">
        <v>3485</v>
      </c>
      <c r="C650" s="2" t="s">
        <v>4606</v>
      </c>
      <c r="D650" s="1" t="s">
        <v>4607</v>
      </c>
      <c r="E650" s="31"/>
      <c r="F650" s="31"/>
      <c r="G650" s="31"/>
      <c r="H650" s="29"/>
      <c r="I650" s="12"/>
      <c r="J650" s="12"/>
      <c r="K650" s="12"/>
      <c r="L650" s="12"/>
      <c r="M650" s="18" t="str">
        <f t="shared" si="1"/>
        <v>#DIV/0!</v>
      </c>
      <c r="N650" s="18" t="str">
        <f t="shared" si="2"/>
        <v>#DIV/0!</v>
      </c>
      <c r="O650" s="12" t="str">
        <f t="shared" si="4"/>
        <v/>
      </c>
      <c r="P650" s="18" t="str">
        <f t="shared" si="3"/>
        <v>#DIV/0!</v>
      </c>
      <c r="Q650" s="12"/>
    </row>
    <row r="651">
      <c r="A651" s="1" t="s">
        <v>3488</v>
      </c>
      <c r="B651" s="7" t="s">
        <v>3489</v>
      </c>
      <c r="C651" s="2" t="s">
        <v>3978</v>
      </c>
      <c r="D651" s="7" t="s">
        <v>3979</v>
      </c>
      <c r="E651" s="31"/>
      <c r="F651" s="31"/>
      <c r="G651" s="31"/>
      <c r="H651" s="29"/>
      <c r="I651" s="12"/>
      <c r="J651" s="12"/>
      <c r="K651" s="12"/>
      <c r="L651" s="12"/>
      <c r="M651" s="18" t="str">
        <f t="shared" si="1"/>
        <v>#DIV/0!</v>
      </c>
      <c r="N651" s="18" t="str">
        <f t="shared" si="2"/>
        <v>#DIV/0!</v>
      </c>
      <c r="O651" s="12" t="str">
        <f t="shared" si="4"/>
        <v/>
      </c>
      <c r="P651" s="18" t="str">
        <f t="shared" si="3"/>
        <v>#DIV/0!</v>
      </c>
      <c r="Q651" s="12"/>
    </row>
    <row r="652">
      <c r="A652" s="1" t="s">
        <v>3492</v>
      </c>
      <c r="B652" s="7" t="s">
        <v>3493</v>
      </c>
      <c r="C652" s="2" t="s">
        <v>4608</v>
      </c>
      <c r="D652" s="1" t="s">
        <v>4609</v>
      </c>
      <c r="E652" s="31"/>
      <c r="F652" s="31"/>
      <c r="G652" s="31"/>
      <c r="H652" s="29"/>
      <c r="I652" s="12"/>
      <c r="J652" s="12"/>
      <c r="K652" s="12"/>
      <c r="L652" s="12"/>
      <c r="M652" s="18" t="str">
        <f t="shared" si="1"/>
        <v>#DIV/0!</v>
      </c>
      <c r="N652" s="18" t="str">
        <f t="shared" si="2"/>
        <v>#DIV/0!</v>
      </c>
      <c r="O652" s="12" t="str">
        <f t="shared" si="4"/>
        <v/>
      </c>
      <c r="P652" s="18" t="str">
        <f t="shared" si="3"/>
        <v>#DIV/0!</v>
      </c>
      <c r="Q652" s="12"/>
    </row>
    <row r="653">
      <c r="A653" s="1" t="s">
        <v>3502</v>
      </c>
      <c r="B653" s="7" t="s">
        <v>3503</v>
      </c>
      <c r="C653" s="2" t="s">
        <v>4049</v>
      </c>
      <c r="D653" s="1" t="s">
        <v>3981</v>
      </c>
      <c r="E653" s="31"/>
      <c r="F653" s="31"/>
      <c r="G653" s="31"/>
      <c r="H653" s="29"/>
      <c r="I653" s="12"/>
      <c r="J653" s="12"/>
      <c r="K653" s="12"/>
      <c r="L653" s="12"/>
      <c r="M653" s="18" t="str">
        <f t="shared" si="1"/>
        <v>#DIV/0!</v>
      </c>
      <c r="N653" s="18" t="str">
        <f t="shared" si="2"/>
        <v>#DIV/0!</v>
      </c>
      <c r="O653" s="12" t="str">
        <f t="shared" si="4"/>
        <v/>
      </c>
      <c r="P653" s="18" t="str">
        <f t="shared" si="3"/>
        <v>#DIV/0!</v>
      </c>
      <c r="Q653" s="12"/>
    </row>
    <row r="654">
      <c r="A654" s="1" t="s">
        <v>3504</v>
      </c>
      <c r="B654" s="7" t="s">
        <v>3505</v>
      </c>
      <c r="C654" s="2" t="s">
        <v>3933</v>
      </c>
      <c r="D654" s="1" t="s">
        <v>4610</v>
      </c>
      <c r="E654" s="31"/>
      <c r="F654" s="31"/>
      <c r="G654" s="31"/>
      <c r="H654" s="29"/>
      <c r="I654" s="12"/>
      <c r="J654" s="12"/>
      <c r="K654" s="12"/>
      <c r="L654" s="12"/>
      <c r="M654" s="18" t="str">
        <f t="shared" si="1"/>
        <v>#DIV/0!</v>
      </c>
      <c r="N654" s="18" t="str">
        <f t="shared" si="2"/>
        <v>#DIV/0!</v>
      </c>
      <c r="O654" s="12" t="str">
        <f t="shared" si="4"/>
        <v/>
      </c>
      <c r="P654" s="18" t="str">
        <f t="shared" si="3"/>
        <v>#DIV/0!</v>
      </c>
      <c r="Q654" s="12"/>
    </row>
    <row r="655">
      <c r="A655" s="1" t="s">
        <v>3508</v>
      </c>
      <c r="B655" s="7" t="s">
        <v>3509</v>
      </c>
      <c r="C655" s="2" t="s">
        <v>4611</v>
      </c>
      <c r="D655" s="1" t="s">
        <v>4612</v>
      </c>
      <c r="E655" s="31"/>
      <c r="F655" s="31"/>
      <c r="G655" s="31"/>
      <c r="H655" s="29"/>
      <c r="I655" s="12"/>
      <c r="J655" s="12"/>
      <c r="K655" s="12"/>
      <c r="L655" s="12"/>
      <c r="M655" s="18" t="str">
        <f t="shared" si="1"/>
        <v>#DIV/0!</v>
      </c>
      <c r="N655" s="18" t="str">
        <f t="shared" si="2"/>
        <v>#DIV/0!</v>
      </c>
      <c r="O655" s="12" t="str">
        <f t="shared" si="4"/>
        <v/>
      </c>
      <c r="P655" s="18" t="str">
        <f t="shared" si="3"/>
        <v>#DIV/0!</v>
      </c>
      <c r="Q655" s="12"/>
    </row>
    <row r="656">
      <c r="A656" s="1" t="s">
        <v>3511</v>
      </c>
      <c r="B656" s="7" t="s">
        <v>3512</v>
      </c>
      <c r="C656" s="2" t="s">
        <v>4613</v>
      </c>
      <c r="D656" s="1" t="s">
        <v>4614</v>
      </c>
      <c r="E656" s="31"/>
      <c r="F656" s="31"/>
      <c r="G656" s="31"/>
      <c r="H656" s="29"/>
      <c r="I656" s="12"/>
      <c r="J656" s="12"/>
      <c r="K656" s="12"/>
      <c r="L656" s="12"/>
      <c r="M656" s="18" t="str">
        <f t="shared" si="1"/>
        <v>#DIV/0!</v>
      </c>
      <c r="N656" s="18" t="str">
        <f t="shared" si="2"/>
        <v>#DIV/0!</v>
      </c>
      <c r="O656" s="12" t="str">
        <f t="shared" si="4"/>
        <v/>
      </c>
      <c r="P656" s="18" t="str">
        <f t="shared" si="3"/>
        <v>#DIV/0!</v>
      </c>
      <c r="Q656" s="12"/>
    </row>
    <row r="657">
      <c r="A657" s="1" t="s">
        <v>3514</v>
      </c>
      <c r="B657" s="7" t="s">
        <v>3515</v>
      </c>
      <c r="C657" s="2" t="s">
        <v>4615</v>
      </c>
      <c r="E657" s="31"/>
      <c r="F657" s="31"/>
      <c r="G657" s="31"/>
      <c r="H657" s="29"/>
      <c r="I657" s="12"/>
      <c r="J657" s="12"/>
      <c r="K657" s="12"/>
      <c r="L657" s="12"/>
      <c r="M657" s="18" t="str">
        <f t="shared" si="1"/>
        <v>#DIV/0!</v>
      </c>
      <c r="N657" s="18" t="str">
        <f t="shared" si="2"/>
        <v>#DIV/0!</v>
      </c>
      <c r="O657" s="12" t="str">
        <f t="shared" si="4"/>
        <v/>
      </c>
      <c r="P657" s="18" t="str">
        <f t="shared" si="3"/>
        <v>#DIV/0!</v>
      </c>
      <c r="Q657" s="12"/>
    </row>
    <row r="658">
      <c r="A658" s="1" t="s">
        <v>3522</v>
      </c>
      <c r="B658" s="7" t="s">
        <v>3523</v>
      </c>
      <c r="C658" s="2" t="s">
        <v>3980</v>
      </c>
      <c r="D658" s="1" t="s">
        <v>3981</v>
      </c>
      <c r="E658" s="31"/>
      <c r="F658" s="31"/>
      <c r="G658" s="31"/>
      <c r="H658" s="29"/>
      <c r="I658" s="12"/>
      <c r="J658" s="12"/>
      <c r="K658" s="12"/>
      <c r="L658" s="12"/>
      <c r="M658" s="18" t="str">
        <f t="shared" si="1"/>
        <v>#DIV/0!</v>
      </c>
      <c r="N658" s="18" t="str">
        <f t="shared" si="2"/>
        <v>#DIV/0!</v>
      </c>
      <c r="O658" s="12" t="str">
        <f t="shared" si="4"/>
        <v/>
      </c>
      <c r="P658" s="18" t="str">
        <f t="shared" si="3"/>
        <v>#DIV/0!</v>
      </c>
      <c r="Q658" s="12"/>
    </row>
    <row r="659">
      <c r="A659" s="1" t="s">
        <v>3532</v>
      </c>
      <c r="B659" s="7" t="s">
        <v>3533</v>
      </c>
      <c r="C659" s="2" t="s">
        <v>4300</v>
      </c>
      <c r="D659" s="1" t="s">
        <v>3915</v>
      </c>
      <c r="E659" s="31"/>
      <c r="F659" s="31"/>
      <c r="G659" s="31"/>
      <c r="H659" s="29"/>
      <c r="I659" s="12"/>
      <c r="J659" s="12"/>
      <c r="K659" s="12"/>
      <c r="L659" s="12"/>
      <c r="M659" s="18" t="str">
        <f t="shared" si="1"/>
        <v>#DIV/0!</v>
      </c>
      <c r="N659" s="18" t="str">
        <f t="shared" si="2"/>
        <v>#DIV/0!</v>
      </c>
      <c r="O659" s="12" t="str">
        <f t="shared" si="4"/>
        <v/>
      </c>
      <c r="P659" s="18" t="str">
        <f t="shared" si="3"/>
        <v>#DIV/0!</v>
      </c>
      <c r="Q659" s="12"/>
    </row>
    <row r="660">
      <c r="A660" s="1" t="s">
        <v>3534</v>
      </c>
      <c r="B660" s="7" t="s">
        <v>3535</v>
      </c>
      <c r="C660" s="2" t="s">
        <v>4616</v>
      </c>
      <c r="D660" s="1" t="s">
        <v>4617</v>
      </c>
      <c r="E660" s="31"/>
      <c r="F660" s="31"/>
      <c r="G660" s="31"/>
      <c r="H660" s="29"/>
      <c r="I660" s="12"/>
      <c r="J660" s="12"/>
      <c r="K660" s="12"/>
      <c r="L660" s="12"/>
      <c r="M660" s="18" t="str">
        <f t="shared" si="1"/>
        <v>#DIV/0!</v>
      </c>
      <c r="N660" s="18" t="str">
        <f t="shared" si="2"/>
        <v>#DIV/0!</v>
      </c>
      <c r="O660" s="12" t="str">
        <f t="shared" si="4"/>
        <v/>
      </c>
      <c r="P660" s="18" t="str">
        <f t="shared" si="3"/>
        <v>#DIV/0!</v>
      </c>
      <c r="Q660" s="12"/>
    </row>
    <row r="661">
      <c r="A661" s="1" t="s">
        <v>3540</v>
      </c>
      <c r="B661" s="7" t="s">
        <v>3541</v>
      </c>
      <c r="C661" s="2" t="s">
        <v>4078</v>
      </c>
      <c r="D661" s="7" t="s">
        <v>4079</v>
      </c>
      <c r="E661" s="31"/>
      <c r="F661" s="31"/>
      <c r="G661" s="31"/>
      <c r="H661" s="29"/>
      <c r="I661" s="12"/>
      <c r="J661" s="12"/>
      <c r="K661" s="12"/>
      <c r="L661" s="12"/>
      <c r="M661" s="18" t="str">
        <f t="shared" si="1"/>
        <v>#DIV/0!</v>
      </c>
      <c r="N661" s="18" t="str">
        <f t="shared" si="2"/>
        <v>#DIV/0!</v>
      </c>
      <c r="O661" s="12" t="str">
        <f t="shared" si="4"/>
        <v/>
      </c>
      <c r="P661" s="18" t="str">
        <f t="shared" si="3"/>
        <v>#DIV/0!</v>
      </c>
      <c r="Q661" s="12"/>
    </row>
    <row r="662">
      <c r="A662" s="1" t="s">
        <v>3542</v>
      </c>
      <c r="B662" s="7" t="s">
        <v>3543</v>
      </c>
      <c r="C662" s="2" t="s">
        <v>4300</v>
      </c>
      <c r="D662" s="1" t="s">
        <v>3915</v>
      </c>
      <c r="E662" s="31"/>
      <c r="F662" s="31"/>
      <c r="G662" s="31"/>
      <c r="H662" s="29"/>
      <c r="I662" s="12"/>
      <c r="J662" s="12"/>
      <c r="K662" s="12"/>
      <c r="L662" s="12"/>
      <c r="M662" s="18" t="str">
        <f t="shared" si="1"/>
        <v>#DIV/0!</v>
      </c>
      <c r="N662" s="18" t="str">
        <f t="shared" si="2"/>
        <v>#DIV/0!</v>
      </c>
      <c r="O662" s="12" t="str">
        <f t="shared" si="4"/>
        <v/>
      </c>
      <c r="P662" s="18" t="str">
        <f t="shared" si="3"/>
        <v>#DIV/0!</v>
      </c>
      <c r="Q662" s="12"/>
    </row>
    <row r="663">
      <c r="A663" s="1" t="s">
        <v>3555</v>
      </c>
      <c r="B663" s="7" t="s">
        <v>3556</v>
      </c>
      <c r="C663" s="2" t="s">
        <v>4618</v>
      </c>
      <c r="D663" s="1" t="s">
        <v>4619</v>
      </c>
      <c r="E663" s="31"/>
      <c r="F663" s="31"/>
      <c r="G663" s="31"/>
      <c r="H663" s="29"/>
      <c r="I663" s="12"/>
      <c r="J663" s="12"/>
      <c r="K663" s="12"/>
      <c r="L663" s="12"/>
      <c r="M663" s="18" t="str">
        <f t="shared" si="1"/>
        <v>#DIV/0!</v>
      </c>
      <c r="N663" s="18" t="str">
        <f t="shared" si="2"/>
        <v>#DIV/0!</v>
      </c>
      <c r="O663" s="12" t="str">
        <f t="shared" si="4"/>
        <v/>
      </c>
      <c r="P663" s="18" t="str">
        <f t="shared" si="3"/>
        <v>#DIV/0!</v>
      </c>
      <c r="Q663" s="12"/>
    </row>
    <row r="664">
      <c r="A664" s="1" t="s">
        <v>3559</v>
      </c>
      <c r="B664" s="7" t="s">
        <v>3560</v>
      </c>
      <c r="C664" s="2" t="s">
        <v>4074</v>
      </c>
      <c r="D664" s="7" t="s">
        <v>4075</v>
      </c>
      <c r="E664" s="31"/>
      <c r="F664" s="31"/>
      <c r="G664" s="31"/>
      <c r="H664" s="29"/>
      <c r="I664" s="12"/>
      <c r="J664" s="12"/>
      <c r="K664" s="12"/>
      <c r="L664" s="12"/>
      <c r="M664" s="18" t="str">
        <f t="shared" si="1"/>
        <v>#DIV/0!</v>
      </c>
      <c r="N664" s="18" t="str">
        <f t="shared" si="2"/>
        <v>#DIV/0!</v>
      </c>
      <c r="O664" s="12" t="str">
        <f t="shared" si="4"/>
        <v/>
      </c>
      <c r="P664" s="18" t="str">
        <f t="shared" si="3"/>
        <v>#DIV/0!</v>
      </c>
      <c r="Q664" s="12"/>
    </row>
    <row r="665">
      <c r="A665" s="1" t="s">
        <v>3561</v>
      </c>
      <c r="B665" s="7" t="s">
        <v>3562</v>
      </c>
      <c r="C665" s="2" t="s">
        <v>3986</v>
      </c>
      <c r="D665" s="7" t="s">
        <v>3987</v>
      </c>
      <c r="E665" s="31"/>
      <c r="F665" s="31"/>
      <c r="G665" s="31"/>
      <c r="H665" s="29"/>
      <c r="I665" s="12"/>
      <c r="J665" s="12"/>
      <c r="K665" s="12"/>
      <c r="L665" s="12"/>
      <c r="M665" s="18" t="str">
        <f t="shared" si="1"/>
        <v>#DIV/0!</v>
      </c>
      <c r="N665" s="18" t="str">
        <f t="shared" si="2"/>
        <v>#DIV/0!</v>
      </c>
      <c r="O665" s="12" t="str">
        <f t="shared" si="4"/>
        <v/>
      </c>
      <c r="P665" s="18" t="str">
        <f t="shared" si="3"/>
        <v>#DIV/0!</v>
      </c>
      <c r="Q665" s="12"/>
    </row>
    <row r="666">
      <c r="A666" s="1" t="s">
        <v>3564</v>
      </c>
      <c r="B666" s="7" t="s">
        <v>3565</v>
      </c>
      <c r="C666" s="2" t="s">
        <v>4620</v>
      </c>
      <c r="D666" s="1" t="s">
        <v>4621</v>
      </c>
      <c r="E666" s="31"/>
      <c r="F666" s="31"/>
      <c r="G666" s="31"/>
      <c r="H666" s="29"/>
      <c r="I666" s="12"/>
      <c r="J666" s="12"/>
      <c r="K666" s="12"/>
      <c r="L666" s="12"/>
      <c r="M666" s="18" t="str">
        <f t="shared" si="1"/>
        <v>#DIV/0!</v>
      </c>
      <c r="N666" s="18" t="str">
        <f t="shared" si="2"/>
        <v>#DIV/0!</v>
      </c>
      <c r="O666" s="12" t="str">
        <f t="shared" si="4"/>
        <v/>
      </c>
      <c r="P666" s="18" t="str">
        <f t="shared" si="3"/>
        <v>#DIV/0!</v>
      </c>
      <c r="Q666" s="12"/>
    </row>
    <row r="667">
      <c r="A667" s="1" t="s">
        <v>3568</v>
      </c>
      <c r="B667" s="7" t="s">
        <v>3569</v>
      </c>
      <c r="C667" s="2" t="s">
        <v>4622</v>
      </c>
      <c r="D667" s="1" t="s">
        <v>4623</v>
      </c>
      <c r="E667" s="31"/>
      <c r="F667" s="31"/>
      <c r="G667" s="31"/>
      <c r="H667" s="29"/>
      <c r="I667" s="12"/>
      <c r="J667" s="12"/>
      <c r="K667" s="12"/>
      <c r="L667" s="12"/>
      <c r="M667" s="18" t="str">
        <f t="shared" si="1"/>
        <v>#DIV/0!</v>
      </c>
      <c r="N667" s="18" t="str">
        <f t="shared" si="2"/>
        <v>#DIV/0!</v>
      </c>
      <c r="O667" s="12" t="str">
        <f t="shared" si="4"/>
        <v/>
      </c>
      <c r="P667" s="18" t="str">
        <f t="shared" si="3"/>
        <v>#DIV/0!</v>
      </c>
      <c r="Q667" s="12"/>
    </row>
    <row r="668">
      <c r="C668" s="20"/>
      <c r="E668" s="31"/>
      <c r="F668" s="31"/>
      <c r="G668" s="31"/>
      <c r="H668" s="29"/>
      <c r="I668" s="12"/>
      <c r="J668" s="12"/>
      <c r="K668" s="12"/>
      <c r="L668" s="12"/>
      <c r="M668" s="18" t="str">
        <f t="shared" si="1"/>
        <v>#DIV/0!</v>
      </c>
      <c r="N668" s="18" t="str">
        <f t="shared" si="2"/>
        <v>#DIV/0!</v>
      </c>
      <c r="O668" s="12" t="str">
        <f t="shared" si="4"/>
        <v/>
      </c>
      <c r="P668" s="18" t="str">
        <f t="shared" si="3"/>
        <v>#DIV/0!</v>
      </c>
      <c r="Q668" s="12"/>
    </row>
    <row r="669">
      <c r="C669" s="20"/>
      <c r="E669" s="31"/>
      <c r="F669" s="31"/>
      <c r="G669" s="31"/>
      <c r="H669" s="29"/>
      <c r="I669" s="12"/>
      <c r="J669" s="12"/>
      <c r="K669" s="12"/>
      <c r="L669" s="12"/>
      <c r="M669" s="18" t="str">
        <f t="shared" si="1"/>
        <v>#DIV/0!</v>
      </c>
      <c r="N669" s="18" t="str">
        <f t="shared" si="2"/>
        <v>#DIV/0!</v>
      </c>
      <c r="O669" s="12" t="str">
        <f t="shared" si="4"/>
        <v/>
      </c>
      <c r="P669" s="18" t="str">
        <f t="shared" si="3"/>
        <v>#DIV/0!</v>
      </c>
      <c r="Q669" s="12"/>
    </row>
    <row r="670">
      <c r="C670" s="20"/>
      <c r="E670" s="31"/>
      <c r="F670" s="31"/>
      <c r="G670" s="31"/>
      <c r="H670" s="29"/>
      <c r="I670" s="12"/>
      <c r="J670" s="12"/>
      <c r="K670" s="12"/>
      <c r="L670" s="12"/>
      <c r="M670" s="18" t="str">
        <f t="shared" si="1"/>
        <v>#DIV/0!</v>
      </c>
      <c r="N670" s="18" t="str">
        <f t="shared" si="2"/>
        <v>#DIV/0!</v>
      </c>
      <c r="O670" s="12" t="str">
        <f t="shared" si="4"/>
        <v/>
      </c>
      <c r="P670" s="18" t="str">
        <f t="shared" si="3"/>
        <v>#DIV/0!</v>
      </c>
      <c r="Q670" s="12"/>
    </row>
    <row r="671">
      <c r="C671" s="20"/>
      <c r="E671" s="31"/>
      <c r="F671" s="31"/>
      <c r="G671" s="31"/>
      <c r="H671" s="29"/>
      <c r="I671" s="12"/>
      <c r="J671" s="12"/>
      <c r="K671" s="12"/>
      <c r="L671" s="12"/>
      <c r="M671" s="18" t="str">
        <f t="shared" si="1"/>
        <v>#DIV/0!</v>
      </c>
      <c r="N671" s="18" t="str">
        <f t="shared" si="2"/>
        <v>#DIV/0!</v>
      </c>
      <c r="O671" s="12" t="str">
        <f t="shared" si="4"/>
        <v/>
      </c>
      <c r="P671" s="18" t="str">
        <f t="shared" si="3"/>
        <v>#DIV/0!</v>
      </c>
      <c r="Q671" s="12"/>
    </row>
    <row r="672">
      <c r="C672" s="20"/>
      <c r="E672" s="31"/>
      <c r="F672" s="31"/>
      <c r="G672" s="31"/>
      <c r="H672" s="29"/>
      <c r="I672" s="12"/>
      <c r="J672" s="12"/>
      <c r="K672" s="12"/>
      <c r="L672" s="12"/>
      <c r="M672" s="18" t="str">
        <f t="shared" si="1"/>
        <v>#DIV/0!</v>
      </c>
      <c r="N672" s="18" t="str">
        <f t="shared" si="2"/>
        <v>#DIV/0!</v>
      </c>
      <c r="O672" s="12" t="str">
        <f t="shared" si="4"/>
        <v/>
      </c>
      <c r="P672" s="18" t="str">
        <f t="shared" si="3"/>
        <v>#DIV/0!</v>
      </c>
      <c r="Q672" s="12"/>
    </row>
    <row r="673">
      <c r="C673" s="20"/>
      <c r="E673" s="31"/>
      <c r="F673" s="31"/>
      <c r="G673" s="31"/>
      <c r="H673" s="29"/>
      <c r="I673" s="12"/>
      <c r="J673" s="12"/>
      <c r="K673" s="12"/>
      <c r="L673" s="12"/>
      <c r="M673" s="18" t="str">
        <f t="shared" si="1"/>
        <v>#DIV/0!</v>
      </c>
      <c r="N673" s="18" t="str">
        <f t="shared" si="2"/>
        <v>#DIV/0!</v>
      </c>
      <c r="O673" s="12" t="str">
        <f t="shared" si="4"/>
        <v/>
      </c>
      <c r="P673" s="18" t="str">
        <f t="shared" si="3"/>
        <v>#DIV/0!</v>
      </c>
      <c r="Q673" s="12"/>
    </row>
    <row r="674">
      <c r="C674" s="20"/>
      <c r="E674" s="31"/>
      <c r="F674" s="31"/>
      <c r="G674" s="31"/>
      <c r="H674" s="29"/>
      <c r="I674" s="12"/>
      <c r="J674" s="12"/>
      <c r="K674" s="12"/>
      <c r="L674" s="12"/>
      <c r="M674" s="18" t="str">
        <f t="shared" si="1"/>
        <v>#DIV/0!</v>
      </c>
      <c r="N674" s="18" t="str">
        <f t="shared" si="2"/>
        <v>#DIV/0!</v>
      </c>
      <c r="O674" s="12" t="str">
        <f t="shared" si="4"/>
        <v/>
      </c>
      <c r="P674" s="18" t="str">
        <f t="shared" si="3"/>
        <v>#DIV/0!</v>
      </c>
      <c r="Q674" s="12"/>
    </row>
    <row r="675">
      <c r="C675" s="20"/>
      <c r="E675" s="31"/>
      <c r="F675" s="31"/>
      <c r="G675" s="31"/>
      <c r="H675" s="29"/>
      <c r="I675" s="12"/>
      <c r="J675" s="12"/>
      <c r="K675" s="12"/>
      <c r="L675" s="12"/>
      <c r="M675" s="18" t="str">
        <f t="shared" si="1"/>
        <v>#DIV/0!</v>
      </c>
      <c r="N675" s="18" t="str">
        <f t="shared" si="2"/>
        <v>#DIV/0!</v>
      </c>
      <c r="O675" s="12" t="str">
        <f t="shared" si="4"/>
        <v/>
      </c>
      <c r="P675" s="18" t="str">
        <f t="shared" si="3"/>
        <v>#DIV/0!</v>
      </c>
      <c r="Q675" s="12"/>
    </row>
    <row r="676">
      <c r="C676" s="20"/>
      <c r="E676" s="31"/>
      <c r="F676" s="31"/>
      <c r="G676" s="31"/>
      <c r="H676" s="29"/>
      <c r="I676" s="12"/>
      <c r="J676" s="12"/>
      <c r="K676" s="12"/>
      <c r="L676" s="12"/>
      <c r="M676" s="18" t="str">
        <f t="shared" si="1"/>
        <v>#DIV/0!</v>
      </c>
      <c r="N676" s="18" t="str">
        <f t="shared" si="2"/>
        <v>#DIV/0!</v>
      </c>
      <c r="O676" s="12" t="str">
        <f t="shared" si="4"/>
        <v/>
      </c>
      <c r="P676" s="18" t="str">
        <f t="shared" si="3"/>
        <v>#DIV/0!</v>
      </c>
      <c r="Q676" s="12"/>
    </row>
    <row r="677">
      <c r="C677" s="20"/>
      <c r="E677" s="31"/>
      <c r="F677" s="31"/>
      <c r="G677" s="31"/>
      <c r="H677" s="29"/>
      <c r="I677" s="12"/>
      <c r="J677" s="12"/>
      <c r="K677" s="12"/>
      <c r="L677" s="12"/>
      <c r="M677" s="18" t="str">
        <f t="shared" si="1"/>
        <v>#DIV/0!</v>
      </c>
      <c r="N677" s="18" t="str">
        <f t="shared" si="2"/>
        <v>#DIV/0!</v>
      </c>
      <c r="O677" s="12" t="str">
        <f t="shared" si="4"/>
        <v/>
      </c>
      <c r="P677" s="18" t="str">
        <f t="shared" si="3"/>
        <v>#DIV/0!</v>
      </c>
      <c r="Q677" s="12"/>
    </row>
    <row r="678">
      <c r="C678" s="20"/>
      <c r="E678" s="31"/>
      <c r="F678" s="31"/>
      <c r="G678" s="31"/>
      <c r="H678" s="29"/>
      <c r="I678" s="12"/>
      <c r="J678" s="12"/>
      <c r="K678" s="12"/>
      <c r="L678" s="12"/>
      <c r="M678" s="18" t="str">
        <f t="shared" si="1"/>
        <v>#DIV/0!</v>
      </c>
      <c r="N678" s="18" t="str">
        <f t="shared" si="2"/>
        <v>#DIV/0!</v>
      </c>
      <c r="O678" s="12" t="str">
        <f t="shared" si="4"/>
        <v/>
      </c>
      <c r="P678" s="18" t="str">
        <f t="shared" si="3"/>
        <v>#DIV/0!</v>
      </c>
      <c r="Q678" s="12"/>
    </row>
    <row r="679">
      <c r="C679" s="20"/>
      <c r="E679" s="31"/>
      <c r="F679" s="31"/>
      <c r="G679" s="31"/>
      <c r="H679" s="29"/>
      <c r="I679" s="12"/>
      <c r="J679" s="12"/>
      <c r="K679" s="12"/>
      <c r="L679" s="12"/>
      <c r="M679" s="18" t="str">
        <f t="shared" si="1"/>
        <v>#DIV/0!</v>
      </c>
      <c r="N679" s="18" t="str">
        <f t="shared" si="2"/>
        <v>#DIV/0!</v>
      </c>
      <c r="O679" s="12" t="str">
        <f t="shared" si="4"/>
        <v/>
      </c>
      <c r="P679" s="18" t="str">
        <f t="shared" si="3"/>
        <v>#DIV/0!</v>
      </c>
      <c r="Q679" s="12"/>
    </row>
    <row r="680">
      <c r="C680" s="20"/>
      <c r="E680" s="31"/>
      <c r="F680" s="31"/>
      <c r="G680" s="31"/>
      <c r="H680" s="29"/>
      <c r="I680" s="12"/>
      <c r="J680" s="12"/>
      <c r="K680" s="12"/>
      <c r="L680" s="12"/>
      <c r="M680" s="18" t="str">
        <f t="shared" si="1"/>
        <v>#DIV/0!</v>
      </c>
      <c r="N680" s="18" t="str">
        <f t="shared" si="2"/>
        <v>#DIV/0!</v>
      </c>
      <c r="O680" s="12" t="str">
        <f t="shared" si="4"/>
        <v/>
      </c>
      <c r="P680" s="18" t="str">
        <f t="shared" si="3"/>
        <v>#DIV/0!</v>
      </c>
      <c r="Q680" s="12"/>
    </row>
    <row r="681">
      <c r="C681" s="20"/>
      <c r="E681" s="31"/>
      <c r="F681" s="31"/>
      <c r="G681" s="31"/>
      <c r="H681" s="29"/>
      <c r="I681" s="12"/>
      <c r="J681" s="12"/>
      <c r="K681" s="12"/>
      <c r="L681" s="12"/>
      <c r="M681" s="18" t="str">
        <f t="shared" si="1"/>
        <v>#DIV/0!</v>
      </c>
      <c r="N681" s="18" t="str">
        <f t="shared" si="2"/>
        <v>#DIV/0!</v>
      </c>
      <c r="O681" s="12" t="str">
        <f t="shared" si="4"/>
        <v/>
      </c>
      <c r="P681" s="18" t="str">
        <f t="shared" si="3"/>
        <v>#DIV/0!</v>
      </c>
      <c r="Q681" s="12"/>
    </row>
    <row r="682">
      <c r="C682" s="20"/>
      <c r="E682" s="31"/>
      <c r="F682" s="31"/>
      <c r="G682" s="31"/>
      <c r="H682" s="29"/>
      <c r="I682" s="12"/>
      <c r="J682" s="12"/>
      <c r="K682" s="12"/>
      <c r="L682" s="12"/>
      <c r="M682" s="18" t="str">
        <f t="shared" si="1"/>
        <v>#DIV/0!</v>
      </c>
      <c r="N682" s="18" t="str">
        <f t="shared" si="2"/>
        <v>#DIV/0!</v>
      </c>
      <c r="O682" s="12" t="str">
        <f t="shared" si="4"/>
        <v/>
      </c>
      <c r="P682" s="18" t="str">
        <f t="shared" si="3"/>
        <v>#DIV/0!</v>
      </c>
      <c r="Q682" s="12"/>
    </row>
    <row r="683">
      <c r="C683" s="20"/>
      <c r="E683" s="31"/>
      <c r="F683" s="31"/>
      <c r="G683" s="31"/>
      <c r="H683" s="29"/>
      <c r="I683" s="12"/>
      <c r="J683" s="12"/>
      <c r="K683" s="12"/>
      <c r="L683" s="12"/>
      <c r="M683" s="18" t="str">
        <f t="shared" si="1"/>
        <v>#DIV/0!</v>
      </c>
      <c r="N683" s="18" t="str">
        <f t="shared" si="2"/>
        <v>#DIV/0!</v>
      </c>
      <c r="O683" s="12" t="str">
        <f t="shared" si="4"/>
        <v/>
      </c>
      <c r="P683" s="18" t="str">
        <f t="shared" si="3"/>
        <v>#DIV/0!</v>
      </c>
      <c r="Q683" s="12"/>
    </row>
    <row r="684">
      <c r="C684" s="20"/>
      <c r="E684" s="31"/>
      <c r="F684" s="31"/>
      <c r="G684" s="31"/>
      <c r="H684" s="29"/>
      <c r="I684" s="12"/>
      <c r="J684" s="12"/>
      <c r="K684" s="12"/>
      <c r="L684" s="12"/>
      <c r="M684" s="18" t="str">
        <f t="shared" si="1"/>
        <v>#DIV/0!</v>
      </c>
      <c r="N684" s="18" t="str">
        <f t="shared" si="2"/>
        <v>#DIV/0!</v>
      </c>
      <c r="O684" s="12" t="str">
        <f t="shared" si="4"/>
        <v/>
      </c>
      <c r="P684" s="18" t="str">
        <f t="shared" si="3"/>
        <v>#DIV/0!</v>
      </c>
      <c r="Q684" s="12"/>
    </row>
    <row r="685">
      <c r="C685" s="20"/>
      <c r="E685" s="31"/>
      <c r="F685" s="31"/>
      <c r="G685" s="31"/>
      <c r="H685" s="29"/>
      <c r="I685" s="12"/>
      <c r="J685" s="12"/>
      <c r="K685" s="12"/>
      <c r="L685" s="12"/>
      <c r="M685" s="18" t="str">
        <f t="shared" si="1"/>
        <v>#DIV/0!</v>
      </c>
      <c r="N685" s="18" t="str">
        <f t="shared" si="2"/>
        <v>#DIV/0!</v>
      </c>
      <c r="O685" s="12" t="str">
        <f t="shared" si="4"/>
        <v/>
      </c>
      <c r="P685" s="18" t="str">
        <f t="shared" si="3"/>
        <v>#DIV/0!</v>
      </c>
      <c r="Q685" s="12"/>
    </row>
    <row r="686">
      <c r="C686" s="20"/>
      <c r="E686" s="31"/>
      <c r="F686" s="31"/>
      <c r="G686" s="31"/>
      <c r="H686" s="29"/>
      <c r="I686" s="12"/>
      <c r="J686" s="12"/>
      <c r="K686" s="12"/>
      <c r="L686" s="12"/>
      <c r="M686" s="18" t="str">
        <f t="shared" si="1"/>
        <v>#DIV/0!</v>
      </c>
      <c r="N686" s="18" t="str">
        <f t="shared" si="2"/>
        <v>#DIV/0!</v>
      </c>
      <c r="O686" s="12" t="str">
        <f t="shared" si="4"/>
        <v/>
      </c>
      <c r="P686" s="18" t="str">
        <f t="shared" si="3"/>
        <v>#DIV/0!</v>
      </c>
      <c r="Q686" s="12"/>
    </row>
    <row r="687">
      <c r="C687" s="20"/>
      <c r="E687" s="31"/>
      <c r="F687" s="31"/>
      <c r="G687" s="31"/>
      <c r="H687" s="29"/>
    </row>
    <row r="688">
      <c r="C688" s="20"/>
      <c r="E688" s="31"/>
      <c r="F688" s="31"/>
      <c r="G688" s="31"/>
      <c r="H688" s="29"/>
    </row>
    <row r="689">
      <c r="C689" s="20"/>
      <c r="E689" s="31"/>
      <c r="F689" s="31"/>
      <c r="G689" s="31"/>
      <c r="H689" s="29"/>
    </row>
    <row r="690">
      <c r="C690" s="20"/>
      <c r="E690" s="31"/>
      <c r="F690" s="31"/>
      <c r="G690" s="31"/>
      <c r="H690" s="29"/>
    </row>
    <row r="691">
      <c r="C691" s="20"/>
      <c r="E691" s="31"/>
      <c r="F691" s="31"/>
      <c r="G691" s="31"/>
      <c r="H691" s="29"/>
    </row>
    <row r="692">
      <c r="C692" s="20"/>
      <c r="E692" s="31"/>
      <c r="F692" s="31"/>
      <c r="G692" s="31"/>
      <c r="H692" s="29"/>
    </row>
    <row r="693">
      <c r="C693" s="20"/>
      <c r="E693" s="31"/>
      <c r="F693" s="31"/>
      <c r="G693" s="31"/>
      <c r="H693" s="29"/>
    </row>
    <row r="694">
      <c r="C694" s="20"/>
      <c r="E694" s="31"/>
      <c r="F694" s="31"/>
      <c r="G694" s="31"/>
      <c r="H694" s="29"/>
    </row>
    <row r="695">
      <c r="C695" s="20"/>
      <c r="E695" s="31"/>
      <c r="F695" s="31"/>
      <c r="G695" s="31"/>
      <c r="H695" s="29"/>
    </row>
    <row r="696">
      <c r="C696" s="20"/>
      <c r="E696" s="31"/>
      <c r="F696" s="31"/>
      <c r="G696" s="31"/>
      <c r="H696" s="29"/>
    </row>
    <row r="697">
      <c r="C697" s="20"/>
      <c r="E697" s="31"/>
      <c r="F697" s="31"/>
      <c r="G697" s="31"/>
      <c r="H697" s="29"/>
    </row>
    <row r="698">
      <c r="C698" s="20"/>
      <c r="E698" s="31"/>
      <c r="F698" s="31"/>
      <c r="G698" s="31"/>
      <c r="H698" s="29"/>
    </row>
    <row r="699">
      <c r="C699" s="20"/>
      <c r="E699" s="31"/>
      <c r="F699" s="31"/>
      <c r="G699" s="31"/>
      <c r="H699" s="29"/>
    </row>
    <row r="700">
      <c r="C700" s="20"/>
      <c r="E700" s="31"/>
      <c r="F700" s="31"/>
      <c r="G700" s="31"/>
      <c r="H700" s="29"/>
    </row>
    <row r="701">
      <c r="C701" s="20"/>
      <c r="E701" s="31"/>
      <c r="F701" s="31"/>
      <c r="G701" s="31"/>
      <c r="H701" s="29"/>
    </row>
    <row r="702">
      <c r="C702" s="20"/>
      <c r="E702" s="31"/>
      <c r="F702" s="31"/>
      <c r="G702" s="31"/>
      <c r="H702" s="29"/>
    </row>
    <row r="703">
      <c r="C703" s="20"/>
      <c r="E703" s="31"/>
      <c r="F703" s="31"/>
      <c r="G703" s="31"/>
      <c r="H703" s="29"/>
    </row>
    <row r="704">
      <c r="C704" s="20"/>
      <c r="E704" s="31"/>
      <c r="F704" s="31"/>
      <c r="G704" s="31"/>
      <c r="H704" s="29"/>
    </row>
    <row r="705">
      <c r="C705" s="20"/>
      <c r="E705" s="31"/>
      <c r="F705" s="31"/>
      <c r="G705" s="31"/>
      <c r="H705" s="29"/>
    </row>
    <row r="706">
      <c r="C706" s="20"/>
      <c r="E706" s="31"/>
      <c r="F706" s="31"/>
      <c r="G706" s="31"/>
      <c r="H706" s="29"/>
    </row>
    <row r="707">
      <c r="C707" s="20"/>
      <c r="E707" s="31"/>
      <c r="F707" s="31"/>
      <c r="G707" s="31"/>
      <c r="H707" s="29"/>
    </row>
    <row r="708">
      <c r="C708" s="20"/>
      <c r="E708" s="31"/>
      <c r="F708" s="31"/>
      <c r="G708" s="31"/>
      <c r="H708" s="29"/>
    </row>
    <row r="709">
      <c r="C709" s="20"/>
      <c r="E709" s="31"/>
      <c r="F709" s="31"/>
      <c r="G709" s="31"/>
      <c r="H709" s="29"/>
    </row>
    <row r="710">
      <c r="C710" s="20"/>
      <c r="E710" s="31"/>
      <c r="F710" s="31"/>
      <c r="G710" s="31"/>
      <c r="H710" s="29"/>
    </row>
    <row r="711">
      <c r="C711" s="20"/>
      <c r="E711" s="31"/>
      <c r="F711" s="31"/>
      <c r="G711" s="31"/>
      <c r="H711" s="29"/>
    </row>
    <row r="712">
      <c r="C712" s="20"/>
      <c r="E712" s="31"/>
      <c r="F712" s="31"/>
      <c r="G712" s="31"/>
      <c r="H712" s="29"/>
    </row>
    <row r="713">
      <c r="C713" s="20"/>
      <c r="E713" s="31"/>
      <c r="F713" s="31"/>
      <c r="G713" s="31"/>
      <c r="H713" s="29"/>
    </row>
    <row r="714">
      <c r="C714" s="20"/>
      <c r="E714" s="31"/>
      <c r="F714" s="31"/>
      <c r="G714" s="31"/>
      <c r="H714" s="29"/>
    </row>
    <row r="715">
      <c r="C715" s="20"/>
      <c r="E715" s="31"/>
      <c r="F715" s="31"/>
      <c r="G715" s="31"/>
      <c r="H715" s="29"/>
    </row>
    <row r="716">
      <c r="C716" s="20"/>
      <c r="E716" s="31"/>
      <c r="F716" s="31"/>
      <c r="G716" s="31"/>
      <c r="H716" s="29"/>
    </row>
    <row r="717">
      <c r="C717" s="20"/>
      <c r="E717" s="31"/>
      <c r="F717" s="31"/>
      <c r="G717" s="31"/>
      <c r="H717" s="29"/>
    </row>
    <row r="718">
      <c r="C718" s="20"/>
      <c r="E718" s="31"/>
      <c r="F718" s="31"/>
      <c r="G718" s="31"/>
      <c r="H718" s="29"/>
    </row>
    <row r="719">
      <c r="C719" s="20"/>
      <c r="E719" s="31"/>
      <c r="F719" s="31"/>
      <c r="G719" s="31"/>
      <c r="H719" s="29"/>
    </row>
    <row r="720">
      <c r="C720" s="20"/>
      <c r="E720" s="31"/>
      <c r="F720" s="31"/>
      <c r="G720" s="31"/>
      <c r="H720" s="29"/>
    </row>
    <row r="721">
      <c r="C721" s="20"/>
      <c r="E721" s="31"/>
      <c r="F721" s="31"/>
      <c r="G721" s="31"/>
      <c r="H721" s="29"/>
    </row>
    <row r="722">
      <c r="C722" s="20"/>
      <c r="E722" s="31"/>
      <c r="F722" s="31"/>
      <c r="G722" s="31"/>
      <c r="H722" s="29"/>
    </row>
    <row r="723">
      <c r="C723" s="20"/>
      <c r="E723" s="31"/>
      <c r="F723" s="31"/>
      <c r="G723" s="31"/>
      <c r="H723" s="29"/>
    </row>
    <row r="724">
      <c r="C724" s="20"/>
      <c r="E724" s="31"/>
      <c r="F724" s="31"/>
      <c r="G724" s="31"/>
      <c r="H724" s="29"/>
    </row>
    <row r="725">
      <c r="C725" s="20"/>
      <c r="E725" s="31"/>
      <c r="F725" s="31"/>
      <c r="G725" s="31"/>
      <c r="H725" s="29"/>
    </row>
    <row r="726">
      <c r="C726" s="20"/>
      <c r="E726" s="31"/>
      <c r="F726" s="31"/>
      <c r="G726" s="31"/>
      <c r="H726" s="29"/>
    </row>
    <row r="727">
      <c r="C727" s="20"/>
      <c r="E727" s="31"/>
      <c r="F727" s="31"/>
      <c r="G727" s="31"/>
      <c r="H727" s="29"/>
    </row>
    <row r="728">
      <c r="C728" s="20"/>
      <c r="E728" s="31"/>
      <c r="F728" s="31"/>
      <c r="G728" s="31"/>
      <c r="H728" s="29"/>
    </row>
    <row r="729">
      <c r="C729" s="20"/>
      <c r="E729" s="31"/>
      <c r="F729" s="31"/>
      <c r="G729" s="31"/>
      <c r="H729" s="29"/>
    </row>
    <row r="730">
      <c r="C730" s="20"/>
      <c r="E730" s="31"/>
      <c r="F730" s="31"/>
      <c r="G730" s="31"/>
      <c r="H730" s="29"/>
    </row>
    <row r="731">
      <c r="C731" s="20"/>
      <c r="E731" s="31"/>
      <c r="F731" s="31"/>
      <c r="G731" s="31"/>
      <c r="H731" s="29"/>
    </row>
    <row r="732">
      <c r="C732" s="20"/>
      <c r="E732" s="31"/>
      <c r="F732" s="31"/>
      <c r="G732" s="31"/>
      <c r="H732" s="29"/>
    </row>
    <row r="733">
      <c r="C733" s="20"/>
      <c r="E733" s="31"/>
      <c r="F733" s="31"/>
      <c r="G733" s="31"/>
      <c r="H733" s="29"/>
    </row>
    <row r="734">
      <c r="C734" s="20"/>
      <c r="E734" s="31"/>
      <c r="F734" s="31"/>
      <c r="G734" s="31"/>
      <c r="H734" s="29"/>
    </row>
    <row r="735">
      <c r="C735" s="20"/>
      <c r="E735" s="31"/>
      <c r="F735" s="31"/>
      <c r="G735" s="31"/>
      <c r="H735" s="29"/>
    </row>
    <row r="736">
      <c r="C736" s="20"/>
      <c r="E736" s="31"/>
      <c r="F736" s="31"/>
      <c r="G736" s="31"/>
      <c r="H736" s="29"/>
    </row>
    <row r="737">
      <c r="C737" s="20"/>
      <c r="E737" s="31"/>
      <c r="F737" s="31"/>
      <c r="G737" s="31"/>
      <c r="H737" s="29"/>
    </row>
    <row r="738">
      <c r="C738" s="20"/>
      <c r="E738" s="31"/>
      <c r="F738" s="31"/>
      <c r="G738" s="31"/>
      <c r="H738" s="29"/>
    </row>
    <row r="739">
      <c r="C739" s="20"/>
      <c r="E739" s="31"/>
      <c r="F739" s="31"/>
      <c r="G739" s="31"/>
      <c r="H739" s="29"/>
    </row>
    <row r="740">
      <c r="C740" s="20"/>
      <c r="E740" s="31"/>
      <c r="F740" s="31"/>
      <c r="G740" s="31"/>
      <c r="H740" s="29"/>
    </row>
    <row r="741">
      <c r="C741" s="20"/>
      <c r="E741" s="31"/>
      <c r="F741" s="31"/>
      <c r="G741" s="31"/>
      <c r="H741" s="29"/>
    </row>
    <row r="742">
      <c r="C742" s="20"/>
      <c r="E742" s="31"/>
      <c r="F742" s="31"/>
      <c r="G742" s="31"/>
      <c r="H742" s="29"/>
    </row>
    <row r="743">
      <c r="C743" s="20"/>
      <c r="E743" s="31"/>
      <c r="F743" s="31"/>
      <c r="G743" s="31"/>
      <c r="H743" s="29"/>
    </row>
    <row r="744">
      <c r="C744" s="20"/>
      <c r="E744" s="31"/>
      <c r="F744" s="31"/>
      <c r="G744" s="31"/>
      <c r="H744" s="29"/>
    </row>
    <row r="745">
      <c r="C745" s="20"/>
      <c r="E745" s="31"/>
      <c r="F745" s="31"/>
      <c r="G745" s="31"/>
      <c r="H745" s="29"/>
    </row>
    <row r="746">
      <c r="C746" s="20"/>
      <c r="E746" s="31"/>
      <c r="F746" s="31"/>
      <c r="G746" s="31"/>
      <c r="H746" s="29"/>
    </row>
    <row r="747">
      <c r="C747" s="20"/>
      <c r="E747" s="31"/>
      <c r="F747" s="31"/>
      <c r="G747" s="31"/>
      <c r="H747" s="29"/>
    </row>
    <row r="748">
      <c r="C748" s="20"/>
      <c r="E748" s="31"/>
      <c r="F748" s="31"/>
      <c r="G748" s="31"/>
      <c r="H748" s="29"/>
    </row>
    <row r="749">
      <c r="C749" s="20"/>
      <c r="E749" s="31"/>
      <c r="F749" s="31"/>
      <c r="G749" s="31"/>
      <c r="H749" s="29"/>
    </row>
    <row r="750">
      <c r="C750" s="20"/>
      <c r="E750" s="31"/>
      <c r="F750" s="31"/>
      <c r="G750" s="31"/>
      <c r="H750" s="29"/>
    </row>
    <row r="751">
      <c r="C751" s="20"/>
      <c r="E751" s="31"/>
      <c r="F751" s="31"/>
      <c r="G751" s="31"/>
      <c r="H751" s="29"/>
    </row>
    <row r="752">
      <c r="C752" s="20"/>
      <c r="E752" s="31"/>
      <c r="F752" s="31"/>
      <c r="G752" s="31"/>
      <c r="H752" s="29"/>
    </row>
    <row r="753">
      <c r="C753" s="20"/>
      <c r="E753" s="31"/>
      <c r="F753" s="31"/>
      <c r="G753" s="31"/>
      <c r="H753" s="29"/>
    </row>
    <row r="754">
      <c r="C754" s="20"/>
      <c r="E754" s="31"/>
      <c r="F754" s="31"/>
      <c r="G754" s="31"/>
      <c r="H754" s="29"/>
    </row>
    <row r="755">
      <c r="C755" s="20"/>
      <c r="E755" s="31"/>
      <c r="F755" s="31"/>
      <c r="G755" s="31"/>
      <c r="H755" s="29"/>
    </row>
    <row r="756">
      <c r="C756" s="20"/>
      <c r="E756" s="31"/>
      <c r="F756" s="31"/>
      <c r="G756" s="31"/>
      <c r="H756" s="29"/>
    </row>
    <row r="757">
      <c r="C757" s="20"/>
      <c r="E757" s="31"/>
      <c r="F757" s="31"/>
      <c r="G757" s="31"/>
      <c r="H757" s="29"/>
    </row>
    <row r="758">
      <c r="C758" s="20"/>
      <c r="E758" s="31"/>
      <c r="F758" s="31"/>
      <c r="G758" s="31"/>
      <c r="H758" s="29"/>
    </row>
    <row r="759">
      <c r="C759" s="20"/>
      <c r="E759" s="31"/>
      <c r="F759" s="31"/>
      <c r="G759" s="31"/>
      <c r="H759" s="29"/>
    </row>
    <row r="760">
      <c r="C760" s="20"/>
      <c r="E760" s="31"/>
      <c r="F760" s="31"/>
      <c r="G760" s="31"/>
      <c r="H760" s="29"/>
    </row>
    <row r="761">
      <c r="C761" s="20"/>
      <c r="E761" s="31"/>
      <c r="F761" s="31"/>
      <c r="G761" s="31"/>
      <c r="H761" s="29"/>
    </row>
    <row r="762">
      <c r="C762" s="20"/>
      <c r="E762" s="31"/>
      <c r="F762" s="31"/>
      <c r="G762" s="31"/>
      <c r="H762" s="29"/>
    </row>
    <row r="763">
      <c r="C763" s="20"/>
      <c r="E763" s="31"/>
      <c r="F763" s="31"/>
      <c r="G763" s="31"/>
      <c r="H763" s="29"/>
    </row>
    <row r="764">
      <c r="C764" s="20"/>
      <c r="E764" s="31"/>
      <c r="F764" s="31"/>
      <c r="G764" s="31"/>
      <c r="H764" s="29"/>
    </row>
    <row r="765">
      <c r="C765" s="20"/>
      <c r="E765" s="31"/>
      <c r="F765" s="31"/>
      <c r="G765" s="31"/>
      <c r="H765" s="29"/>
    </row>
    <row r="766">
      <c r="C766" s="20"/>
      <c r="E766" s="31"/>
      <c r="F766" s="31"/>
      <c r="G766" s="31"/>
      <c r="H766" s="29"/>
    </row>
    <row r="767">
      <c r="C767" s="20"/>
      <c r="E767" s="31"/>
      <c r="F767" s="31"/>
      <c r="G767" s="31"/>
      <c r="H767" s="29"/>
    </row>
    <row r="768">
      <c r="C768" s="20"/>
      <c r="E768" s="31"/>
      <c r="F768" s="31"/>
      <c r="G768" s="31"/>
      <c r="H768" s="29"/>
    </row>
    <row r="769">
      <c r="C769" s="20"/>
      <c r="E769" s="31"/>
      <c r="F769" s="31"/>
      <c r="G769" s="31"/>
      <c r="H769" s="29"/>
    </row>
    <row r="770">
      <c r="C770" s="20"/>
      <c r="E770" s="31"/>
      <c r="F770" s="31"/>
      <c r="G770" s="31"/>
      <c r="H770" s="29"/>
    </row>
    <row r="771">
      <c r="C771" s="20"/>
      <c r="E771" s="31"/>
      <c r="F771" s="31"/>
      <c r="G771" s="31"/>
      <c r="H771" s="29"/>
    </row>
    <row r="772">
      <c r="C772" s="20"/>
      <c r="E772" s="31"/>
      <c r="F772" s="31"/>
      <c r="G772" s="31"/>
      <c r="H772" s="29"/>
    </row>
    <row r="773">
      <c r="C773" s="20"/>
      <c r="E773" s="31"/>
      <c r="F773" s="31"/>
      <c r="G773" s="31"/>
      <c r="H773" s="29"/>
    </row>
    <row r="774">
      <c r="C774" s="20"/>
      <c r="E774" s="31"/>
      <c r="F774" s="31"/>
      <c r="G774" s="31"/>
      <c r="H774" s="29"/>
    </row>
    <row r="775">
      <c r="C775" s="20"/>
      <c r="E775" s="31"/>
      <c r="F775" s="31"/>
      <c r="G775" s="31"/>
      <c r="H775" s="29"/>
    </row>
    <row r="776">
      <c r="C776" s="20"/>
      <c r="E776" s="31"/>
      <c r="F776" s="31"/>
      <c r="G776" s="31"/>
      <c r="H776" s="29"/>
    </row>
    <row r="777">
      <c r="C777" s="20"/>
      <c r="E777" s="31"/>
      <c r="F777" s="31"/>
      <c r="G777" s="31"/>
      <c r="H777" s="29"/>
    </row>
    <row r="778">
      <c r="C778" s="20"/>
      <c r="E778" s="31"/>
      <c r="F778" s="31"/>
      <c r="G778" s="31"/>
      <c r="H778" s="29"/>
    </row>
    <row r="779">
      <c r="C779" s="20"/>
      <c r="E779" s="31"/>
      <c r="F779" s="31"/>
      <c r="G779" s="31"/>
      <c r="H779" s="29"/>
    </row>
    <row r="780">
      <c r="C780" s="20"/>
      <c r="E780" s="31"/>
      <c r="F780" s="31"/>
      <c r="G780" s="31"/>
      <c r="H780" s="29"/>
    </row>
    <row r="781">
      <c r="C781" s="20"/>
      <c r="E781" s="31"/>
      <c r="F781" s="31"/>
      <c r="G781" s="31"/>
      <c r="H781" s="29"/>
    </row>
    <row r="782">
      <c r="C782" s="20"/>
      <c r="E782" s="31"/>
      <c r="F782" s="31"/>
      <c r="G782" s="31"/>
      <c r="H782" s="29"/>
    </row>
    <row r="783">
      <c r="C783" s="20"/>
      <c r="E783" s="31"/>
      <c r="F783" s="31"/>
      <c r="G783" s="31"/>
      <c r="H783" s="29"/>
    </row>
    <row r="784">
      <c r="C784" s="20"/>
      <c r="E784" s="31"/>
      <c r="F784" s="31"/>
      <c r="G784" s="31"/>
      <c r="H784" s="29"/>
    </row>
    <row r="785">
      <c r="C785" s="20"/>
      <c r="E785" s="31"/>
      <c r="F785" s="31"/>
      <c r="G785" s="31"/>
      <c r="H785" s="29"/>
    </row>
    <row r="786">
      <c r="C786" s="20"/>
      <c r="E786" s="31"/>
      <c r="F786" s="31"/>
      <c r="G786" s="31"/>
      <c r="H786" s="29"/>
    </row>
    <row r="787">
      <c r="C787" s="20"/>
      <c r="E787" s="31"/>
      <c r="F787" s="31"/>
      <c r="G787" s="31"/>
      <c r="H787" s="29"/>
    </row>
    <row r="788">
      <c r="C788" s="20"/>
      <c r="E788" s="31"/>
      <c r="F788" s="31"/>
      <c r="G788" s="31"/>
      <c r="H788" s="29"/>
    </row>
    <row r="789">
      <c r="C789" s="20"/>
      <c r="E789" s="31"/>
      <c r="F789" s="31"/>
      <c r="G789" s="31"/>
      <c r="H789" s="29"/>
    </row>
    <row r="790">
      <c r="C790" s="20"/>
      <c r="E790" s="31"/>
      <c r="F790" s="31"/>
      <c r="G790" s="31"/>
      <c r="H790" s="29"/>
    </row>
    <row r="791">
      <c r="C791" s="20"/>
      <c r="E791" s="31"/>
      <c r="F791" s="31"/>
      <c r="G791" s="31"/>
      <c r="H791" s="29"/>
    </row>
    <row r="792">
      <c r="C792" s="20"/>
      <c r="E792" s="31"/>
      <c r="F792" s="31"/>
      <c r="G792" s="31"/>
      <c r="H792" s="29"/>
    </row>
    <row r="793">
      <c r="C793" s="20"/>
      <c r="E793" s="31"/>
      <c r="F793" s="31"/>
      <c r="G793" s="31"/>
      <c r="H793" s="29"/>
    </row>
    <row r="794">
      <c r="C794" s="20"/>
      <c r="E794" s="31"/>
      <c r="F794" s="31"/>
      <c r="G794" s="31"/>
      <c r="H794" s="29"/>
    </row>
    <row r="795">
      <c r="C795" s="20"/>
      <c r="E795" s="31"/>
      <c r="F795" s="31"/>
      <c r="G795" s="31"/>
      <c r="H795" s="29"/>
    </row>
    <row r="796">
      <c r="C796" s="20"/>
      <c r="E796" s="31"/>
      <c r="F796" s="31"/>
      <c r="G796" s="31"/>
      <c r="H796" s="29"/>
    </row>
    <row r="797">
      <c r="C797" s="20"/>
      <c r="E797" s="31"/>
      <c r="F797" s="31"/>
      <c r="G797" s="31"/>
      <c r="H797" s="29"/>
    </row>
    <row r="798">
      <c r="C798" s="20"/>
      <c r="E798" s="31"/>
      <c r="F798" s="31"/>
      <c r="G798" s="31"/>
      <c r="H798" s="29"/>
    </row>
    <row r="799">
      <c r="C799" s="20"/>
      <c r="E799" s="31"/>
      <c r="F799" s="31"/>
      <c r="G799" s="31"/>
      <c r="H799" s="29"/>
    </row>
    <row r="800">
      <c r="C800" s="20"/>
      <c r="E800" s="31"/>
      <c r="F800" s="31"/>
      <c r="G800" s="31"/>
      <c r="H800" s="29"/>
    </row>
    <row r="801">
      <c r="C801" s="20"/>
      <c r="E801" s="31"/>
      <c r="F801" s="31"/>
      <c r="G801" s="31"/>
      <c r="H801" s="29"/>
    </row>
    <row r="802">
      <c r="C802" s="20"/>
      <c r="E802" s="31"/>
      <c r="F802" s="31"/>
      <c r="G802" s="31"/>
      <c r="H802" s="29"/>
    </row>
    <row r="803">
      <c r="C803" s="20"/>
      <c r="E803" s="31"/>
      <c r="F803" s="31"/>
      <c r="G803" s="31"/>
      <c r="H803" s="29"/>
    </row>
    <row r="804">
      <c r="C804" s="20"/>
      <c r="E804" s="31"/>
      <c r="F804" s="31"/>
      <c r="G804" s="31"/>
      <c r="H804" s="29"/>
    </row>
    <row r="805">
      <c r="C805" s="20"/>
      <c r="E805" s="31"/>
      <c r="F805" s="31"/>
      <c r="G805" s="31"/>
      <c r="H805" s="29"/>
    </row>
    <row r="806">
      <c r="C806" s="20"/>
      <c r="E806" s="31"/>
      <c r="F806" s="31"/>
      <c r="G806" s="31"/>
      <c r="H806" s="29"/>
    </row>
    <row r="807">
      <c r="C807" s="20"/>
      <c r="E807" s="31"/>
      <c r="F807" s="31"/>
      <c r="G807" s="31"/>
      <c r="H807" s="29"/>
    </row>
    <row r="808">
      <c r="C808" s="20"/>
      <c r="E808" s="31"/>
      <c r="F808" s="31"/>
      <c r="G808" s="31"/>
      <c r="H808" s="29"/>
    </row>
    <row r="809">
      <c r="C809" s="20"/>
      <c r="E809" s="31"/>
      <c r="F809" s="31"/>
      <c r="G809" s="31"/>
      <c r="H809" s="29"/>
    </row>
    <row r="810">
      <c r="C810" s="20"/>
      <c r="E810" s="31"/>
      <c r="F810" s="31"/>
      <c r="G810" s="31"/>
      <c r="H810" s="29"/>
    </row>
    <row r="811">
      <c r="C811" s="20"/>
      <c r="E811" s="31"/>
      <c r="F811" s="31"/>
      <c r="G811" s="31"/>
      <c r="H811" s="29"/>
    </row>
    <row r="812">
      <c r="C812" s="20"/>
      <c r="E812" s="31"/>
      <c r="F812" s="31"/>
      <c r="G812" s="31"/>
      <c r="H812" s="29"/>
    </row>
    <row r="813">
      <c r="C813" s="20"/>
      <c r="E813" s="31"/>
      <c r="F813" s="31"/>
      <c r="G813" s="31"/>
      <c r="H813" s="29"/>
    </row>
    <row r="814">
      <c r="C814" s="20"/>
      <c r="E814" s="31"/>
      <c r="F814" s="31"/>
      <c r="G814" s="31"/>
      <c r="H814" s="29"/>
    </row>
    <row r="815">
      <c r="C815" s="20"/>
      <c r="E815" s="31"/>
      <c r="F815" s="31"/>
      <c r="G815" s="31"/>
      <c r="H815" s="29"/>
    </row>
    <row r="816">
      <c r="C816" s="20"/>
      <c r="E816" s="31"/>
      <c r="F816" s="31"/>
      <c r="G816" s="31"/>
      <c r="H816" s="29"/>
    </row>
    <row r="817">
      <c r="C817" s="20"/>
      <c r="E817" s="31"/>
      <c r="F817" s="31"/>
      <c r="G817" s="31"/>
      <c r="H817" s="29"/>
    </row>
    <row r="818">
      <c r="C818" s="20"/>
      <c r="E818" s="31"/>
      <c r="F818" s="31"/>
      <c r="G818" s="31"/>
      <c r="H818" s="29"/>
    </row>
    <row r="819">
      <c r="C819" s="20"/>
      <c r="E819" s="31"/>
      <c r="F819" s="31"/>
      <c r="G819" s="31"/>
      <c r="H819" s="29"/>
    </row>
    <row r="820">
      <c r="C820" s="20"/>
      <c r="E820" s="31"/>
      <c r="F820" s="31"/>
      <c r="G820" s="31"/>
      <c r="H820" s="29"/>
    </row>
    <row r="821">
      <c r="C821" s="20"/>
      <c r="E821" s="31"/>
      <c r="F821" s="31"/>
      <c r="G821" s="31"/>
      <c r="H821" s="29"/>
    </row>
    <row r="822">
      <c r="C822" s="20"/>
      <c r="E822" s="31"/>
      <c r="F822" s="31"/>
      <c r="G822" s="31"/>
      <c r="H822" s="29"/>
    </row>
    <row r="823">
      <c r="C823" s="20"/>
      <c r="E823" s="31"/>
      <c r="F823" s="31"/>
      <c r="G823" s="31"/>
      <c r="H823" s="29"/>
    </row>
    <row r="824">
      <c r="C824" s="20"/>
      <c r="E824" s="31"/>
      <c r="F824" s="31"/>
      <c r="G824" s="31"/>
      <c r="H824" s="29"/>
    </row>
    <row r="825">
      <c r="C825" s="20"/>
      <c r="E825" s="31"/>
      <c r="F825" s="31"/>
      <c r="G825" s="31"/>
      <c r="H825" s="29"/>
    </row>
    <row r="826">
      <c r="C826" s="20"/>
      <c r="E826" s="31"/>
      <c r="F826" s="31"/>
      <c r="G826" s="31"/>
      <c r="H826" s="29"/>
    </row>
    <row r="827">
      <c r="C827" s="20"/>
      <c r="E827" s="31"/>
      <c r="F827" s="31"/>
      <c r="G827" s="31"/>
      <c r="H827" s="29"/>
    </row>
    <row r="828">
      <c r="C828" s="20"/>
      <c r="E828" s="31"/>
      <c r="F828" s="31"/>
      <c r="G828" s="31"/>
      <c r="H828" s="29"/>
    </row>
    <row r="829">
      <c r="C829" s="20"/>
      <c r="E829" s="31"/>
      <c r="F829" s="31"/>
      <c r="G829" s="31"/>
      <c r="H829" s="29"/>
    </row>
    <row r="830">
      <c r="C830" s="20"/>
      <c r="E830" s="31"/>
      <c r="F830" s="31"/>
      <c r="G830" s="31"/>
      <c r="H830" s="29"/>
    </row>
    <row r="831">
      <c r="C831" s="20"/>
      <c r="E831" s="31"/>
      <c r="F831" s="31"/>
      <c r="G831" s="31"/>
      <c r="H831" s="29"/>
    </row>
    <row r="832">
      <c r="C832" s="20"/>
      <c r="E832" s="31"/>
      <c r="F832" s="31"/>
      <c r="G832" s="31"/>
      <c r="H832" s="29"/>
    </row>
    <row r="833">
      <c r="C833" s="20"/>
      <c r="E833" s="31"/>
      <c r="F833" s="31"/>
      <c r="G833" s="31"/>
      <c r="H833" s="29"/>
    </row>
    <row r="834">
      <c r="C834" s="20"/>
      <c r="E834" s="31"/>
      <c r="F834" s="31"/>
      <c r="G834" s="31"/>
      <c r="H834" s="29"/>
    </row>
    <row r="835">
      <c r="C835" s="20"/>
      <c r="E835" s="31"/>
      <c r="F835" s="31"/>
      <c r="G835" s="31"/>
      <c r="H835" s="29"/>
    </row>
    <row r="836">
      <c r="C836" s="20"/>
      <c r="E836" s="31"/>
      <c r="F836" s="31"/>
      <c r="G836" s="31"/>
      <c r="H836" s="29"/>
    </row>
    <row r="837">
      <c r="C837" s="20"/>
      <c r="E837" s="31"/>
      <c r="F837" s="31"/>
      <c r="G837" s="31"/>
      <c r="H837" s="29"/>
    </row>
    <row r="838">
      <c r="C838" s="20"/>
      <c r="E838" s="31"/>
      <c r="F838" s="31"/>
      <c r="G838" s="31"/>
      <c r="H838" s="29"/>
    </row>
    <row r="839">
      <c r="C839" s="20"/>
      <c r="E839" s="31"/>
      <c r="F839" s="31"/>
      <c r="G839" s="31"/>
      <c r="H839" s="29"/>
    </row>
    <row r="840">
      <c r="C840" s="20"/>
      <c r="E840" s="31"/>
      <c r="F840" s="31"/>
      <c r="G840" s="31"/>
      <c r="H840" s="29"/>
    </row>
    <row r="841">
      <c r="C841" s="20"/>
      <c r="E841" s="31"/>
      <c r="F841" s="31"/>
      <c r="G841" s="31"/>
      <c r="H841" s="29"/>
    </row>
    <row r="842">
      <c r="C842" s="20"/>
      <c r="E842" s="31"/>
      <c r="F842" s="31"/>
      <c r="G842" s="31"/>
      <c r="H842" s="29"/>
    </row>
    <row r="843">
      <c r="C843" s="20"/>
      <c r="E843" s="31"/>
      <c r="F843" s="31"/>
      <c r="G843" s="31"/>
      <c r="H843" s="29"/>
    </row>
    <row r="844">
      <c r="C844" s="20"/>
      <c r="E844" s="31"/>
      <c r="F844" s="31"/>
      <c r="G844" s="31"/>
      <c r="H844" s="29"/>
    </row>
    <row r="845">
      <c r="C845" s="20"/>
      <c r="E845" s="31"/>
      <c r="F845" s="31"/>
      <c r="G845" s="31"/>
      <c r="H845" s="29"/>
    </row>
    <row r="846">
      <c r="C846" s="20"/>
      <c r="E846" s="31"/>
      <c r="F846" s="31"/>
      <c r="G846" s="31"/>
      <c r="H846" s="29"/>
    </row>
    <row r="847">
      <c r="C847" s="20"/>
      <c r="E847" s="31"/>
      <c r="F847" s="31"/>
      <c r="G847" s="31"/>
      <c r="H847" s="29"/>
    </row>
    <row r="848">
      <c r="C848" s="20"/>
      <c r="E848" s="31"/>
      <c r="F848" s="31"/>
      <c r="G848" s="31"/>
      <c r="H848" s="29"/>
    </row>
    <row r="849">
      <c r="C849" s="20"/>
      <c r="E849" s="31"/>
      <c r="F849" s="31"/>
      <c r="G849" s="31"/>
      <c r="H849" s="29"/>
    </row>
    <row r="850">
      <c r="C850" s="20"/>
      <c r="E850" s="31"/>
      <c r="F850" s="31"/>
      <c r="G850" s="31"/>
      <c r="H850" s="29"/>
    </row>
    <row r="851">
      <c r="C851" s="20"/>
      <c r="E851" s="31"/>
      <c r="F851" s="31"/>
      <c r="G851" s="31"/>
      <c r="H851" s="29"/>
    </row>
    <row r="852">
      <c r="C852" s="20"/>
      <c r="E852" s="31"/>
      <c r="F852" s="31"/>
      <c r="G852" s="31"/>
      <c r="H852" s="29"/>
    </row>
    <row r="853">
      <c r="C853" s="20"/>
      <c r="E853" s="31"/>
      <c r="F853" s="31"/>
      <c r="G853" s="31"/>
      <c r="H853" s="29"/>
    </row>
    <row r="854">
      <c r="C854" s="20"/>
      <c r="E854" s="31"/>
      <c r="F854" s="31"/>
      <c r="G854" s="31"/>
      <c r="H854" s="29"/>
    </row>
    <row r="855">
      <c r="C855" s="20"/>
      <c r="E855" s="31"/>
      <c r="F855" s="31"/>
      <c r="G855" s="31"/>
      <c r="H855" s="29"/>
    </row>
    <row r="856">
      <c r="C856" s="20"/>
      <c r="E856" s="31"/>
      <c r="F856" s="31"/>
      <c r="G856" s="31"/>
      <c r="H856" s="29"/>
    </row>
    <row r="857">
      <c r="C857" s="20"/>
      <c r="E857" s="31"/>
      <c r="F857" s="31"/>
      <c r="G857" s="31"/>
      <c r="H857" s="29"/>
    </row>
    <row r="858">
      <c r="C858" s="20"/>
      <c r="E858" s="31"/>
      <c r="F858" s="31"/>
      <c r="G858" s="31"/>
      <c r="H858" s="29"/>
    </row>
    <row r="859">
      <c r="C859" s="20"/>
      <c r="E859" s="31"/>
      <c r="F859" s="31"/>
      <c r="G859" s="31"/>
      <c r="H859" s="29"/>
    </row>
    <row r="860">
      <c r="C860" s="20"/>
      <c r="E860" s="31"/>
      <c r="F860" s="31"/>
      <c r="G860" s="31"/>
      <c r="H860" s="29"/>
    </row>
    <row r="861">
      <c r="C861" s="20"/>
      <c r="E861" s="31"/>
      <c r="F861" s="31"/>
      <c r="G861" s="31"/>
      <c r="H861" s="29"/>
    </row>
    <row r="862">
      <c r="C862" s="20"/>
      <c r="E862" s="31"/>
      <c r="F862" s="31"/>
      <c r="G862" s="31"/>
      <c r="H862" s="29"/>
    </row>
    <row r="863">
      <c r="C863" s="20"/>
      <c r="E863" s="31"/>
      <c r="F863" s="31"/>
      <c r="G863" s="31"/>
      <c r="H863" s="29"/>
    </row>
    <row r="864">
      <c r="C864" s="20"/>
      <c r="E864" s="31"/>
      <c r="F864" s="31"/>
      <c r="G864" s="31"/>
      <c r="H864" s="29"/>
    </row>
    <row r="865">
      <c r="C865" s="20"/>
      <c r="E865" s="31"/>
      <c r="F865" s="31"/>
      <c r="G865" s="31"/>
      <c r="H865" s="29"/>
    </row>
    <row r="866">
      <c r="C866" s="20"/>
      <c r="E866" s="31"/>
      <c r="F866" s="31"/>
      <c r="G866" s="31"/>
      <c r="H866" s="29"/>
    </row>
    <row r="867">
      <c r="C867" s="20"/>
      <c r="E867" s="31"/>
      <c r="F867" s="31"/>
      <c r="G867" s="31"/>
      <c r="H867" s="29"/>
    </row>
    <row r="868">
      <c r="C868" s="20"/>
      <c r="E868" s="31"/>
      <c r="F868" s="31"/>
      <c r="G868" s="31"/>
      <c r="H868" s="29"/>
    </row>
    <row r="869">
      <c r="C869" s="20"/>
      <c r="E869" s="31"/>
      <c r="F869" s="31"/>
      <c r="G869" s="31"/>
      <c r="H869" s="29"/>
    </row>
    <row r="870">
      <c r="C870" s="20"/>
      <c r="E870" s="31"/>
      <c r="F870" s="31"/>
      <c r="G870" s="31"/>
      <c r="H870" s="29"/>
    </row>
    <row r="871">
      <c r="C871" s="20"/>
      <c r="E871" s="31"/>
      <c r="F871" s="31"/>
      <c r="G871" s="31"/>
      <c r="H871" s="29"/>
    </row>
    <row r="872">
      <c r="C872" s="20"/>
      <c r="E872" s="31"/>
      <c r="F872" s="31"/>
      <c r="G872" s="31"/>
      <c r="H872" s="29"/>
    </row>
    <row r="873">
      <c r="C873" s="20"/>
      <c r="E873" s="31"/>
      <c r="F873" s="31"/>
      <c r="G873" s="31"/>
      <c r="H873" s="29"/>
    </row>
    <row r="874">
      <c r="C874" s="20"/>
      <c r="E874" s="31"/>
      <c r="F874" s="31"/>
      <c r="G874" s="31"/>
      <c r="H874" s="29"/>
    </row>
    <row r="875">
      <c r="C875" s="20"/>
      <c r="E875" s="31"/>
      <c r="F875" s="31"/>
      <c r="G875" s="31"/>
      <c r="H875" s="29"/>
    </row>
    <row r="876">
      <c r="C876" s="20"/>
      <c r="E876" s="31"/>
      <c r="F876" s="31"/>
      <c r="G876" s="31"/>
      <c r="H876" s="29"/>
    </row>
    <row r="877">
      <c r="C877" s="20"/>
      <c r="E877" s="31"/>
      <c r="F877" s="31"/>
      <c r="G877" s="31"/>
      <c r="H877" s="29"/>
    </row>
    <row r="878">
      <c r="C878" s="20"/>
      <c r="E878" s="31"/>
      <c r="F878" s="31"/>
      <c r="G878" s="31"/>
      <c r="H878" s="29"/>
    </row>
    <row r="879">
      <c r="C879" s="20"/>
      <c r="E879" s="31"/>
      <c r="F879" s="31"/>
      <c r="G879" s="31"/>
      <c r="H879" s="29"/>
    </row>
    <row r="880">
      <c r="C880" s="20"/>
      <c r="E880" s="31"/>
      <c r="F880" s="31"/>
      <c r="G880" s="31"/>
      <c r="H880" s="29"/>
    </row>
    <row r="881">
      <c r="C881" s="20"/>
      <c r="E881" s="31"/>
      <c r="F881" s="31"/>
      <c r="G881" s="31"/>
      <c r="H881" s="29"/>
    </row>
    <row r="882">
      <c r="C882" s="20"/>
      <c r="E882" s="31"/>
      <c r="F882" s="31"/>
      <c r="G882" s="31"/>
      <c r="H882" s="29"/>
    </row>
    <row r="883">
      <c r="C883" s="20"/>
      <c r="E883" s="31"/>
      <c r="F883" s="31"/>
      <c r="G883" s="31"/>
      <c r="H883" s="29"/>
    </row>
    <row r="884">
      <c r="C884" s="20"/>
      <c r="E884" s="31"/>
      <c r="F884" s="31"/>
      <c r="G884" s="31"/>
      <c r="H884" s="29"/>
    </row>
    <row r="885">
      <c r="C885" s="20"/>
      <c r="E885" s="31"/>
      <c r="F885" s="31"/>
      <c r="G885" s="31"/>
      <c r="H885" s="29"/>
    </row>
    <row r="886">
      <c r="C886" s="20"/>
      <c r="E886" s="31"/>
      <c r="F886" s="31"/>
      <c r="G886" s="31"/>
      <c r="H886" s="29"/>
    </row>
    <row r="887">
      <c r="C887" s="20"/>
      <c r="E887" s="31"/>
      <c r="F887" s="31"/>
      <c r="G887" s="31"/>
      <c r="H887" s="29"/>
    </row>
    <row r="888">
      <c r="C888" s="20"/>
      <c r="E888" s="31"/>
      <c r="F888" s="31"/>
      <c r="G888" s="31"/>
      <c r="H888" s="29"/>
    </row>
    <row r="889">
      <c r="C889" s="20"/>
      <c r="E889" s="31"/>
      <c r="F889" s="31"/>
      <c r="G889" s="31"/>
      <c r="H889" s="29"/>
    </row>
    <row r="890">
      <c r="C890" s="20"/>
      <c r="E890" s="31"/>
      <c r="F890" s="31"/>
      <c r="G890" s="31"/>
      <c r="H890" s="29"/>
    </row>
    <row r="891">
      <c r="C891" s="20"/>
      <c r="E891" s="31"/>
      <c r="F891" s="31"/>
      <c r="G891" s="31"/>
      <c r="H891" s="29"/>
    </row>
    <row r="892">
      <c r="C892" s="20"/>
      <c r="E892" s="31"/>
      <c r="F892" s="31"/>
      <c r="G892" s="31"/>
      <c r="H892" s="29"/>
    </row>
    <row r="893">
      <c r="C893" s="20"/>
      <c r="E893" s="31"/>
      <c r="F893" s="31"/>
      <c r="G893" s="31"/>
      <c r="H893" s="29"/>
    </row>
    <row r="894">
      <c r="C894" s="20"/>
      <c r="E894" s="31"/>
      <c r="F894" s="31"/>
      <c r="G894" s="31"/>
      <c r="H894" s="29"/>
    </row>
    <row r="895">
      <c r="C895" s="20"/>
      <c r="E895" s="31"/>
      <c r="F895" s="31"/>
      <c r="G895" s="31"/>
      <c r="H895" s="29"/>
    </row>
    <row r="896">
      <c r="C896" s="20"/>
      <c r="E896" s="31"/>
      <c r="F896" s="31"/>
      <c r="G896" s="31"/>
      <c r="H896" s="29"/>
    </row>
    <row r="897">
      <c r="C897" s="20"/>
      <c r="E897" s="31"/>
      <c r="F897" s="31"/>
      <c r="G897" s="31"/>
      <c r="H897" s="29"/>
    </row>
    <row r="898">
      <c r="C898" s="20"/>
      <c r="E898" s="31"/>
      <c r="F898" s="31"/>
      <c r="G898" s="31"/>
      <c r="H898" s="29"/>
    </row>
    <row r="899">
      <c r="C899" s="20"/>
      <c r="E899" s="31"/>
      <c r="F899" s="31"/>
      <c r="G899" s="31"/>
      <c r="H899" s="29"/>
    </row>
    <row r="900">
      <c r="C900" s="20"/>
      <c r="E900" s="31"/>
      <c r="F900" s="31"/>
      <c r="G900" s="31"/>
      <c r="H900" s="29"/>
    </row>
    <row r="901">
      <c r="C901" s="20"/>
      <c r="E901" s="31"/>
      <c r="F901" s="31"/>
      <c r="G901" s="31"/>
      <c r="H901" s="29"/>
    </row>
    <row r="902">
      <c r="C902" s="20"/>
      <c r="E902" s="31"/>
      <c r="F902" s="31"/>
      <c r="G902" s="31"/>
      <c r="H902" s="29"/>
    </row>
    <row r="903">
      <c r="C903" s="20"/>
      <c r="E903" s="31"/>
      <c r="F903" s="31"/>
      <c r="G903" s="31"/>
      <c r="H903" s="29"/>
    </row>
    <row r="904">
      <c r="C904" s="20"/>
      <c r="E904" s="31"/>
      <c r="F904" s="31"/>
      <c r="G904" s="31"/>
      <c r="H904" s="29"/>
    </row>
    <row r="905">
      <c r="C905" s="20"/>
      <c r="E905" s="31"/>
      <c r="F905" s="31"/>
      <c r="G905" s="31"/>
      <c r="H905" s="29"/>
    </row>
    <row r="906">
      <c r="C906" s="20"/>
      <c r="E906" s="31"/>
      <c r="F906" s="31"/>
      <c r="G906" s="31"/>
      <c r="H906" s="29"/>
    </row>
    <row r="907">
      <c r="C907" s="20"/>
      <c r="E907" s="31"/>
      <c r="F907" s="31"/>
      <c r="G907" s="31"/>
      <c r="H907" s="29"/>
    </row>
    <row r="908">
      <c r="C908" s="20"/>
      <c r="E908" s="31"/>
      <c r="F908" s="31"/>
      <c r="G908" s="31"/>
      <c r="H908" s="29"/>
    </row>
    <row r="909">
      <c r="C909" s="20"/>
      <c r="E909" s="31"/>
      <c r="F909" s="31"/>
      <c r="G909" s="31"/>
      <c r="H909" s="29"/>
    </row>
    <row r="910">
      <c r="C910" s="20"/>
      <c r="E910" s="31"/>
      <c r="F910" s="31"/>
      <c r="G910" s="31"/>
      <c r="H910" s="29"/>
    </row>
    <row r="911">
      <c r="C911" s="20"/>
      <c r="E911" s="31"/>
      <c r="F911" s="31"/>
      <c r="G911" s="31"/>
      <c r="H911" s="29"/>
    </row>
    <row r="912">
      <c r="C912" s="20"/>
      <c r="E912" s="31"/>
      <c r="F912" s="31"/>
      <c r="G912" s="31"/>
      <c r="H912" s="29"/>
    </row>
    <row r="913">
      <c r="C913" s="20"/>
      <c r="E913" s="31"/>
      <c r="F913" s="31"/>
      <c r="G913" s="31"/>
      <c r="H913" s="29"/>
    </row>
    <row r="914">
      <c r="C914" s="20"/>
      <c r="E914" s="31"/>
      <c r="F914" s="31"/>
      <c r="G914" s="31"/>
      <c r="H914" s="29"/>
    </row>
    <row r="915">
      <c r="C915" s="20"/>
      <c r="E915" s="31"/>
      <c r="F915" s="31"/>
      <c r="G915" s="31"/>
      <c r="H915" s="29"/>
    </row>
    <row r="916">
      <c r="C916" s="20"/>
      <c r="E916" s="31"/>
      <c r="F916" s="31"/>
      <c r="G916" s="31"/>
      <c r="H916" s="29"/>
    </row>
    <row r="917">
      <c r="C917" s="20"/>
      <c r="E917" s="31"/>
      <c r="F917" s="31"/>
      <c r="G917" s="31"/>
      <c r="H917" s="29"/>
    </row>
    <row r="918">
      <c r="C918" s="20"/>
      <c r="E918" s="31"/>
      <c r="F918" s="31"/>
      <c r="G918" s="31"/>
      <c r="H918" s="29"/>
    </row>
    <row r="919">
      <c r="C919" s="20"/>
      <c r="E919" s="31"/>
      <c r="F919" s="31"/>
      <c r="G919" s="31"/>
      <c r="H919" s="29"/>
    </row>
    <row r="920">
      <c r="C920" s="20"/>
      <c r="E920" s="31"/>
      <c r="F920" s="31"/>
      <c r="G920" s="31"/>
      <c r="H920" s="29"/>
    </row>
    <row r="921">
      <c r="C921" s="20"/>
      <c r="E921" s="31"/>
      <c r="F921" s="31"/>
      <c r="G921" s="31"/>
      <c r="H921" s="29"/>
    </row>
    <row r="922">
      <c r="C922" s="20"/>
      <c r="E922" s="31"/>
      <c r="F922" s="31"/>
      <c r="G922" s="31"/>
      <c r="H922" s="29"/>
    </row>
    <row r="923">
      <c r="C923" s="20"/>
      <c r="E923" s="31"/>
      <c r="F923" s="31"/>
      <c r="G923" s="31"/>
      <c r="H923" s="29"/>
    </row>
    <row r="924">
      <c r="C924" s="20"/>
      <c r="E924" s="31"/>
      <c r="F924" s="31"/>
      <c r="G924" s="31"/>
      <c r="H924" s="29"/>
    </row>
    <row r="925">
      <c r="C925" s="20"/>
      <c r="E925" s="31"/>
      <c r="F925" s="31"/>
      <c r="G925" s="31"/>
      <c r="H925" s="29"/>
    </row>
    <row r="926">
      <c r="C926" s="20"/>
      <c r="E926" s="31"/>
      <c r="F926" s="31"/>
      <c r="G926" s="31"/>
      <c r="H926" s="29"/>
    </row>
    <row r="927">
      <c r="C927" s="20"/>
      <c r="E927" s="31"/>
      <c r="F927" s="31"/>
      <c r="G927" s="31"/>
      <c r="H927" s="29"/>
    </row>
    <row r="928">
      <c r="C928" s="20"/>
      <c r="E928" s="31"/>
      <c r="F928" s="31"/>
      <c r="G928" s="31"/>
      <c r="H928" s="29"/>
    </row>
    <row r="929">
      <c r="C929" s="20"/>
      <c r="E929" s="31"/>
      <c r="F929" s="31"/>
      <c r="G929" s="31"/>
      <c r="H929" s="29"/>
    </row>
    <row r="930">
      <c r="C930" s="20"/>
      <c r="E930" s="31"/>
      <c r="F930" s="31"/>
      <c r="G930" s="31"/>
      <c r="H930" s="29"/>
    </row>
    <row r="931">
      <c r="C931" s="20"/>
      <c r="E931" s="31"/>
      <c r="F931" s="31"/>
      <c r="G931" s="31"/>
      <c r="H931" s="29"/>
    </row>
    <row r="932">
      <c r="C932" s="20"/>
      <c r="E932" s="31"/>
      <c r="F932" s="31"/>
      <c r="G932" s="31"/>
      <c r="H932" s="29"/>
    </row>
    <row r="933">
      <c r="C933" s="20"/>
      <c r="E933" s="31"/>
      <c r="F933" s="31"/>
      <c r="G933" s="31"/>
      <c r="H933" s="29"/>
    </row>
    <row r="934">
      <c r="C934" s="20"/>
      <c r="E934" s="31"/>
      <c r="F934" s="31"/>
      <c r="G934" s="31"/>
      <c r="H934" s="29"/>
    </row>
    <row r="935">
      <c r="C935" s="20"/>
      <c r="E935" s="31"/>
      <c r="F935" s="31"/>
      <c r="G935" s="31"/>
      <c r="H935" s="29"/>
    </row>
    <row r="936">
      <c r="C936" s="20"/>
      <c r="E936" s="31"/>
      <c r="F936" s="31"/>
      <c r="G936" s="31"/>
      <c r="H936" s="29"/>
    </row>
    <row r="937">
      <c r="C937" s="20"/>
      <c r="E937" s="31"/>
      <c r="F937" s="31"/>
      <c r="G937" s="31"/>
      <c r="H937" s="29"/>
    </row>
    <row r="938">
      <c r="C938" s="20"/>
      <c r="E938" s="31"/>
      <c r="F938" s="31"/>
      <c r="G938" s="31"/>
      <c r="H938" s="29"/>
    </row>
    <row r="939">
      <c r="C939" s="20"/>
      <c r="E939" s="31"/>
      <c r="F939" s="31"/>
      <c r="G939" s="31"/>
      <c r="H939" s="29"/>
    </row>
    <row r="940">
      <c r="C940" s="20"/>
      <c r="E940" s="31"/>
      <c r="F940" s="31"/>
      <c r="G940" s="31"/>
      <c r="H940" s="29"/>
    </row>
    <row r="941">
      <c r="C941" s="20"/>
      <c r="E941" s="31"/>
      <c r="F941" s="31"/>
      <c r="G941" s="31"/>
      <c r="H941" s="29"/>
    </row>
    <row r="942">
      <c r="C942" s="20"/>
      <c r="E942" s="31"/>
      <c r="F942" s="31"/>
      <c r="G942" s="31"/>
      <c r="H942" s="29"/>
    </row>
    <row r="943">
      <c r="C943" s="20"/>
      <c r="E943" s="31"/>
      <c r="F943" s="31"/>
      <c r="G943" s="31"/>
      <c r="H943" s="29"/>
    </row>
    <row r="944">
      <c r="C944" s="20"/>
      <c r="E944" s="31"/>
      <c r="F944" s="31"/>
      <c r="G944" s="31"/>
      <c r="H944" s="29"/>
    </row>
    <row r="945">
      <c r="C945" s="20"/>
      <c r="E945" s="31"/>
      <c r="F945" s="31"/>
      <c r="G945" s="31"/>
      <c r="H945" s="29"/>
    </row>
    <row r="946">
      <c r="C946" s="20"/>
      <c r="E946" s="31"/>
      <c r="F946" s="31"/>
      <c r="G946" s="31"/>
      <c r="H946" s="29"/>
    </row>
    <row r="947">
      <c r="C947" s="20"/>
      <c r="E947" s="31"/>
      <c r="F947" s="31"/>
      <c r="G947" s="31"/>
      <c r="H947" s="29"/>
    </row>
    <row r="948">
      <c r="C948" s="20"/>
      <c r="E948" s="31"/>
      <c r="F948" s="31"/>
      <c r="G948" s="31"/>
      <c r="H948" s="29"/>
    </row>
    <row r="949">
      <c r="C949" s="20"/>
      <c r="E949" s="31"/>
      <c r="F949" s="31"/>
      <c r="G949" s="31"/>
      <c r="H949" s="29"/>
    </row>
    <row r="950">
      <c r="C950" s="20"/>
      <c r="E950" s="31"/>
      <c r="F950" s="31"/>
      <c r="G950" s="31"/>
      <c r="H950" s="29"/>
    </row>
    <row r="951">
      <c r="C951" s="20"/>
      <c r="E951" s="31"/>
      <c r="F951" s="31"/>
      <c r="G951" s="31"/>
      <c r="H951" s="29"/>
    </row>
    <row r="952">
      <c r="C952" s="20"/>
      <c r="E952" s="31"/>
      <c r="F952" s="31"/>
      <c r="G952" s="31"/>
      <c r="H952" s="29"/>
    </row>
    <row r="953">
      <c r="C953" s="20"/>
      <c r="E953" s="31"/>
      <c r="F953" s="31"/>
      <c r="G953" s="31"/>
      <c r="H953" s="29"/>
    </row>
    <row r="954">
      <c r="C954" s="20"/>
      <c r="E954" s="31"/>
      <c r="F954" s="31"/>
      <c r="G954" s="31"/>
      <c r="H954" s="29"/>
    </row>
    <row r="955">
      <c r="C955" s="20"/>
      <c r="E955" s="31"/>
      <c r="F955" s="31"/>
      <c r="G955" s="31"/>
      <c r="H955" s="29"/>
    </row>
    <row r="956">
      <c r="C956" s="20"/>
      <c r="E956" s="31"/>
      <c r="F956" s="31"/>
      <c r="G956" s="31"/>
      <c r="H956" s="29"/>
    </row>
    <row r="957">
      <c r="C957" s="20"/>
      <c r="E957" s="31"/>
      <c r="F957" s="31"/>
      <c r="G957" s="31"/>
      <c r="H957" s="29"/>
    </row>
    <row r="958">
      <c r="C958" s="20"/>
      <c r="E958" s="31"/>
      <c r="F958" s="31"/>
      <c r="G958" s="31"/>
      <c r="H958" s="29"/>
    </row>
    <row r="959">
      <c r="C959" s="20"/>
      <c r="E959" s="31"/>
      <c r="F959" s="31"/>
      <c r="G959" s="31"/>
      <c r="H959" s="29"/>
    </row>
    <row r="960">
      <c r="C960" s="20"/>
      <c r="E960" s="31"/>
      <c r="F960" s="31"/>
      <c r="G960" s="31"/>
      <c r="H960" s="29"/>
    </row>
    <row r="961">
      <c r="C961" s="20"/>
      <c r="E961" s="31"/>
      <c r="F961" s="31"/>
      <c r="G961" s="31"/>
      <c r="H961" s="29"/>
    </row>
    <row r="962">
      <c r="C962" s="20"/>
      <c r="E962" s="31"/>
      <c r="F962" s="31"/>
      <c r="G962" s="31"/>
      <c r="H962" s="29"/>
    </row>
    <row r="963">
      <c r="C963" s="20"/>
      <c r="E963" s="31"/>
      <c r="F963" s="31"/>
      <c r="G963" s="31"/>
      <c r="H963" s="29"/>
    </row>
    <row r="964">
      <c r="C964" s="20"/>
      <c r="E964" s="31"/>
      <c r="F964" s="31"/>
      <c r="G964" s="31"/>
      <c r="H964" s="29"/>
    </row>
    <row r="965">
      <c r="C965" s="20"/>
      <c r="E965" s="31"/>
      <c r="F965" s="31"/>
      <c r="G965" s="31"/>
      <c r="H965" s="29"/>
    </row>
    <row r="966">
      <c r="C966" s="20"/>
      <c r="E966" s="31"/>
      <c r="F966" s="31"/>
      <c r="G966" s="31"/>
      <c r="H966" s="29"/>
    </row>
    <row r="967">
      <c r="C967" s="20"/>
      <c r="E967" s="31"/>
      <c r="F967" s="31"/>
      <c r="G967" s="31"/>
      <c r="H967" s="29"/>
    </row>
    <row r="968">
      <c r="C968" s="20"/>
      <c r="E968" s="31"/>
      <c r="F968" s="31"/>
      <c r="G968" s="31"/>
      <c r="H968" s="29"/>
    </row>
    <row r="969">
      <c r="C969" s="20"/>
      <c r="E969" s="31"/>
      <c r="F969" s="31"/>
      <c r="G969" s="31"/>
      <c r="H969" s="29"/>
    </row>
    <row r="970">
      <c r="C970" s="20"/>
      <c r="E970" s="31"/>
      <c r="F970" s="31"/>
      <c r="G970" s="31"/>
      <c r="H970" s="29"/>
    </row>
    <row r="971">
      <c r="C971" s="20"/>
      <c r="E971" s="31"/>
      <c r="F971" s="31"/>
      <c r="G971" s="31"/>
      <c r="H971" s="29"/>
    </row>
    <row r="972">
      <c r="C972" s="20"/>
      <c r="E972" s="31"/>
      <c r="F972" s="31"/>
      <c r="G972" s="31"/>
      <c r="H972" s="29"/>
    </row>
    <row r="973">
      <c r="C973" s="20"/>
      <c r="E973" s="31"/>
      <c r="F973" s="31"/>
      <c r="G973" s="31"/>
      <c r="H973" s="29"/>
    </row>
    <row r="974">
      <c r="C974" s="20"/>
      <c r="E974" s="31"/>
      <c r="F974" s="31"/>
      <c r="G974" s="31"/>
      <c r="H974" s="29"/>
    </row>
    <row r="975">
      <c r="C975" s="20"/>
      <c r="E975" s="31"/>
      <c r="F975" s="31"/>
      <c r="G975" s="31"/>
      <c r="H975" s="29"/>
    </row>
    <row r="976">
      <c r="C976" s="20"/>
      <c r="E976" s="31"/>
      <c r="F976" s="31"/>
      <c r="G976" s="31"/>
      <c r="H976" s="29"/>
    </row>
    <row r="977">
      <c r="C977" s="20"/>
      <c r="E977" s="31"/>
      <c r="F977" s="31"/>
      <c r="G977" s="31"/>
      <c r="H977" s="29"/>
    </row>
    <row r="978">
      <c r="C978" s="20"/>
      <c r="E978" s="31"/>
      <c r="F978" s="31"/>
      <c r="G978" s="31"/>
      <c r="H978" s="29"/>
    </row>
    <row r="979">
      <c r="C979" s="20"/>
      <c r="E979" s="31"/>
      <c r="F979" s="31"/>
      <c r="G979" s="31"/>
      <c r="H979" s="29"/>
    </row>
    <row r="980">
      <c r="C980" s="20"/>
      <c r="E980" s="31"/>
      <c r="F980" s="31"/>
      <c r="G980" s="31"/>
      <c r="H980" s="29"/>
    </row>
    <row r="981">
      <c r="C981" s="20"/>
      <c r="E981" s="31"/>
      <c r="F981" s="31"/>
      <c r="G981" s="31"/>
      <c r="H981" s="29"/>
    </row>
    <row r="982">
      <c r="C982" s="20"/>
      <c r="E982" s="31"/>
      <c r="F982" s="31"/>
      <c r="G982" s="31"/>
      <c r="H982" s="29"/>
    </row>
    <row r="983">
      <c r="C983" s="20"/>
      <c r="E983" s="31"/>
      <c r="F983" s="31"/>
      <c r="G983" s="31"/>
      <c r="H983" s="29"/>
    </row>
    <row r="984">
      <c r="C984" s="20"/>
      <c r="E984" s="31"/>
      <c r="F984" s="31"/>
      <c r="G984" s="31"/>
      <c r="H984" s="29"/>
    </row>
    <row r="985">
      <c r="C985" s="20"/>
      <c r="E985" s="31"/>
      <c r="F985" s="31"/>
      <c r="G985" s="31"/>
      <c r="H985" s="29"/>
    </row>
    <row r="986">
      <c r="C986" s="20"/>
      <c r="E986" s="31"/>
      <c r="F986" s="31"/>
      <c r="G986" s="31"/>
      <c r="H986" s="29"/>
    </row>
    <row r="987">
      <c r="C987" s="20"/>
      <c r="E987" s="31"/>
      <c r="F987" s="31"/>
      <c r="G987" s="31"/>
      <c r="H987" s="29"/>
    </row>
    <row r="988">
      <c r="C988" s="20"/>
      <c r="E988" s="31"/>
      <c r="F988" s="31"/>
      <c r="G988" s="31"/>
      <c r="H988" s="29"/>
    </row>
    <row r="989">
      <c r="C989" s="20"/>
      <c r="E989" s="31"/>
      <c r="F989" s="31"/>
      <c r="G989" s="31"/>
      <c r="H989" s="29"/>
    </row>
    <row r="990">
      <c r="C990" s="20"/>
      <c r="E990" s="31"/>
      <c r="F990" s="31"/>
      <c r="G990" s="31"/>
      <c r="H990" s="29"/>
    </row>
    <row r="991">
      <c r="C991" s="20"/>
      <c r="E991" s="31"/>
      <c r="F991" s="31"/>
      <c r="G991" s="31"/>
      <c r="H991" s="29"/>
    </row>
    <row r="992">
      <c r="C992" s="20"/>
      <c r="E992" s="31"/>
      <c r="F992" s="31"/>
      <c r="G992" s="31"/>
      <c r="H992" s="29"/>
    </row>
    <row r="993">
      <c r="C993" s="20"/>
      <c r="E993" s="31"/>
      <c r="F993" s="31"/>
      <c r="G993" s="31"/>
      <c r="H993" s="29"/>
    </row>
    <row r="994">
      <c r="C994" s="20"/>
      <c r="E994" s="31"/>
      <c r="F994" s="31"/>
      <c r="G994" s="31"/>
      <c r="H994" s="29"/>
    </row>
    <row r="995">
      <c r="C995" s="20"/>
      <c r="E995" s="31"/>
      <c r="F995" s="31"/>
      <c r="G995" s="31"/>
      <c r="H995" s="29"/>
    </row>
    <row r="996">
      <c r="C996" s="20"/>
      <c r="E996" s="31"/>
      <c r="F996" s="31"/>
      <c r="G996" s="31"/>
      <c r="H996" s="29"/>
    </row>
    <row r="997">
      <c r="C997" s="20"/>
      <c r="E997" s="31"/>
      <c r="F997" s="31"/>
      <c r="G997" s="31"/>
      <c r="H997" s="29"/>
    </row>
    <row r="998">
      <c r="C998" s="20"/>
      <c r="E998" s="31"/>
      <c r="F998" s="31"/>
      <c r="G998" s="31"/>
      <c r="H998" s="29"/>
    </row>
    <row r="999">
      <c r="C999" s="20"/>
      <c r="E999" s="31"/>
      <c r="F999" s="31"/>
      <c r="G999" s="31"/>
      <c r="H999" s="29"/>
    </row>
    <row r="1000">
      <c r="C1000" s="20"/>
      <c r="E1000" s="31"/>
      <c r="F1000" s="31"/>
      <c r="G1000" s="31"/>
      <c r="H1000" s="29"/>
    </row>
    <row r="1001">
      <c r="C1001" s="20"/>
      <c r="E1001" s="31"/>
      <c r="F1001" s="31"/>
      <c r="G1001" s="31"/>
      <c r="H1001" s="29"/>
    </row>
    <row r="1002">
      <c r="C1002" s="20"/>
      <c r="E1002" s="31"/>
      <c r="F1002" s="31"/>
      <c r="G1002" s="31"/>
      <c r="H1002" s="29"/>
    </row>
    <row r="1003">
      <c r="C1003" s="20"/>
      <c r="E1003" s="31"/>
      <c r="F1003" s="31"/>
      <c r="G1003" s="31"/>
      <c r="H1003" s="29"/>
    </row>
  </sheetData>
  <autoFilter ref="$H$1:$H$1003"/>
  <hyperlinks>
    <hyperlink r:id="rId1" ref="B2"/>
    <hyperlink r:id="rId2" ref="B3"/>
    <hyperlink r:id="rId3" ref="D3"/>
    <hyperlink r:id="rId4" ref="B4"/>
    <hyperlink r:id="rId5" ref="D4"/>
    <hyperlink r:id="rId6" ref="B5"/>
    <hyperlink r:id="rId7" ref="D5"/>
    <hyperlink r:id="rId8" ref="B6"/>
    <hyperlink r:id="rId9" ref="B7"/>
    <hyperlink r:id="rId10" ref="B8"/>
    <hyperlink r:id="rId11" ref="D8"/>
    <hyperlink r:id="rId12" ref="B9"/>
    <hyperlink r:id="rId13" ref="B10"/>
    <hyperlink r:id="rId14" ref="D10"/>
    <hyperlink r:id="rId15" ref="B11"/>
    <hyperlink r:id="rId16" ref="B12"/>
    <hyperlink r:id="rId17" ref="D12"/>
    <hyperlink r:id="rId18" ref="B13"/>
    <hyperlink r:id="rId19" ref="D13"/>
    <hyperlink r:id="rId20" ref="B14"/>
    <hyperlink r:id="rId21" ref="B15"/>
    <hyperlink r:id="rId22" ref="D15"/>
    <hyperlink r:id="rId23" ref="B16"/>
    <hyperlink r:id="rId24" ref="B17"/>
    <hyperlink r:id="rId25" ref="B18"/>
    <hyperlink r:id="rId26" ref="B19"/>
    <hyperlink r:id="rId27" ref="B20"/>
    <hyperlink r:id="rId28" ref="D20"/>
    <hyperlink r:id="rId29" ref="B21"/>
    <hyperlink r:id="rId30" ref="D21"/>
    <hyperlink r:id="rId31" ref="B22"/>
    <hyperlink r:id="rId32" ref="D22"/>
    <hyperlink r:id="rId33" ref="B23"/>
    <hyperlink r:id="rId34" ref="B24"/>
    <hyperlink r:id="rId35" ref="D24"/>
    <hyperlink r:id="rId36" ref="B25"/>
    <hyperlink r:id="rId37" ref="B26"/>
    <hyperlink r:id="rId38" ref="B27"/>
    <hyperlink r:id="rId39" ref="D27"/>
    <hyperlink r:id="rId40" ref="B28"/>
    <hyperlink r:id="rId41" ref="B29"/>
    <hyperlink r:id="rId42" ref="B30"/>
    <hyperlink r:id="rId43" ref="D30"/>
    <hyperlink r:id="rId44" ref="B31"/>
    <hyperlink r:id="rId45" ref="D31"/>
    <hyperlink r:id="rId46" ref="B32"/>
    <hyperlink r:id="rId47" ref="B33"/>
    <hyperlink r:id="rId48" ref="B34"/>
    <hyperlink r:id="rId49" ref="D34"/>
    <hyperlink r:id="rId50" ref="B35"/>
    <hyperlink r:id="rId51" ref="D35"/>
    <hyperlink r:id="rId52" ref="B36"/>
    <hyperlink r:id="rId53" ref="D36"/>
    <hyperlink r:id="rId54" ref="B37"/>
    <hyperlink r:id="rId55" ref="D37"/>
    <hyperlink r:id="rId56" ref="B38"/>
    <hyperlink r:id="rId57" ref="D38"/>
    <hyperlink r:id="rId58" ref="B39"/>
    <hyperlink r:id="rId59" ref="B40"/>
    <hyperlink r:id="rId60" ref="B41"/>
    <hyperlink r:id="rId61" ref="B42"/>
    <hyperlink r:id="rId62" ref="B43"/>
    <hyperlink r:id="rId63" ref="B44"/>
    <hyperlink r:id="rId64" ref="B45"/>
    <hyperlink r:id="rId65" ref="B46"/>
    <hyperlink r:id="rId66" ref="D46"/>
    <hyperlink r:id="rId67" ref="B47"/>
    <hyperlink r:id="rId68" ref="B48"/>
    <hyperlink r:id="rId69" ref="B49"/>
    <hyperlink r:id="rId70" ref="B50"/>
    <hyperlink r:id="rId71" ref="B51"/>
    <hyperlink r:id="rId72" ref="B52"/>
    <hyperlink r:id="rId73" ref="B53"/>
    <hyperlink r:id="rId74" ref="B54"/>
    <hyperlink r:id="rId75" ref="D54"/>
    <hyperlink r:id="rId76" ref="B55"/>
    <hyperlink r:id="rId77" ref="B56"/>
    <hyperlink r:id="rId78" ref="D56"/>
    <hyperlink r:id="rId79" ref="B57"/>
    <hyperlink r:id="rId80" ref="B58"/>
    <hyperlink r:id="rId81" ref="B59"/>
    <hyperlink r:id="rId82" ref="D59"/>
    <hyperlink r:id="rId83" ref="B60"/>
    <hyperlink r:id="rId84" ref="B61"/>
    <hyperlink r:id="rId85" ref="B62"/>
    <hyperlink r:id="rId86" ref="B63"/>
    <hyperlink r:id="rId87" ref="D63"/>
    <hyperlink r:id="rId88" ref="B64"/>
    <hyperlink r:id="rId89" ref="B65"/>
    <hyperlink r:id="rId90" ref="B66"/>
    <hyperlink r:id="rId91" ref="B67"/>
    <hyperlink r:id="rId92" ref="D67"/>
    <hyperlink r:id="rId93" ref="B68"/>
    <hyperlink r:id="rId94" ref="B69"/>
    <hyperlink r:id="rId95" ref="B70"/>
    <hyperlink r:id="rId96" ref="B71"/>
    <hyperlink r:id="rId97" ref="B72"/>
    <hyperlink r:id="rId98" ref="B73"/>
    <hyperlink r:id="rId99" ref="B74"/>
    <hyperlink r:id="rId100" ref="B75"/>
    <hyperlink r:id="rId101" ref="B76"/>
    <hyperlink r:id="rId102" ref="B77"/>
    <hyperlink r:id="rId103" ref="D77"/>
    <hyperlink r:id="rId104" ref="B78"/>
    <hyperlink r:id="rId105" ref="D78"/>
    <hyperlink r:id="rId106" ref="B79"/>
    <hyperlink r:id="rId107" ref="D79"/>
    <hyperlink r:id="rId108" ref="B80"/>
    <hyperlink r:id="rId109" ref="D80"/>
    <hyperlink r:id="rId110" ref="B81"/>
    <hyperlink r:id="rId111" ref="B82"/>
    <hyperlink r:id="rId112" ref="B83"/>
    <hyperlink r:id="rId113" ref="B84"/>
    <hyperlink r:id="rId114" ref="D84"/>
    <hyperlink r:id="rId115" ref="B85"/>
    <hyperlink r:id="rId116" ref="B86"/>
    <hyperlink r:id="rId117" ref="B87"/>
    <hyperlink r:id="rId118" ref="B88"/>
    <hyperlink r:id="rId119" ref="B89"/>
    <hyperlink r:id="rId120" ref="D89"/>
    <hyperlink r:id="rId121" ref="B90"/>
    <hyperlink r:id="rId122" ref="D90"/>
    <hyperlink r:id="rId123" ref="B91"/>
    <hyperlink r:id="rId124" ref="D91"/>
    <hyperlink r:id="rId125" ref="B92"/>
    <hyperlink r:id="rId126" ref="B93"/>
    <hyperlink r:id="rId127" ref="D93"/>
    <hyperlink r:id="rId128" ref="B94"/>
    <hyperlink r:id="rId129" ref="D94"/>
    <hyperlink r:id="rId130" ref="B95"/>
    <hyperlink r:id="rId131" ref="B96"/>
    <hyperlink r:id="rId132" ref="D96"/>
    <hyperlink r:id="rId133" ref="B97"/>
    <hyperlink r:id="rId134" ref="B98"/>
    <hyperlink r:id="rId135" ref="D98"/>
    <hyperlink r:id="rId136" ref="B99"/>
    <hyperlink r:id="rId137" ref="B100"/>
    <hyperlink r:id="rId138" ref="B101"/>
    <hyperlink r:id="rId139" ref="D101"/>
    <hyperlink r:id="rId140" ref="B102"/>
    <hyperlink r:id="rId141" ref="D102"/>
    <hyperlink r:id="rId142" ref="B103"/>
    <hyperlink r:id="rId143" ref="D103"/>
    <hyperlink r:id="rId144" ref="B104"/>
    <hyperlink r:id="rId145" ref="B105"/>
    <hyperlink r:id="rId146" ref="B106"/>
    <hyperlink r:id="rId147" ref="D106"/>
    <hyperlink r:id="rId148" ref="B107"/>
    <hyperlink r:id="rId149" ref="B108"/>
    <hyperlink r:id="rId150" ref="D108"/>
    <hyperlink r:id="rId151" ref="B109"/>
    <hyperlink r:id="rId152" ref="B110"/>
    <hyperlink r:id="rId153" ref="B111"/>
    <hyperlink r:id="rId154" ref="D111"/>
    <hyperlink r:id="rId155" ref="B112"/>
    <hyperlink r:id="rId156" ref="B113"/>
    <hyperlink r:id="rId157" ref="B114"/>
    <hyperlink r:id="rId158" ref="B115"/>
    <hyperlink r:id="rId159" ref="B116"/>
    <hyperlink r:id="rId160" ref="B117"/>
    <hyperlink r:id="rId161" ref="B118"/>
    <hyperlink r:id="rId162" ref="D118"/>
    <hyperlink r:id="rId163" ref="B119"/>
    <hyperlink r:id="rId164" ref="D119"/>
    <hyperlink r:id="rId165" ref="B120"/>
    <hyperlink r:id="rId166" ref="B121"/>
    <hyperlink r:id="rId167" ref="B122"/>
    <hyperlink r:id="rId168" ref="B123"/>
    <hyperlink r:id="rId169" ref="D123"/>
    <hyperlink r:id="rId170" ref="B124"/>
    <hyperlink r:id="rId171" ref="D124"/>
    <hyperlink r:id="rId172" ref="B125"/>
    <hyperlink r:id="rId173" ref="D125"/>
    <hyperlink r:id="rId174" ref="B126"/>
    <hyperlink r:id="rId175" ref="B127"/>
    <hyperlink r:id="rId176" ref="B128"/>
    <hyperlink r:id="rId177" ref="B129"/>
    <hyperlink r:id="rId178" ref="B130"/>
    <hyperlink r:id="rId179" ref="D130"/>
    <hyperlink r:id="rId180" ref="B131"/>
    <hyperlink r:id="rId181" ref="B132"/>
    <hyperlink r:id="rId182" ref="B133"/>
    <hyperlink r:id="rId183" ref="D133"/>
    <hyperlink r:id="rId184" ref="B134"/>
    <hyperlink r:id="rId185" ref="D134"/>
    <hyperlink r:id="rId186" ref="B135"/>
    <hyperlink r:id="rId187" ref="D135"/>
    <hyperlink r:id="rId188" ref="B136"/>
    <hyperlink r:id="rId189" ref="D136"/>
    <hyperlink r:id="rId190" ref="B137"/>
    <hyperlink r:id="rId191" ref="B138"/>
    <hyperlink r:id="rId192" ref="D138"/>
    <hyperlink r:id="rId193" ref="B139"/>
    <hyperlink r:id="rId194" ref="B140"/>
    <hyperlink r:id="rId195" ref="D140"/>
    <hyperlink r:id="rId196" ref="B141"/>
    <hyperlink r:id="rId197" ref="D141"/>
    <hyperlink r:id="rId198" ref="B142"/>
    <hyperlink r:id="rId199" ref="B143"/>
    <hyperlink r:id="rId200" ref="D143"/>
    <hyperlink r:id="rId201" ref="B144"/>
    <hyperlink r:id="rId202" ref="B145"/>
    <hyperlink r:id="rId203" ref="B146"/>
    <hyperlink r:id="rId204" ref="B147"/>
    <hyperlink r:id="rId205" ref="B148"/>
    <hyperlink r:id="rId206" ref="D148"/>
    <hyperlink r:id="rId207" ref="B149"/>
    <hyperlink r:id="rId208" ref="B150"/>
    <hyperlink r:id="rId209" ref="D150"/>
    <hyperlink r:id="rId210" ref="B151"/>
    <hyperlink r:id="rId211" ref="D151"/>
    <hyperlink r:id="rId212" ref="B152"/>
    <hyperlink r:id="rId213" ref="B153"/>
    <hyperlink r:id="rId214" ref="B154"/>
    <hyperlink r:id="rId215" ref="D154"/>
    <hyperlink r:id="rId216" ref="B155"/>
    <hyperlink r:id="rId217" ref="D155"/>
    <hyperlink r:id="rId218" ref="B156"/>
    <hyperlink r:id="rId219" ref="B157"/>
    <hyperlink r:id="rId220" ref="D157"/>
    <hyperlink r:id="rId221" ref="B158"/>
    <hyperlink r:id="rId222" ref="B159"/>
    <hyperlink r:id="rId223" ref="D159"/>
    <hyperlink r:id="rId224" ref="B160"/>
    <hyperlink r:id="rId225" ref="D160"/>
    <hyperlink r:id="rId226" ref="B161"/>
    <hyperlink r:id="rId227" ref="B162"/>
    <hyperlink r:id="rId228" ref="B163"/>
    <hyperlink r:id="rId229" ref="B164"/>
    <hyperlink r:id="rId230" ref="B165"/>
    <hyperlink r:id="rId231" ref="B166"/>
    <hyperlink r:id="rId232" ref="B167"/>
    <hyperlink r:id="rId233" ref="D167"/>
    <hyperlink r:id="rId234" ref="B168"/>
    <hyperlink r:id="rId235" ref="D168"/>
    <hyperlink r:id="rId236" ref="B169"/>
    <hyperlink r:id="rId237" ref="D169"/>
    <hyperlink r:id="rId238" ref="B170"/>
    <hyperlink r:id="rId239" ref="D170"/>
    <hyperlink r:id="rId240" ref="B171"/>
    <hyperlink r:id="rId241" ref="B172"/>
    <hyperlink r:id="rId242" ref="D172"/>
    <hyperlink r:id="rId243" ref="B173"/>
    <hyperlink r:id="rId244" ref="D173"/>
    <hyperlink r:id="rId245" ref="B174"/>
    <hyperlink r:id="rId246" ref="B175"/>
    <hyperlink r:id="rId247" ref="D175"/>
    <hyperlink r:id="rId248" ref="B176"/>
    <hyperlink r:id="rId249" ref="D176"/>
    <hyperlink r:id="rId250" ref="B177"/>
    <hyperlink r:id="rId251" ref="B178"/>
    <hyperlink r:id="rId252" ref="D178"/>
    <hyperlink r:id="rId253" ref="B179"/>
    <hyperlink r:id="rId254" ref="D179"/>
    <hyperlink r:id="rId255" ref="B180"/>
    <hyperlink r:id="rId256" ref="B181"/>
    <hyperlink r:id="rId257" ref="B182"/>
    <hyperlink r:id="rId258" ref="B183"/>
    <hyperlink r:id="rId259" ref="B184"/>
    <hyperlink r:id="rId260" ref="B185"/>
    <hyperlink r:id="rId261" ref="B186"/>
    <hyperlink r:id="rId262" ref="B187"/>
    <hyperlink r:id="rId263" ref="B188"/>
    <hyperlink r:id="rId264" ref="D188"/>
    <hyperlink r:id="rId265" ref="B189"/>
    <hyperlink r:id="rId266" ref="B190"/>
    <hyperlink r:id="rId267" ref="D190"/>
    <hyperlink r:id="rId268" ref="B191"/>
    <hyperlink r:id="rId269" ref="D191"/>
    <hyperlink r:id="rId270" ref="B192"/>
    <hyperlink r:id="rId271" ref="B193"/>
    <hyperlink r:id="rId272" ref="B194"/>
    <hyperlink r:id="rId273" ref="D194"/>
    <hyperlink r:id="rId274" ref="B195"/>
    <hyperlink r:id="rId275" ref="D195"/>
    <hyperlink r:id="rId276" ref="B196"/>
    <hyperlink r:id="rId277" ref="B197"/>
    <hyperlink r:id="rId278" ref="D197"/>
    <hyperlink r:id="rId279" ref="B198"/>
    <hyperlink r:id="rId280" ref="D198"/>
    <hyperlink r:id="rId281" ref="B199"/>
    <hyperlink r:id="rId282" ref="D199"/>
    <hyperlink r:id="rId283" ref="B200"/>
    <hyperlink r:id="rId284" ref="B201"/>
    <hyperlink r:id="rId285" ref="D201"/>
    <hyperlink r:id="rId286" ref="B202"/>
    <hyperlink r:id="rId287" ref="B203"/>
    <hyperlink r:id="rId288" ref="B204"/>
    <hyperlink r:id="rId289" ref="B205"/>
    <hyperlink r:id="rId290" ref="B206"/>
    <hyperlink r:id="rId291" ref="B207"/>
    <hyperlink r:id="rId292" ref="D207"/>
    <hyperlink r:id="rId293" ref="B208"/>
    <hyperlink r:id="rId294" ref="D208"/>
    <hyperlink r:id="rId295" ref="B209"/>
    <hyperlink r:id="rId296" ref="B210"/>
    <hyperlink r:id="rId297" ref="B211"/>
    <hyperlink r:id="rId298" ref="B212"/>
    <hyperlink r:id="rId299" ref="D212"/>
    <hyperlink r:id="rId300" ref="B213"/>
    <hyperlink r:id="rId301" ref="D213"/>
    <hyperlink r:id="rId302" ref="B214"/>
    <hyperlink r:id="rId303" ref="D214"/>
    <hyperlink r:id="rId304" ref="B215"/>
    <hyperlink r:id="rId305" ref="B216"/>
    <hyperlink r:id="rId306" ref="B217"/>
    <hyperlink r:id="rId307" ref="D217"/>
    <hyperlink r:id="rId308" ref="B218"/>
    <hyperlink r:id="rId309" ref="D218"/>
    <hyperlink r:id="rId310" ref="B219"/>
    <hyperlink r:id="rId311" ref="B220"/>
    <hyperlink r:id="rId312" ref="B221"/>
    <hyperlink r:id="rId313" ref="D221"/>
    <hyperlink r:id="rId314" ref="B222"/>
    <hyperlink r:id="rId315" ref="B223"/>
    <hyperlink r:id="rId316" ref="B224"/>
    <hyperlink r:id="rId317" ref="B225"/>
    <hyperlink r:id="rId318" ref="D225"/>
    <hyperlink r:id="rId319" ref="B226"/>
    <hyperlink r:id="rId320" ref="B227"/>
    <hyperlink r:id="rId321" ref="B228"/>
    <hyperlink r:id="rId322" ref="B229"/>
    <hyperlink r:id="rId323" ref="B230"/>
    <hyperlink r:id="rId324" ref="B231"/>
    <hyperlink r:id="rId325" ref="D231"/>
    <hyperlink r:id="rId326" ref="B232"/>
    <hyperlink r:id="rId327" ref="D232"/>
    <hyperlink r:id="rId328" ref="B233"/>
    <hyperlink r:id="rId329" ref="B234"/>
    <hyperlink r:id="rId330" ref="B235"/>
    <hyperlink r:id="rId331" ref="B236"/>
    <hyperlink r:id="rId332" ref="D236"/>
    <hyperlink r:id="rId333" ref="B237"/>
    <hyperlink r:id="rId334" ref="D237"/>
    <hyperlink r:id="rId335" ref="B238"/>
    <hyperlink r:id="rId336" ref="B239"/>
    <hyperlink r:id="rId337" ref="B240"/>
    <hyperlink r:id="rId338" ref="D240"/>
    <hyperlink r:id="rId339" ref="B241"/>
    <hyperlink r:id="rId340" ref="B242"/>
    <hyperlink r:id="rId341" ref="D242"/>
    <hyperlink r:id="rId342" ref="B243"/>
    <hyperlink r:id="rId343" ref="B244"/>
    <hyperlink r:id="rId344" ref="D244"/>
    <hyperlink r:id="rId345" ref="B245"/>
    <hyperlink r:id="rId346" ref="D245"/>
    <hyperlink r:id="rId347" ref="B246"/>
    <hyperlink r:id="rId348" ref="B247"/>
    <hyperlink r:id="rId349" ref="D247"/>
    <hyperlink r:id="rId350" ref="B248"/>
    <hyperlink r:id="rId351" ref="B249"/>
    <hyperlink r:id="rId352" ref="D249"/>
    <hyperlink r:id="rId353" ref="B250"/>
    <hyperlink r:id="rId354" ref="B251"/>
    <hyperlink r:id="rId355" ref="D251"/>
    <hyperlink r:id="rId356" ref="B252"/>
    <hyperlink r:id="rId357" ref="D252"/>
    <hyperlink r:id="rId358" ref="B253"/>
    <hyperlink r:id="rId359" ref="D253"/>
    <hyperlink r:id="rId360" ref="B254"/>
    <hyperlink r:id="rId361" ref="B255"/>
    <hyperlink r:id="rId362" ref="B256"/>
    <hyperlink r:id="rId363" ref="B257"/>
    <hyperlink r:id="rId364" ref="D257"/>
    <hyperlink r:id="rId365" ref="B258"/>
    <hyperlink r:id="rId366" ref="B259"/>
    <hyperlink r:id="rId367" ref="B260"/>
    <hyperlink r:id="rId368" ref="D260"/>
    <hyperlink r:id="rId369" ref="B261"/>
    <hyperlink r:id="rId370" ref="B262"/>
    <hyperlink r:id="rId371" ref="D262"/>
    <hyperlink r:id="rId372" ref="B263"/>
    <hyperlink r:id="rId373" ref="D263"/>
    <hyperlink r:id="rId374" ref="B264"/>
    <hyperlink r:id="rId375" ref="D264"/>
    <hyperlink r:id="rId376" ref="B265"/>
    <hyperlink r:id="rId377" ref="B266"/>
    <hyperlink r:id="rId378" ref="B267"/>
    <hyperlink r:id="rId379" ref="D267"/>
    <hyperlink r:id="rId380" ref="B268"/>
    <hyperlink r:id="rId381" ref="B269"/>
    <hyperlink r:id="rId382" ref="D269"/>
    <hyperlink r:id="rId383" ref="B270"/>
    <hyperlink r:id="rId384" ref="D270"/>
    <hyperlink r:id="rId385" ref="B271"/>
    <hyperlink r:id="rId386" ref="D271"/>
    <hyperlink r:id="rId387" ref="B272"/>
    <hyperlink r:id="rId388" ref="B273"/>
    <hyperlink r:id="rId389" ref="D273"/>
    <hyperlink r:id="rId390" ref="B274"/>
    <hyperlink r:id="rId391" ref="B275"/>
    <hyperlink r:id="rId392" ref="B276"/>
    <hyperlink r:id="rId393" ref="D276"/>
    <hyperlink r:id="rId394" ref="B277"/>
    <hyperlink r:id="rId395" ref="B278"/>
    <hyperlink r:id="rId396" ref="B279"/>
    <hyperlink r:id="rId397" ref="D279"/>
    <hyperlink r:id="rId398" ref="B280"/>
    <hyperlink r:id="rId399" ref="B281"/>
    <hyperlink r:id="rId400" ref="B282"/>
    <hyperlink r:id="rId401" ref="D282"/>
    <hyperlink r:id="rId402" ref="B283"/>
    <hyperlink r:id="rId403" ref="B284"/>
    <hyperlink r:id="rId404" ref="D284"/>
    <hyperlink r:id="rId405" ref="B285"/>
    <hyperlink r:id="rId406" ref="B286"/>
    <hyperlink r:id="rId407" ref="B287"/>
    <hyperlink r:id="rId408" ref="D287"/>
    <hyperlink r:id="rId409" ref="B288"/>
    <hyperlink r:id="rId410" ref="D288"/>
    <hyperlink r:id="rId411" ref="B289"/>
    <hyperlink r:id="rId412" ref="D289"/>
    <hyperlink r:id="rId413" ref="B290"/>
    <hyperlink r:id="rId414" ref="B291"/>
    <hyperlink r:id="rId415" ref="B292"/>
    <hyperlink r:id="rId416" ref="B293"/>
    <hyperlink r:id="rId417" ref="D293"/>
    <hyperlink r:id="rId418" ref="B294"/>
    <hyperlink r:id="rId419" ref="D294"/>
    <hyperlink r:id="rId420" ref="B295"/>
    <hyperlink r:id="rId421" ref="D295"/>
    <hyperlink r:id="rId422" ref="B296"/>
    <hyperlink r:id="rId423" ref="D296"/>
    <hyperlink r:id="rId424" ref="B297"/>
    <hyperlink r:id="rId425" ref="B298"/>
    <hyperlink r:id="rId426" ref="D298"/>
    <hyperlink r:id="rId427" ref="B299"/>
    <hyperlink r:id="rId428" ref="B300"/>
    <hyperlink r:id="rId429" ref="B301"/>
    <hyperlink r:id="rId430" ref="D301"/>
    <hyperlink r:id="rId431" ref="B302"/>
    <hyperlink r:id="rId432" ref="D302"/>
    <hyperlink r:id="rId433" ref="B303"/>
    <hyperlink r:id="rId434" ref="D303"/>
    <hyperlink r:id="rId435" ref="B304"/>
    <hyperlink r:id="rId436" ref="B305"/>
    <hyperlink r:id="rId437" ref="B306"/>
    <hyperlink r:id="rId438" ref="D306"/>
    <hyperlink r:id="rId439" ref="B307"/>
    <hyperlink r:id="rId440" ref="B308"/>
    <hyperlink r:id="rId441" ref="D308"/>
    <hyperlink r:id="rId442" ref="B309"/>
    <hyperlink r:id="rId443" ref="D309"/>
    <hyperlink r:id="rId444" ref="B310"/>
    <hyperlink r:id="rId445" ref="D310"/>
    <hyperlink r:id="rId446" ref="B311"/>
    <hyperlink r:id="rId447" ref="B312"/>
    <hyperlink r:id="rId448" ref="D312"/>
    <hyperlink r:id="rId449" ref="B313"/>
    <hyperlink r:id="rId450" ref="B314"/>
    <hyperlink r:id="rId451" ref="D314"/>
    <hyperlink r:id="rId452" ref="B315"/>
    <hyperlink r:id="rId453" ref="B316"/>
    <hyperlink r:id="rId454" ref="D316"/>
    <hyperlink r:id="rId455" ref="B317"/>
    <hyperlink r:id="rId456" ref="B318"/>
    <hyperlink r:id="rId457" ref="B319"/>
    <hyperlink r:id="rId458" ref="D319"/>
    <hyperlink r:id="rId459" ref="B320"/>
    <hyperlink r:id="rId460" ref="D320"/>
    <hyperlink r:id="rId461" ref="B321"/>
    <hyperlink r:id="rId462" ref="D321"/>
    <hyperlink r:id="rId463" ref="B322"/>
    <hyperlink r:id="rId464" ref="B323"/>
    <hyperlink r:id="rId465" ref="B324"/>
    <hyperlink r:id="rId466" ref="D324"/>
    <hyperlink r:id="rId467" ref="B325"/>
    <hyperlink r:id="rId468" ref="B326"/>
    <hyperlink r:id="rId469" ref="B327"/>
    <hyperlink r:id="rId470" ref="B328"/>
    <hyperlink r:id="rId471" ref="B329"/>
    <hyperlink r:id="rId472" ref="B330"/>
    <hyperlink r:id="rId473" ref="D330"/>
    <hyperlink r:id="rId474" ref="B331"/>
    <hyperlink r:id="rId475" ref="D331"/>
    <hyperlink r:id="rId476" ref="B332"/>
    <hyperlink r:id="rId477" ref="B333"/>
    <hyperlink r:id="rId478" ref="B334"/>
    <hyperlink r:id="rId479" ref="D334"/>
    <hyperlink r:id="rId480" ref="B335"/>
    <hyperlink r:id="rId481" ref="B336"/>
    <hyperlink r:id="rId482" ref="D336"/>
    <hyperlink r:id="rId483" ref="B337"/>
    <hyperlink r:id="rId484" ref="D337"/>
    <hyperlink r:id="rId485" ref="B338"/>
    <hyperlink r:id="rId486" ref="D338"/>
    <hyperlink r:id="rId487" ref="B339"/>
    <hyperlink r:id="rId488" ref="B340"/>
    <hyperlink r:id="rId489" ref="B341"/>
    <hyperlink r:id="rId490" ref="D341"/>
    <hyperlink r:id="rId491" ref="B342"/>
    <hyperlink r:id="rId492" ref="D342"/>
    <hyperlink r:id="rId493" ref="B343"/>
    <hyperlink r:id="rId494" ref="B344"/>
    <hyperlink r:id="rId495" ref="D344"/>
    <hyperlink r:id="rId496" ref="B345"/>
    <hyperlink r:id="rId497" ref="B346"/>
    <hyperlink r:id="rId498" ref="D346"/>
    <hyperlink r:id="rId499" ref="B347"/>
    <hyperlink r:id="rId500" ref="B348"/>
    <hyperlink r:id="rId501" ref="D348"/>
    <hyperlink r:id="rId502" ref="B349"/>
    <hyperlink r:id="rId503" ref="B350"/>
    <hyperlink r:id="rId504" ref="D350"/>
    <hyperlink r:id="rId505" ref="B351"/>
    <hyperlink r:id="rId506" ref="B352"/>
    <hyperlink r:id="rId507" ref="B353"/>
    <hyperlink r:id="rId508" ref="B354"/>
    <hyperlink r:id="rId509" ref="D354"/>
    <hyperlink r:id="rId510" ref="B355"/>
    <hyperlink r:id="rId511" ref="D355"/>
    <hyperlink r:id="rId512" ref="B356"/>
    <hyperlink r:id="rId513" ref="D356"/>
    <hyperlink r:id="rId514" ref="B357"/>
    <hyperlink r:id="rId515" ref="B358"/>
    <hyperlink r:id="rId516" ref="B359"/>
    <hyperlink r:id="rId517" ref="B360"/>
    <hyperlink r:id="rId518" ref="B361"/>
    <hyperlink r:id="rId519" ref="B362"/>
    <hyperlink r:id="rId520" ref="B363"/>
    <hyperlink r:id="rId521" ref="B364"/>
    <hyperlink r:id="rId522" ref="B365"/>
    <hyperlink r:id="rId523" ref="B366"/>
    <hyperlink r:id="rId524" ref="D366"/>
    <hyperlink r:id="rId525" ref="B367"/>
    <hyperlink r:id="rId526" ref="D367"/>
    <hyperlink r:id="rId527" ref="B368"/>
    <hyperlink r:id="rId528" ref="D368"/>
    <hyperlink r:id="rId529" ref="B369"/>
    <hyperlink r:id="rId530" ref="D369"/>
    <hyperlink r:id="rId531" ref="B370"/>
    <hyperlink r:id="rId532" ref="D370"/>
    <hyperlink r:id="rId533" ref="B371"/>
    <hyperlink r:id="rId534" ref="B372"/>
    <hyperlink r:id="rId535" ref="D372"/>
    <hyperlink r:id="rId536" ref="B373"/>
    <hyperlink r:id="rId537" ref="B374"/>
    <hyperlink r:id="rId538" ref="B375"/>
    <hyperlink r:id="rId539" ref="D375"/>
    <hyperlink r:id="rId540" ref="B376"/>
    <hyperlink r:id="rId541" ref="D376"/>
    <hyperlink r:id="rId542" ref="B377"/>
    <hyperlink r:id="rId543" ref="D377"/>
    <hyperlink r:id="rId544" ref="B378"/>
    <hyperlink r:id="rId545" ref="D378"/>
    <hyperlink r:id="rId546" ref="B379"/>
    <hyperlink r:id="rId547" ref="D379"/>
    <hyperlink r:id="rId548" ref="B380"/>
    <hyperlink r:id="rId549" ref="D380"/>
    <hyperlink r:id="rId550" ref="B381"/>
    <hyperlink r:id="rId551" ref="B382"/>
    <hyperlink r:id="rId552" ref="B383"/>
    <hyperlink r:id="rId553" ref="D383"/>
    <hyperlink r:id="rId554" ref="B384"/>
    <hyperlink r:id="rId555" ref="B385"/>
    <hyperlink r:id="rId556" ref="D385"/>
    <hyperlink r:id="rId557" ref="B386"/>
    <hyperlink r:id="rId558" ref="D386"/>
    <hyperlink r:id="rId559" ref="B387"/>
    <hyperlink r:id="rId560" ref="B388"/>
    <hyperlink r:id="rId561" ref="D388"/>
    <hyperlink r:id="rId562" ref="B389"/>
    <hyperlink r:id="rId563" ref="B390"/>
    <hyperlink r:id="rId564" ref="B391"/>
    <hyperlink r:id="rId565" ref="B392"/>
    <hyperlink r:id="rId566" ref="B393"/>
    <hyperlink r:id="rId567" ref="B394"/>
    <hyperlink r:id="rId568" ref="D394"/>
    <hyperlink r:id="rId569" ref="B395"/>
    <hyperlink r:id="rId570" ref="B396"/>
    <hyperlink r:id="rId571" ref="D396"/>
    <hyperlink r:id="rId572" ref="B397"/>
    <hyperlink r:id="rId573" ref="B398"/>
    <hyperlink r:id="rId574" ref="B399"/>
    <hyperlink r:id="rId575" ref="D399"/>
    <hyperlink r:id="rId576" ref="B400"/>
    <hyperlink r:id="rId577" ref="B401"/>
    <hyperlink r:id="rId578" ref="D401"/>
    <hyperlink r:id="rId579" ref="B402"/>
    <hyperlink r:id="rId580" ref="B403"/>
    <hyperlink r:id="rId581" ref="B404"/>
    <hyperlink r:id="rId582" ref="B405"/>
    <hyperlink r:id="rId583" ref="B406"/>
    <hyperlink r:id="rId584" ref="B407"/>
    <hyperlink r:id="rId585" ref="D407"/>
    <hyperlink r:id="rId586" ref="B408"/>
    <hyperlink r:id="rId587" ref="D408"/>
    <hyperlink r:id="rId588" ref="B409"/>
    <hyperlink r:id="rId589" ref="D409"/>
    <hyperlink r:id="rId590" ref="B410"/>
    <hyperlink r:id="rId591" ref="D410"/>
    <hyperlink r:id="rId592" ref="B411"/>
    <hyperlink r:id="rId593" ref="D411"/>
    <hyperlink r:id="rId594" ref="B412"/>
    <hyperlink r:id="rId595" ref="B413"/>
    <hyperlink r:id="rId596" ref="B414"/>
    <hyperlink r:id="rId597" ref="B415"/>
    <hyperlink r:id="rId598" ref="B416"/>
    <hyperlink r:id="rId599" ref="D416"/>
    <hyperlink r:id="rId600" ref="B417"/>
    <hyperlink r:id="rId601" ref="B418"/>
    <hyperlink r:id="rId602" ref="B419"/>
    <hyperlink r:id="rId603" ref="B420"/>
    <hyperlink r:id="rId604" ref="B421"/>
    <hyperlink r:id="rId605" ref="B422"/>
    <hyperlink r:id="rId606" ref="D422"/>
    <hyperlink r:id="rId607" ref="B423"/>
    <hyperlink r:id="rId608" ref="B424"/>
    <hyperlink r:id="rId609" ref="B425"/>
    <hyperlink r:id="rId610" ref="D425"/>
    <hyperlink r:id="rId611" ref="B426"/>
    <hyperlink r:id="rId612" ref="D426"/>
    <hyperlink r:id="rId613" ref="B427"/>
    <hyperlink r:id="rId614" ref="B428"/>
    <hyperlink r:id="rId615" ref="B429"/>
    <hyperlink r:id="rId616" ref="B430"/>
    <hyperlink r:id="rId617" ref="D430"/>
    <hyperlink r:id="rId618" ref="B431"/>
    <hyperlink r:id="rId619" ref="B432"/>
    <hyperlink r:id="rId620" ref="B433"/>
    <hyperlink r:id="rId621" ref="D433"/>
    <hyperlink r:id="rId622" ref="B434"/>
    <hyperlink r:id="rId623" ref="D434"/>
    <hyperlink r:id="rId624" ref="B435"/>
    <hyperlink r:id="rId625" ref="B436"/>
    <hyperlink r:id="rId626" ref="D436"/>
    <hyperlink r:id="rId627" ref="B437"/>
    <hyperlink r:id="rId628" ref="B438"/>
    <hyperlink r:id="rId629" ref="B439"/>
    <hyperlink r:id="rId630" ref="B440"/>
    <hyperlink r:id="rId631" ref="D440"/>
    <hyperlink r:id="rId632" ref="B441"/>
    <hyperlink r:id="rId633" ref="B442"/>
    <hyperlink r:id="rId634" ref="B443"/>
    <hyperlink r:id="rId635" ref="B444"/>
    <hyperlink r:id="rId636" ref="B445"/>
    <hyperlink r:id="rId637" ref="B446"/>
    <hyperlink r:id="rId638" ref="B447"/>
    <hyperlink r:id="rId639" ref="B448"/>
    <hyperlink r:id="rId640" ref="B449"/>
    <hyperlink r:id="rId641" ref="B450"/>
    <hyperlink r:id="rId642" ref="B451"/>
    <hyperlink r:id="rId643" ref="B452"/>
    <hyperlink r:id="rId644" ref="B453"/>
    <hyperlink r:id="rId645" ref="B454"/>
    <hyperlink r:id="rId646" ref="B455"/>
    <hyperlink r:id="rId647" ref="D455"/>
    <hyperlink r:id="rId648" ref="B456"/>
    <hyperlink r:id="rId649" ref="B457"/>
    <hyperlink r:id="rId650" ref="B458"/>
    <hyperlink r:id="rId651" ref="B459"/>
    <hyperlink r:id="rId652" ref="B460"/>
    <hyperlink r:id="rId653" ref="B461"/>
    <hyperlink r:id="rId654" ref="D461"/>
    <hyperlink r:id="rId655" ref="B462"/>
    <hyperlink r:id="rId656" ref="B463"/>
    <hyperlink r:id="rId657" ref="D463"/>
    <hyperlink r:id="rId658" ref="B464"/>
    <hyperlink r:id="rId659" ref="D464"/>
    <hyperlink r:id="rId660" ref="B465"/>
    <hyperlink r:id="rId661" ref="D465"/>
    <hyperlink r:id="rId662" ref="B466"/>
    <hyperlink r:id="rId663" ref="B467"/>
    <hyperlink r:id="rId664" ref="B468"/>
    <hyperlink r:id="rId665" ref="B469"/>
    <hyperlink r:id="rId666" ref="D469"/>
    <hyperlink r:id="rId667" ref="B470"/>
    <hyperlink r:id="rId668" ref="D470"/>
    <hyperlink r:id="rId669" ref="B471"/>
    <hyperlink r:id="rId670" ref="D471"/>
    <hyperlink r:id="rId671" ref="B472"/>
    <hyperlink r:id="rId672" ref="B473"/>
    <hyperlink r:id="rId673" ref="B474"/>
    <hyperlink r:id="rId674" ref="B475"/>
    <hyperlink r:id="rId675" ref="B476"/>
    <hyperlink r:id="rId676" ref="D476"/>
    <hyperlink r:id="rId677" ref="B477"/>
    <hyperlink r:id="rId678" ref="D477"/>
    <hyperlink r:id="rId679" ref="B478"/>
    <hyperlink r:id="rId680" ref="D478"/>
    <hyperlink r:id="rId681" ref="B479"/>
    <hyperlink r:id="rId682" ref="B480"/>
    <hyperlink r:id="rId683" ref="B481"/>
    <hyperlink r:id="rId684" ref="B482"/>
    <hyperlink r:id="rId685" ref="D482"/>
    <hyperlink r:id="rId686" ref="B483"/>
    <hyperlink r:id="rId687" ref="D483"/>
    <hyperlink r:id="rId688" ref="B484"/>
    <hyperlink r:id="rId689" ref="D484"/>
    <hyperlink r:id="rId690" ref="B485"/>
    <hyperlink r:id="rId691" ref="B486"/>
    <hyperlink r:id="rId692" ref="D486"/>
    <hyperlink r:id="rId693" ref="B487"/>
    <hyperlink r:id="rId694" ref="B488"/>
    <hyperlink r:id="rId695" ref="B489"/>
    <hyperlink r:id="rId696" ref="B490"/>
    <hyperlink r:id="rId697" ref="B491"/>
    <hyperlink r:id="rId698" ref="B492"/>
    <hyperlink r:id="rId699" ref="D492"/>
    <hyperlink r:id="rId700" ref="B493"/>
    <hyperlink r:id="rId701" ref="B494"/>
    <hyperlink r:id="rId702" ref="B495"/>
    <hyperlink r:id="rId703" ref="B496"/>
    <hyperlink r:id="rId704" ref="D496"/>
    <hyperlink r:id="rId705" ref="B497"/>
    <hyperlink r:id="rId706" ref="B498"/>
    <hyperlink r:id="rId707" ref="B499"/>
    <hyperlink r:id="rId708" ref="B500"/>
    <hyperlink r:id="rId709" ref="B501"/>
    <hyperlink r:id="rId710" ref="B502"/>
    <hyperlink r:id="rId711" ref="B503"/>
    <hyperlink r:id="rId712" ref="B504"/>
    <hyperlink r:id="rId713" ref="B505"/>
    <hyperlink r:id="rId714" ref="B506"/>
    <hyperlink r:id="rId715" ref="B507"/>
    <hyperlink r:id="rId716" ref="B508"/>
    <hyperlink r:id="rId717" ref="B509"/>
    <hyperlink r:id="rId718" ref="B510"/>
    <hyperlink r:id="rId719" ref="B511"/>
    <hyperlink r:id="rId720" ref="B512"/>
    <hyperlink r:id="rId721" ref="B513"/>
    <hyperlink r:id="rId722" ref="D513"/>
    <hyperlink r:id="rId723" ref="B514"/>
    <hyperlink r:id="rId724" ref="B515"/>
    <hyperlink r:id="rId725" ref="B516"/>
    <hyperlink r:id="rId726" ref="D516"/>
    <hyperlink r:id="rId727" ref="B517"/>
    <hyperlink r:id="rId728" ref="B518"/>
    <hyperlink r:id="rId729" ref="B519"/>
    <hyperlink r:id="rId730" ref="D519"/>
    <hyperlink r:id="rId731" ref="B520"/>
    <hyperlink r:id="rId732" ref="D520"/>
    <hyperlink r:id="rId733" ref="B521"/>
    <hyperlink r:id="rId734" ref="D521"/>
    <hyperlink r:id="rId735" ref="B522"/>
    <hyperlink r:id="rId736" ref="D522"/>
    <hyperlink r:id="rId737" ref="B523"/>
    <hyperlink r:id="rId738" ref="B524"/>
    <hyperlink r:id="rId739" ref="D524"/>
    <hyperlink r:id="rId740" ref="B525"/>
    <hyperlink r:id="rId741" ref="B526"/>
    <hyperlink r:id="rId742" ref="B527"/>
    <hyperlink r:id="rId743" ref="B528"/>
    <hyperlink r:id="rId744" ref="B529"/>
    <hyperlink r:id="rId745" ref="D529"/>
    <hyperlink r:id="rId746" ref="B530"/>
    <hyperlink r:id="rId747" ref="B531"/>
    <hyperlink r:id="rId748" ref="D531"/>
    <hyperlink r:id="rId749" ref="B532"/>
    <hyperlink r:id="rId750" ref="D532"/>
    <hyperlink r:id="rId751" ref="B533"/>
    <hyperlink r:id="rId752" ref="D533"/>
    <hyperlink r:id="rId753" ref="B534"/>
    <hyperlink r:id="rId754" ref="D534"/>
    <hyperlink r:id="rId755" ref="B535"/>
    <hyperlink r:id="rId756" ref="B536"/>
    <hyperlink r:id="rId757" ref="B537"/>
    <hyperlink r:id="rId758" ref="B538"/>
    <hyperlink r:id="rId759" ref="B539"/>
    <hyperlink r:id="rId760" ref="B540"/>
    <hyperlink r:id="rId761" ref="B541"/>
    <hyperlink r:id="rId762" ref="B542"/>
    <hyperlink r:id="rId763" ref="B543"/>
    <hyperlink r:id="rId764" ref="D543"/>
    <hyperlink r:id="rId765" ref="B544"/>
    <hyperlink r:id="rId766" ref="D544"/>
    <hyperlink r:id="rId767" ref="B545"/>
    <hyperlink r:id="rId768" ref="D545"/>
    <hyperlink r:id="rId769" ref="B546"/>
    <hyperlink r:id="rId770" ref="B547"/>
    <hyperlink r:id="rId771" ref="B548"/>
    <hyperlink r:id="rId772" ref="B549"/>
    <hyperlink r:id="rId773" ref="D549"/>
    <hyperlink r:id="rId774" ref="B550"/>
    <hyperlink r:id="rId775" ref="D550"/>
    <hyperlink r:id="rId776" ref="B551"/>
    <hyperlink r:id="rId777" ref="D551"/>
    <hyperlink r:id="rId778" ref="B552"/>
    <hyperlink r:id="rId779" ref="B553"/>
    <hyperlink r:id="rId780" ref="D553"/>
    <hyperlink r:id="rId781" ref="B554"/>
    <hyperlink r:id="rId782" ref="B555"/>
    <hyperlink r:id="rId783" ref="B556"/>
    <hyperlink r:id="rId784" ref="B557"/>
    <hyperlink r:id="rId785" ref="B558"/>
    <hyperlink r:id="rId786" ref="B559"/>
    <hyperlink r:id="rId787" ref="B560"/>
    <hyperlink r:id="rId788" ref="B561"/>
    <hyperlink r:id="rId789" ref="B562"/>
    <hyperlink r:id="rId790" ref="D562"/>
    <hyperlink r:id="rId791" ref="B563"/>
    <hyperlink r:id="rId792" ref="B564"/>
    <hyperlink r:id="rId793" ref="D564"/>
    <hyperlink r:id="rId794" ref="B565"/>
    <hyperlink r:id="rId795" ref="B566"/>
    <hyperlink r:id="rId796" ref="D566"/>
    <hyperlink r:id="rId797" ref="B567"/>
    <hyperlink r:id="rId798" ref="B568"/>
    <hyperlink r:id="rId799" ref="B569"/>
    <hyperlink r:id="rId800" ref="B570"/>
    <hyperlink r:id="rId801" ref="B571"/>
    <hyperlink r:id="rId802" ref="B572"/>
    <hyperlink r:id="rId803" ref="D572"/>
    <hyperlink r:id="rId804" ref="B573"/>
    <hyperlink r:id="rId805" ref="D573"/>
    <hyperlink r:id="rId806" ref="B574"/>
    <hyperlink r:id="rId807" ref="D574"/>
    <hyperlink r:id="rId808" ref="B575"/>
    <hyperlink r:id="rId809" ref="D575"/>
    <hyperlink r:id="rId810" ref="B576"/>
    <hyperlink r:id="rId811" ref="B577"/>
    <hyperlink r:id="rId812" ref="D577"/>
    <hyperlink r:id="rId813" ref="B578"/>
    <hyperlink r:id="rId814" ref="B579"/>
    <hyperlink r:id="rId815" ref="B580"/>
    <hyperlink r:id="rId816" ref="D580"/>
    <hyperlink r:id="rId817" ref="B581"/>
    <hyperlink r:id="rId818" ref="B582"/>
    <hyperlink r:id="rId819" ref="D582"/>
    <hyperlink r:id="rId820" ref="B583"/>
    <hyperlink r:id="rId821" ref="D583"/>
    <hyperlink r:id="rId822" ref="B584"/>
    <hyperlink r:id="rId823" ref="B585"/>
    <hyperlink r:id="rId824" ref="B586"/>
    <hyperlink r:id="rId825" ref="B587"/>
    <hyperlink r:id="rId826" ref="B588"/>
    <hyperlink r:id="rId827" ref="D588"/>
    <hyperlink r:id="rId828" ref="B589"/>
    <hyperlink r:id="rId829" ref="D589"/>
    <hyperlink r:id="rId830" ref="B590"/>
    <hyperlink r:id="rId831" ref="D590"/>
    <hyperlink r:id="rId832" ref="B591"/>
    <hyperlink r:id="rId833" ref="B592"/>
    <hyperlink r:id="rId834" ref="D592"/>
    <hyperlink r:id="rId835" ref="B593"/>
    <hyperlink r:id="rId836" ref="B594"/>
    <hyperlink r:id="rId837" ref="B595"/>
    <hyperlink r:id="rId838" ref="B596"/>
    <hyperlink r:id="rId839" ref="D596"/>
    <hyperlink r:id="rId840" ref="B597"/>
    <hyperlink r:id="rId841" ref="D597"/>
    <hyperlink r:id="rId842" ref="B598"/>
    <hyperlink r:id="rId843" ref="D598"/>
    <hyperlink r:id="rId844" ref="B599"/>
    <hyperlink r:id="rId845" ref="B600"/>
    <hyperlink r:id="rId846" ref="D600"/>
    <hyperlink r:id="rId847" ref="B601"/>
    <hyperlink r:id="rId848" ref="D601"/>
    <hyperlink r:id="rId849" ref="B602"/>
    <hyperlink r:id="rId850" ref="B603"/>
    <hyperlink r:id="rId851" ref="D603"/>
    <hyperlink r:id="rId852" ref="B604"/>
    <hyperlink r:id="rId853" ref="D604"/>
    <hyperlink r:id="rId854" ref="B605"/>
    <hyperlink r:id="rId855" ref="B606"/>
    <hyperlink r:id="rId856" ref="B607"/>
    <hyperlink r:id="rId857" ref="B608"/>
    <hyperlink r:id="rId858" ref="B609"/>
    <hyperlink r:id="rId859" ref="D609"/>
    <hyperlink r:id="rId860" ref="B610"/>
    <hyperlink r:id="rId861" ref="B611"/>
    <hyperlink r:id="rId862" ref="B612"/>
    <hyperlink r:id="rId863" ref="B613"/>
    <hyperlink r:id="rId864" ref="B614"/>
    <hyperlink r:id="rId865" ref="B615"/>
    <hyperlink r:id="rId866" ref="B616"/>
    <hyperlink r:id="rId867" ref="B617"/>
    <hyperlink r:id="rId868" ref="D617"/>
    <hyperlink r:id="rId869" ref="B618"/>
    <hyperlink r:id="rId870" ref="D618"/>
    <hyperlink r:id="rId871" ref="B619"/>
    <hyperlink r:id="rId872" ref="B620"/>
    <hyperlink r:id="rId873" ref="D620"/>
    <hyperlink r:id="rId874" ref="B621"/>
    <hyperlink r:id="rId875" ref="B622"/>
    <hyperlink r:id="rId876" ref="B623"/>
    <hyperlink r:id="rId877" ref="B624"/>
    <hyperlink r:id="rId878" ref="D624"/>
    <hyperlink r:id="rId879" ref="B625"/>
    <hyperlink r:id="rId880" ref="B626"/>
    <hyperlink r:id="rId881" ref="B627"/>
    <hyperlink r:id="rId882" ref="B628"/>
    <hyperlink r:id="rId883" ref="B629"/>
    <hyperlink r:id="rId884" ref="B630"/>
    <hyperlink r:id="rId885" ref="B631"/>
    <hyperlink r:id="rId886" ref="D631"/>
    <hyperlink r:id="rId887" ref="B632"/>
    <hyperlink r:id="rId888" ref="B633"/>
    <hyperlink r:id="rId889" ref="B634"/>
    <hyperlink r:id="rId890" ref="D634"/>
    <hyperlink r:id="rId891" ref="B635"/>
    <hyperlink r:id="rId892" ref="D635"/>
    <hyperlink r:id="rId893" ref="B636"/>
    <hyperlink r:id="rId894" ref="D636"/>
    <hyperlink r:id="rId895" ref="B637"/>
    <hyperlink r:id="rId896" ref="D637"/>
    <hyperlink r:id="rId897" ref="B638"/>
    <hyperlink r:id="rId898" ref="B639"/>
    <hyperlink r:id="rId899" ref="B640"/>
    <hyperlink r:id="rId900" ref="B641"/>
    <hyperlink r:id="rId901" ref="D641"/>
    <hyperlink r:id="rId902" ref="B642"/>
    <hyperlink r:id="rId903" ref="B643"/>
    <hyperlink r:id="rId904" ref="B644"/>
    <hyperlink r:id="rId905" ref="B645"/>
    <hyperlink r:id="rId906" ref="D645"/>
    <hyperlink r:id="rId907" ref="B646"/>
    <hyperlink r:id="rId908" ref="D646"/>
    <hyperlink r:id="rId909" ref="B647"/>
    <hyperlink r:id="rId910" ref="B648"/>
    <hyperlink r:id="rId911" ref="B649"/>
    <hyperlink r:id="rId912" ref="D649"/>
    <hyperlink r:id="rId913" ref="B650"/>
    <hyperlink r:id="rId914" ref="B651"/>
    <hyperlink r:id="rId915" ref="D651"/>
    <hyperlink r:id="rId916" ref="B652"/>
    <hyperlink r:id="rId917" ref="B653"/>
    <hyperlink r:id="rId918" ref="B654"/>
    <hyperlink r:id="rId919" ref="B655"/>
    <hyperlink r:id="rId920" ref="B656"/>
    <hyperlink r:id="rId921" ref="B657"/>
    <hyperlink r:id="rId922" ref="B658"/>
    <hyperlink r:id="rId923" ref="B659"/>
    <hyperlink r:id="rId924" ref="B660"/>
    <hyperlink r:id="rId925" ref="B661"/>
    <hyperlink r:id="rId926" ref="D661"/>
    <hyperlink r:id="rId927" ref="B662"/>
    <hyperlink r:id="rId928" ref="B663"/>
    <hyperlink r:id="rId929" ref="B664"/>
    <hyperlink r:id="rId930" ref="D664"/>
    <hyperlink r:id="rId931" ref="B665"/>
    <hyperlink r:id="rId932" ref="D665"/>
    <hyperlink r:id="rId933" ref="B666"/>
    <hyperlink r:id="rId934" ref="B667"/>
  </hyperlinks>
  <drawing r:id="rId93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4.5"/>
    <col customWidth="1" min="2" max="2" width="5.63"/>
    <col customWidth="1" min="3" max="3" width="32.75"/>
    <col customWidth="1" min="4" max="5" width="7.0"/>
    <col customWidth="1" min="6" max="6" width="7.63"/>
    <col customWidth="1" min="7" max="7" width="22.63"/>
    <col customWidth="1" min="8" max="8" width="11.38"/>
  </cols>
  <sheetData>
    <row r="1">
      <c r="A1" s="34" t="s">
        <v>0</v>
      </c>
      <c r="B1" s="34" t="s">
        <v>1</v>
      </c>
      <c r="C1" s="35" t="s">
        <v>4624</v>
      </c>
      <c r="D1" s="36" t="s">
        <v>4625</v>
      </c>
      <c r="E1" s="36" t="s">
        <v>4626</v>
      </c>
      <c r="F1" s="36" t="s">
        <v>4627</v>
      </c>
      <c r="G1" s="36" t="s">
        <v>4628</v>
      </c>
      <c r="H1" s="37" t="s">
        <v>4629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>
      <c r="A2" s="38" t="s">
        <v>17</v>
      </c>
      <c r="B2" s="39" t="s">
        <v>18</v>
      </c>
      <c r="C2" s="40" t="s">
        <v>19</v>
      </c>
      <c r="D2" s="41" t="s">
        <v>20</v>
      </c>
      <c r="E2" s="42">
        <v>1.0</v>
      </c>
      <c r="F2" s="42">
        <v>1.0</v>
      </c>
      <c r="G2" s="42">
        <v>0.0</v>
      </c>
      <c r="H2" s="43" t="s">
        <v>4630</v>
      </c>
      <c r="I2" s="44">
        <f>IFERROR(__xludf.DUMMYFUNCTION("AVERAGE(FILTER(M:M,ISNUMBER(M:M)))"),0.7787298387096772)</f>
        <v>0.7787298387</v>
      </c>
      <c r="J2" s="44">
        <f>IFERROR(__xludf.DUMMYFUNCTION("AVERAGE(FILTER(N:N,ISNUMBER(N:N)))"),0.06870461527719593)</f>
        <v>0.06870461528</v>
      </c>
      <c r="K2" s="44">
        <f>IFERROR(__xludf.DUMMYFUNCTION("AVERAGE(FILTER(O:O,ISNUMBER(O:O)))"),0.9556451612903226)</f>
        <v>0.9556451613</v>
      </c>
      <c r="L2" s="44">
        <f>IFERROR(__xludf.DUMMYFUNCTION("AVERAGE(FILTER(P:P,ISNUMBER(P:P)))"),0.9314723032069969)</f>
        <v>0.9314723032</v>
      </c>
      <c r="M2" s="44">
        <f t="shared" ref="M2:M1003" si="1">F2/E2</f>
        <v>1</v>
      </c>
      <c r="N2" s="44">
        <f t="shared" ref="N2:N1003" si="2">G2/E2</f>
        <v>0</v>
      </c>
      <c r="O2" s="44">
        <f>IFERROR(__xludf.DUMMYFUNCTION("INT(FILTER(GT(F2,0),ISNUMBER(F2)))"),1.0)</f>
        <v>1</v>
      </c>
      <c r="P2" s="44">
        <f t="shared" ref="P2:P1003" si="3">F2/(F2+G2)</f>
        <v>1</v>
      </c>
      <c r="Q2" s="44">
        <f>IFERROR(__xludf.DUMMYFUNCTION("INT(FILTER(EQ(E2,F2),ISNUMBER(E2),ISNUMBER(F2)))"),1.0)</f>
        <v>1</v>
      </c>
    </row>
    <row r="3">
      <c r="A3" s="38" t="s">
        <v>22</v>
      </c>
      <c r="B3" s="39" t="s">
        <v>23</v>
      </c>
      <c r="C3" s="40" t="s">
        <v>24</v>
      </c>
      <c r="D3" s="42" t="s">
        <v>25</v>
      </c>
      <c r="E3" s="42">
        <v>1.0</v>
      </c>
      <c r="F3" s="42">
        <v>1.0</v>
      </c>
      <c r="G3" s="42">
        <v>0.0</v>
      </c>
      <c r="H3" s="43" t="s">
        <v>4630</v>
      </c>
      <c r="I3" s="37" t="s">
        <v>26</v>
      </c>
      <c r="J3" s="37" t="s">
        <v>27</v>
      </c>
      <c r="K3" s="37" t="s">
        <v>28</v>
      </c>
      <c r="L3" s="37" t="s">
        <v>29</v>
      </c>
      <c r="M3" s="44">
        <f t="shared" si="1"/>
        <v>1</v>
      </c>
      <c r="N3" s="44">
        <f t="shared" si="2"/>
        <v>0</v>
      </c>
      <c r="O3" s="44">
        <f>IFERROR(__xludf.DUMMYFUNCTION("INT(FILTER(GT(F3,0),ISNUMBER(F3)))"),1.0)</f>
        <v>1</v>
      </c>
      <c r="P3" s="44">
        <f t="shared" si="3"/>
        <v>1</v>
      </c>
      <c r="Q3" s="44">
        <f>IFERROR(__xludf.DUMMYFUNCTION("INT(FILTER(EQ(E3,F3),ISNUMBER(E3),ISNUMBER(F3)))"),1.0)</f>
        <v>1</v>
      </c>
    </row>
    <row r="4">
      <c r="A4" s="38" t="s">
        <v>30</v>
      </c>
      <c r="B4" s="39" t="s">
        <v>31</v>
      </c>
      <c r="C4" s="40" t="s">
        <v>32</v>
      </c>
      <c r="D4" s="42" t="s">
        <v>33</v>
      </c>
      <c r="E4" s="42">
        <v>2.0</v>
      </c>
      <c r="F4" s="42">
        <v>2.0</v>
      </c>
      <c r="G4" s="42">
        <v>0.0</v>
      </c>
      <c r="H4" s="43" t="s">
        <v>4630</v>
      </c>
      <c r="I4" s="44">
        <f>SUM(F2:F1003)/SUM(E2:E1003)</f>
        <v>0.7210776545</v>
      </c>
      <c r="J4" s="44">
        <f>SUM(G2:G1003)/SUM(E2:E1003)</f>
        <v>0.06022187005</v>
      </c>
      <c r="K4" s="44">
        <f>IFERROR(__xludf.DUMMYFUNCTION("AVERAGE(FILTER(Q:Q,ISNUMBER(Q:Q)))"),0.5645161290322581)</f>
        <v>0.564516129</v>
      </c>
      <c r="L4" s="44">
        <f>SUM(F2:F1003)/(SUM(F2:F1003)+SUM(G2:G1003))</f>
        <v>0.9229208925</v>
      </c>
      <c r="M4" s="44">
        <f t="shared" si="1"/>
        <v>1</v>
      </c>
      <c r="N4" s="44">
        <f t="shared" si="2"/>
        <v>0</v>
      </c>
      <c r="O4" s="44">
        <f>IFERROR(__xludf.DUMMYFUNCTION("INT(FILTER(GT(F4,0),ISNUMBER(F4)))"),1.0)</f>
        <v>1</v>
      </c>
      <c r="P4" s="44">
        <f t="shared" si="3"/>
        <v>1</v>
      </c>
      <c r="Q4" s="44">
        <f>IFERROR(__xludf.DUMMYFUNCTION("INT(FILTER(EQ(E4,F4),ISNUMBER(E4),ISNUMBER(F4)))"),1.0)</f>
        <v>1</v>
      </c>
    </row>
    <row r="5">
      <c r="A5" s="38" t="s">
        <v>34</v>
      </c>
      <c r="B5" s="39" t="s">
        <v>35</v>
      </c>
      <c r="C5" s="40" t="s">
        <v>4631</v>
      </c>
      <c r="D5" s="42" t="s">
        <v>4632</v>
      </c>
      <c r="E5" s="42">
        <v>4.0</v>
      </c>
      <c r="F5" s="42">
        <v>3.0</v>
      </c>
      <c r="G5" s="42">
        <v>1.0</v>
      </c>
      <c r="H5" s="43" t="s">
        <v>4630</v>
      </c>
      <c r="I5" s="44"/>
      <c r="J5" s="44"/>
      <c r="K5" s="44"/>
      <c r="L5" s="44"/>
      <c r="M5" s="44">
        <f t="shared" si="1"/>
        <v>0.75</v>
      </c>
      <c r="N5" s="44">
        <f t="shared" si="2"/>
        <v>0.25</v>
      </c>
      <c r="O5" s="44">
        <f>IFERROR(__xludf.DUMMYFUNCTION("INT(FILTER(GT(F5,0),ISNUMBER(F5)))"),1.0)</f>
        <v>1</v>
      </c>
      <c r="P5" s="44">
        <f t="shared" si="3"/>
        <v>0.75</v>
      </c>
      <c r="Q5" s="44">
        <f>IFERROR(__xludf.DUMMYFUNCTION("INT(FILTER(EQ(E5,F5),ISNUMBER(E5),ISNUMBER(F5)))"),0.0)</f>
        <v>0</v>
      </c>
    </row>
    <row r="6">
      <c r="A6" s="38" t="s">
        <v>38</v>
      </c>
      <c r="B6" s="39" t="s">
        <v>39</v>
      </c>
      <c r="C6" s="40" t="s">
        <v>40</v>
      </c>
      <c r="D6" s="41" t="s">
        <v>41</v>
      </c>
      <c r="E6" s="42">
        <v>1.0</v>
      </c>
      <c r="F6" s="42">
        <v>1.0</v>
      </c>
      <c r="G6" s="42">
        <v>0.0</v>
      </c>
      <c r="H6" s="43" t="s">
        <v>4630</v>
      </c>
      <c r="I6" s="44"/>
      <c r="J6" s="44"/>
      <c r="K6" s="44"/>
      <c r="L6" s="44"/>
      <c r="M6" s="44">
        <f t="shared" si="1"/>
        <v>1</v>
      </c>
      <c r="N6" s="44">
        <f t="shared" si="2"/>
        <v>0</v>
      </c>
      <c r="O6" s="44">
        <f>IFERROR(__xludf.DUMMYFUNCTION("INT(FILTER(GT(F6,0),ISNUMBER(F6)))"),1.0)</f>
        <v>1</v>
      </c>
      <c r="P6" s="44">
        <f t="shared" si="3"/>
        <v>1</v>
      </c>
      <c r="Q6" s="44">
        <f>IFERROR(__xludf.DUMMYFUNCTION("INT(FILTER(EQ(E6,F6),ISNUMBER(E6),ISNUMBER(F6)))"),1.0)</f>
        <v>1</v>
      </c>
    </row>
    <row r="7">
      <c r="A7" s="38" t="s">
        <v>42</v>
      </c>
      <c r="B7" s="39" t="s">
        <v>43</v>
      </c>
      <c r="C7" s="40" t="s">
        <v>44</v>
      </c>
      <c r="D7" s="41" t="s">
        <v>45</v>
      </c>
      <c r="E7" s="42">
        <v>1.0</v>
      </c>
      <c r="F7" s="42">
        <v>1.0</v>
      </c>
      <c r="G7" s="42">
        <v>0.0</v>
      </c>
      <c r="H7" s="43" t="s">
        <v>4630</v>
      </c>
      <c r="I7" s="44"/>
      <c r="J7" s="44"/>
      <c r="K7" s="44"/>
      <c r="L7" s="44"/>
      <c r="M7" s="44">
        <f t="shared" si="1"/>
        <v>1</v>
      </c>
      <c r="N7" s="44">
        <f t="shared" si="2"/>
        <v>0</v>
      </c>
      <c r="O7" s="44">
        <f>IFERROR(__xludf.DUMMYFUNCTION("INT(FILTER(GT(F7,0),ISNUMBER(F7)))"),1.0)</f>
        <v>1</v>
      </c>
      <c r="P7" s="44">
        <f t="shared" si="3"/>
        <v>1</v>
      </c>
      <c r="Q7" s="44">
        <f>IFERROR(__xludf.DUMMYFUNCTION("INT(FILTER(EQ(E7,F7),ISNUMBER(E7),ISNUMBER(F7)))"),1.0)</f>
        <v>1</v>
      </c>
    </row>
    <row r="8">
      <c r="A8" s="38" t="s">
        <v>46</v>
      </c>
      <c r="B8" s="39" t="s">
        <v>47</v>
      </c>
      <c r="C8" s="40" t="s">
        <v>4633</v>
      </c>
      <c r="D8" s="41" t="s">
        <v>4634</v>
      </c>
      <c r="E8" s="42">
        <v>1.0</v>
      </c>
      <c r="F8" s="42">
        <v>0.0</v>
      </c>
      <c r="G8" s="42">
        <v>1.0</v>
      </c>
      <c r="H8" s="43" t="s">
        <v>4630</v>
      </c>
      <c r="I8" s="44"/>
      <c r="J8" s="44"/>
      <c r="K8" s="44"/>
      <c r="L8" s="44"/>
      <c r="M8" s="44">
        <f t="shared" si="1"/>
        <v>0</v>
      </c>
      <c r="N8" s="44">
        <f t="shared" si="2"/>
        <v>1</v>
      </c>
      <c r="O8" s="44">
        <f>IFERROR(__xludf.DUMMYFUNCTION("INT(FILTER(GT(F8,0),ISNUMBER(F8)))"),0.0)</f>
        <v>0</v>
      </c>
      <c r="P8" s="44">
        <f t="shared" si="3"/>
        <v>0</v>
      </c>
      <c r="Q8" s="44">
        <f>IFERROR(__xludf.DUMMYFUNCTION("INT(FILTER(EQ(E8,F8),ISNUMBER(E8),ISNUMBER(F8)))"),0.0)</f>
        <v>0</v>
      </c>
    </row>
    <row r="9">
      <c r="A9" s="38" t="s">
        <v>50</v>
      </c>
      <c r="B9" s="39" t="s">
        <v>51</v>
      </c>
      <c r="C9" s="40" t="s">
        <v>52</v>
      </c>
      <c r="D9" s="42" t="s">
        <v>4635</v>
      </c>
      <c r="E9" s="42">
        <v>3.0</v>
      </c>
      <c r="F9" s="42">
        <v>2.0</v>
      </c>
      <c r="G9" s="42">
        <v>0.0</v>
      </c>
      <c r="H9" s="43" t="s">
        <v>4630</v>
      </c>
      <c r="I9" s="44"/>
      <c r="J9" s="44"/>
      <c r="K9" s="44"/>
      <c r="L9" s="44"/>
      <c r="M9" s="44">
        <f t="shared" si="1"/>
        <v>0.6666666667</v>
      </c>
      <c r="N9" s="44">
        <f t="shared" si="2"/>
        <v>0</v>
      </c>
      <c r="O9" s="44">
        <f>IFERROR(__xludf.DUMMYFUNCTION("INT(FILTER(GT(F9,0),ISNUMBER(F9)))"),1.0)</f>
        <v>1</v>
      </c>
      <c r="P9" s="44">
        <f t="shared" si="3"/>
        <v>1</v>
      </c>
      <c r="Q9" s="44">
        <f>IFERROR(__xludf.DUMMYFUNCTION("INT(FILTER(EQ(E9,F9),ISNUMBER(E9),ISNUMBER(F9)))"),0.0)</f>
        <v>0</v>
      </c>
    </row>
    <row r="10">
      <c r="A10" s="38" t="s">
        <v>54</v>
      </c>
      <c r="B10" s="39" t="s">
        <v>55</v>
      </c>
      <c r="C10" s="40" t="s">
        <v>56</v>
      </c>
      <c r="D10" s="41" t="s">
        <v>57</v>
      </c>
      <c r="E10" s="42">
        <v>1.0</v>
      </c>
      <c r="F10" s="42">
        <v>1.0</v>
      </c>
      <c r="G10" s="42">
        <v>0.0</v>
      </c>
      <c r="H10" s="43" t="s">
        <v>4630</v>
      </c>
      <c r="I10" s="44"/>
      <c r="J10" s="44"/>
      <c r="K10" s="44"/>
      <c r="L10" s="44"/>
      <c r="M10" s="44">
        <f t="shared" si="1"/>
        <v>1</v>
      </c>
      <c r="N10" s="44">
        <f t="shared" si="2"/>
        <v>0</v>
      </c>
      <c r="O10" s="44">
        <f>IFERROR(__xludf.DUMMYFUNCTION("INT(FILTER(GT(F10,0),ISNUMBER(F10)))"),1.0)</f>
        <v>1</v>
      </c>
      <c r="P10" s="44">
        <f t="shared" si="3"/>
        <v>1</v>
      </c>
      <c r="Q10" s="44">
        <f>IFERROR(__xludf.DUMMYFUNCTION("INT(FILTER(EQ(E10,F10),ISNUMBER(E10),ISNUMBER(F10)))"),1.0)</f>
        <v>1</v>
      </c>
    </row>
    <row r="11">
      <c r="A11" s="38" t="s">
        <v>58</v>
      </c>
      <c r="B11" s="39" t="s">
        <v>59</v>
      </c>
      <c r="C11" s="40" t="s">
        <v>60</v>
      </c>
      <c r="D11" s="42" t="s">
        <v>4636</v>
      </c>
      <c r="E11" s="42">
        <v>2.0</v>
      </c>
      <c r="F11" s="42">
        <v>2.0</v>
      </c>
      <c r="G11" s="42">
        <v>0.0</v>
      </c>
      <c r="H11" s="43" t="s">
        <v>4630</v>
      </c>
      <c r="I11" s="44"/>
      <c r="J11" s="44"/>
      <c r="K11" s="44"/>
      <c r="L11" s="44"/>
      <c r="M11" s="44">
        <f t="shared" si="1"/>
        <v>1</v>
      </c>
      <c r="N11" s="44">
        <f t="shared" si="2"/>
        <v>0</v>
      </c>
      <c r="O11" s="44">
        <f>IFERROR(__xludf.DUMMYFUNCTION("INT(FILTER(GT(F11,0),ISNUMBER(F11)))"),1.0)</f>
        <v>1</v>
      </c>
      <c r="P11" s="44">
        <f t="shared" si="3"/>
        <v>1</v>
      </c>
      <c r="Q11" s="44">
        <f>IFERROR(__xludf.DUMMYFUNCTION("INT(FILTER(EQ(E11,F11),ISNUMBER(E11),ISNUMBER(F11)))"),1.0)</f>
        <v>1</v>
      </c>
    </row>
    <row r="12">
      <c r="A12" s="38" t="s">
        <v>62</v>
      </c>
      <c r="B12" s="39" t="s">
        <v>63</v>
      </c>
      <c r="C12" s="40" t="s">
        <v>64</v>
      </c>
      <c r="D12" s="42" t="s">
        <v>65</v>
      </c>
      <c r="E12" s="42">
        <v>2.0</v>
      </c>
      <c r="F12" s="42">
        <v>2.0</v>
      </c>
      <c r="G12" s="42">
        <v>0.0</v>
      </c>
      <c r="H12" s="43" t="s">
        <v>4630</v>
      </c>
      <c r="I12" s="44"/>
      <c r="J12" s="44"/>
      <c r="K12" s="44"/>
      <c r="L12" s="44"/>
      <c r="M12" s="44">
        <f t="shared" si="1"/>
        <v>1</v>
      </c>
      <c r="N12" s="44">
        <f t="shared" si="2"/>
        <v>0</v>
      </c>
      <c r="O12" s="44">
        <f>IFERROR(__xludf.DUMMYFUNCTION("INT(FILTER(GT(F12,0),ISNUMBER(F12)))"),1.0)</f>
        <v>1</v>
      </c>
      <c r="P12" s="44">
        <f t="shared" si="3"/>
        <v>1</v>
      </c>
      <c r="Q12" s="44">
        <f>IFERROR(__xludf.DUMMYFUNCTION("INT(FILTER(EQ(E12,F12),ISNUMBER(E12),ISNUMBER(F12)))"),1.0)</f>
        <v>1</v>
      </c>
    </row>
    <row r="13">
      <c r="A13" s="38" t="s">
        <v>66</v>
      </c>
      <c r="B13" s="39" t="s">
        <v>67</v>
      </c>
      <c r="C13" s="40" t="s">
        <v>4637</v>
      </c>
      <c r="D13" s="42" t="s">
        <v>4638</v>
      </c>
      <c r="E13" s="42">
        <v>2.0</v>
      </c>
      <c r="F13" s="42">
        <v>2.0</v>
      </c>
      <c r="G13" s="42">
        <v>1.0</v>
      </c>
      <c r="H13" s="43" t="s">
        <v>4630</v>
      </c>
      <c r="I13" s="44"/>
      <c r="J13" s="44"/>
      <c r="K13" s="44"/>
      <c r="L13" s="44"/>
      <c r="M13" s="44">
        <f t="shared" si="1"/>
        <v>1</v>
      </c>
      <c r="N13" s="44">
        <f t="shared" si="2"/>
        <v>0.5</v>
      </c>
      <c r="O13" s="44">
        <f>IFERROR(__xludf.DUMMYFUNCTION("INT(FILTER(GT(F13,0),ISNUMBER(F13)))"),1.0)</f>
        <v>1</v>
      </c>
      <c r="P13" s="44">
        <f t="shared" si="3"/>
        <v>0.6666666667</v>
      </c>
      <c r="Q13" s="44">
        <f>IFERROR(__xludf.DUMMYFUNCTION("INT(FILTER(EQ(E13,F13),ISNUMBER(E13),ISNUMBER(F13)))"),1.0)</f>
        <v>1</v>
      </c>
    </row>
    <row r="14">
      <c r="A14" s="38" t="s">
        <v>70</v>
      </c>
      <c r="B14" s="39" t="s">
        <v>71</v>
      </c>
      <c r="C14" s="40" t="s">
        <v>3016</v>
      </c>
      <c r="D14" s="41" t="s">
        <v>73</v>
      </c>
      <c r="E14" s="42">
        <v>2.0</v>
      </c>
      <c r="F14" s="42">
        <v>1.0</v>
      </c>
      <c r="G14" s="42">
        <v>0.0</v>
      </c>
      <c r="H14" s="43" t="s">
        <v>4630</v>
      </c>
      <c r="I14" s="44"/>
      <c r="J14" s="44"/>
      <c r="K14" s="44"/>
      <c r="L14" s="44"/>
      <c r="M14" s="44">
        <f t="shared" si="1"/>
        <v>0.5</v>
      </c>
      <c r="N14" s="44">
        <f t="shared" si="2"/>
        <v>0</v>
      </c>
      <c r="O14" s="44">
        <f>IFERROR(__xludf.DUMMYFUNCTION("INT(FILTER(GT(F14,0),ISNUMBER(F14)))"),1.0)</f>
        <v>1</v>
      </c>
      <c r="P14" s="44">
        <f t="shared" si="3"/>
        <v>1</v>
      </c>
      <c r="Q14" s="44">
        <f>IFERROR(__xludf.DUMMYFUNCTION("INT(FILTER(EQ(E14,F14),ISNUMBER(E14),ISNUMBER(F14)))"),0.0)</f>
        <v>0</v>
      </c>
    </row>
    <row r="15">
      <c r="A15" s="38" t="s">
        <v>74</v>
      </c>
      <c r="B15" s="39" t="s">
        <v>75</v>
      </c>
      <c r="C15" s="40" t="s">
        <v>76</v>
      </c>
      <c r="D15" s="41" t="s">
        <v>77</v>
      </c>
      <c r="E15" s="42">
        <v>1.0</v>
      </c>
      <c r="F15" s="42">
        <v>1.0</v>
      </c>
      <c r="G15" s="42">
        <v>0.0</v>
      </c>
      <c r="H15" s="43" t="s">
        <v>4630</v>
      </c>
      <c r="I15" s="44"/>
      <c r="J15" s="44"/>
      <c r="K15" s="44"/>
      <c r="L15" s="44"/>
      <c r="M15" s="44">
        <f t="shared" si="1"/>
        <v>1</v>
      </c>
      <c r="N15" s="44">
        <f t="shared" si="2"/>
        <v>0</v>
      </c>
      <c r="O15" s="44">
        <f>IFERROR(__xludf.DUMMYFUNCTION("INT(FILTER(GT(F15,0),ISNUMBER(F15)))"),1.0)</f>
        <v>1</v>
      </c>
      <c r="P15" s="44">
        <f t="shared" si="3"/>
        <v>1</v>
      </c>
      <c r="Q15" s="44">
        <f>IFERROR(__xludf.DUMMYFUNCTION("INT(FILTER(EQ(E15,F15),ISNUMBER(E15),ISNUMBER(F15)))"),1.0)</f>
        <v>1</v>
      </c>
    </row>
    <row r="16">
      <c r="A16" s="38" t="s">
        <v>78</v>
      </c>
      <c r="B16" s="39" t="s">
        <v>79</v>
      </c>
      <c r="C16" s="40" t="s">
        <v>80</v>
      </c>
      <c r="D16" s="41" t="s">
        <v>81</v>
      </c>
      <c r="E16" s="42">
        <v>1.0</v>
      </c>
      <c r="F16" s="42">
        <v>1.0</v>
      </c>
      <c r="G16" s="42">
        <v>0.0</v>
      </c>
      <c r="H16" s="43" t="s">
        <v>4630</v>
      </c>
      <c r="I16" s="44"/>
      <c r="J16" s="44"/>
      <c r="K16" s="44"/>
      <c r="L16" s="44"/>
      <c r="M16" s="44">
        <f t="shared" si="1"/>
        <v>1</v>
      </c>
      <c r="N16" s="44">
        <f t="shared" si="2"/>
        <v>0</v>
      </c>
      <c r="O16" s="44">
        <f>IFERROR(__xludf.DUMMYFUNCTION("INT(FILTER(GT(F16,0),ISNUMBER(F16)))"),1.0)</f>
        <v>1</v>
      </c>
      <c r="P16" s="44">
        <f t="shared" si="3"/>
        <v>1</v>
      </c>
      <c r="Q16" s="44">
        <f>IFERROR(__xludf.DUMMYFUNCTION("INT(FILTER(EQ(E16,F16),ISNUMBER(E16),ISNUMBER(F16)))"),1.0)</f>
        <v>1</v>
      </c>
    </row>
    <row r="17">
      <c r="A17" s="38" t="s">
        <v>82</v>
      </c>
      <c r="B17" s="39" t="s">
        <v>83</v>
      </c>
      <c r="C17" s="40" t="s">
        <v>4639</v>
      </c>
      <c r="D17" s="42" t="s">
        <v>4640</v>
      </c>
      <c r="E17" s="42">
        <v>4.0</v>
      </c>
      <c r="F17" s="42">
        <v>3.0</v>
      </c>
      <c r="G17" s="42">
        <v>0.0</v>
      </c>
      <c r="H17" s="43" t="s">
        <v>4630</v>
      </c>
      <c r="I17" s="44"/>
      <c r="J17" s="44"/>
      <c r="K17" s="44"/>
      <c r="L17" s="44"/>
      <c r="M17" s="44">
        <f t="shared" si="1"/>
        <v>0.75</v>
      </c>
      <c r="N17" s="44">
        <f t="shared" si="2"/>
        <v>0</v>
      </c>
      <c r="O17" s="44">
        <f>IFERROR(__xludf.DUMMYFUNCTION("INT(FILTER(GT(F17,0),ISNUMBER(F17)))"),1.0)</f>
        <v>1</v>
      </c>
      <c r="P17" s="44">
        <f t="shared" si="3"/>
        <v>1</v>
      </c>
      <c r="Q17" s="44">
        <f>IFERROR(__xludf.DUMMYFUNCTION("INT(FILTER(EQ(E17,F17),ISNUMBER(E17),ISNUMBER(F17)))"),0.0)</f>
        <v>0</v>
      </c>
    </row>
    <row r="18">
      <c r="A18" s="38" t="s">
        <v>86</v>
      </c>
      <c r="B18" s="39" t="s">
        <v>87</v>
      </c>
      <c r="C18" s="40" t="s">
        <v>88</v>
      </c>
      <c r="D18" s="42" t="s">
        <v>4641</v>
      </c>
      <c r="E18" s="42">
        <v>2.0</v>
      </c>
      <c r="F18" s="42">
        <v>2.0</v>
      </c>
      <c r="G18" s="42">
        <v>0.0</v>
      </c>
      <c r="H18" s="43" t="s">
        <v>4630</v>
      </c>
      <c r="I18" s="44"/>
      <c r="J18" s="44"/>
      <c r="K18" s="44"/>
      <c r="L18" s="44"/>
      <c r="M18" s="44">
        <f t="shared" si="1"/>
        <v>1</v>
      </c>
      <c r="N18" s="44">
        <f t="shared" si="2"/>
        <v>0</v>
      </c>
      <c r="O18" s="44">
        <f>IFERROR(__xludf.DUMMYFUNCTION("INT(FILTER(GT(F18,0),ISNUMBER(F18)))"),1.0)</f>
        <v>1</v>
      </c>
      <c r="P18" s="44">
        <f t="shared" si="3"/>
        <v>1</v>
      </c>
      <c r="Q18" s="44">
        <f>IFERROR(__xludf.DUMMYFUNCTION("INT(FILTER(EQ(E18,F18),ISNUMBER(E18),ISNUMBER(F18)))"),1.0)</f>
        <v>1</v>
      </c>
    </row>
    <row r="19">
      <c r="A19" s="38" t="s">
        <v>90</v>
      </c>
      <c r="B19" s="39" t="s">
        <v>91</v>
      </c>
      <c r="C19" s="40" t="s">
        <v>92</v>
      </c>
      <c r="D19" s="42" t="s">
        <v>93</v>
      </c>
      <c r="E19" s="42">
        <v>2.0</v>
      </c>
      <c r="F19" s="42">
        <v>2.0</v>
      </c>
      <c r="G19" s="42">
        <v>0.0</v>
      </c>
      <c r="H19" s="43" t="s">
        <v>4630</v>
      </c>
      <c r="I19" s="44"/>
      <c r="J19" s="44"/>
      <c r="K19" s="44"/>
      <c r="L19" s="44"/>
      <c r="M19" s="44">
        <f t="shared" si="1"/>
        <v>1</v>
      </c>
      <c r="N19" s="44">
        <f t="shared" si="2"/>
        <v>0</v>
      </c>
      <c r="O19" s="44">
        <f>IFERROR(__xludf.DUMMYFUNCTION("INT(FILTER(GT(F19,0),ISNUMBER(F19)))"),1.0)</f>
        <v>1</v>
      </c>
      <c r="P19" s="44">
        <f t="shared" si="3"/>
        <v>1</v>
      </c>
      <c r="Q19" s="44">
        <f>IFERROR(__xludf.DUMMYFUNCTION("INT(FILTER(EQ(E19,F19),ISNUMBER(E19),ISNUMBER(F19)))"),1.0)</f>
        <v>1</v>
      </c>
    </row>
    <row r="20">
      <c r="A20" s="38" t="s">
        <v>94</v>
      </c>
      <c r="B20" s="39" t="s">
        <v>95</v>
      </c>
      <c r="C20" s="45" t="s">
        <v>96</v>
      </c>
      <c r="D20" s="41" t="s">
        <v>97</v>
      </c>
      <c r="E20" s="42">
        <v>1.0</v>
      </c>
      <c r="F20" s="42">
        <v>1.0</v>
      </c>
      <c r="G20" s="42">
        <v>0.0</v>
      </c>
      <c r="H20" s="43" t="s">
        <v>4630</v>
      </c>
      <c r="I20" s="44"/>
      <c r="J20" s="44"/>
      <c r="K20" s="44"/>
      <c r="L20" s="44"/>
      <c r="M20" s="44">
        <f t="shared" si="1"/>
        <v>1</v>
      </c>
      <c r="N20" s="44">
        <f t="shared" si="2"/>
        <v>0</v>
      </c>
      <c r="O20" s="44">
        <f>IFERROR(__xludf.DUMMYFUNCTION("INT(FILTER(GT(F20,0),ISNUMBER(F20)))"),1.0)</f>
        <v>1</v>
      </c>
      <c r="P20" s="44">
        <f t="shared" si="3"/>
        <v>1</v>
      </c>
      <c r="Q20" s="44">
        <f>IFERROR(__xludf.DUMMYFUNCTION("INT(FILTER(EQ(E20,F20),ISNUMBER(E20),ISNUMBER(F20)))"),1.0)</f>
        <v>1</v>
      </c>
    </row>
    <row r="21">
      <c r="A21" s="38" t="s">
        <v>98</v>
      </c>
      <c r="B21" s="39" t="s">
        <v>99</v>
      </c>
      <c r="C21" s="40" t="s">
        <v>100</v>
      </c>
      <c r="D21" s="42" t="s">
        <v>4642</v>
      </c>
      <c r="E21" s="42">
        <v>5.0</v>
      </c>
      <c r="F21" s="42">
        <v>4.0</v>
      </c>
      <c r="G21" s="42">
        <v>0.0</v>
      </c>
      <c r="H21" s="43" t="s">
        <v>4630</v>
      </c>
      <c r="I21" s="44"/>
      <c r="J21" s="44"/>
      <c r="K21" s="44"/>
      <c r="L21" s="44"/>
      <c r="M21" s="44">
        <f t="shared" si="1"/>
        <v>0.8</v>
      </c>
      <c r="N21" s="44">
        <f t="shared" si="2"/>
        <v>0</v>
      </c>
      <c r="O21" s="44">
        <f>IFERROR(__xludf.DUMMYFUNCTION("INT(FILTER(GT(F21,0),ISNUMBER(F21)))"),1.0)</f>
        <v>1</v>
      </c>
      <c r="P21" s="44">
        <f t="shared" si="3"/>
        <v>1</v>
      </c>
      <c r="Q21" s="44">
        <f>IFERROR(__xludf.DUMMYFUNCTION("INT(FILTER(EQ(E21,F21),ISNUMBER(E21),ISNUMBER(F21)))"),0.0)</f>
        <v>0</v>
      </c>
    </row>
    <row r="22">
      <c r="A22" s="38" t="s">
        <v>102</v>
      </c>
      <c r="B22" s="39" t="s">
        <v>103</v>
      </c>
      <c r="C22" s="40" t="s">
        <v>104</v>
      </c>
      <c r="D22" s="42" t="s">
        <v>105</v>
      </c>
      <c r="E22" s="42">
        <v>2.0</v>
      </c>
      <c r="F22" s="42">
        <v>2.0</v>
      </c>
      <c r="G22" s="42">
        <v>0.0</v>
      </c>
      <c r="H22" s="43" t="s">
        <v>4630</v>
      </c>
      <c r="I22" s="44"/>
      <c r="J22" s="44"/>
      <c r="K22" s="44"/>
      <c r="L22" s="44"/>
      <c r="M22" s="44">
        <f t="shared" si="1"/>
        <v>1</v>
      </c>
      <c r="N22" s="44">
        <f t="shared" si="2"/>
        <v>0</v>
      </c>
      <c r="O22" s="44">
        <f>IFERROR(__xludf.DUMMYFUNCTION("INT(FILTER(GT(F22,0),ISNUMBER(F22)))"),1.0)</f>
        <v>1</v>
      </c>
      <c r="P22" s="44">
        <f t="shared" si="3"/>
        <v>1</v>
      </c>
      <c r="Q22" s="44">
        <f>IFERROR(__xludf.DUMMYFUNCTION("INT(FILTER(EQ(E22,F22),ISNUMBER(E22),ISNUMBER(F22)))"),1.0)</f>
        <v>1</v>
      </c>
    </row>
    <row r="23">
      <c r="A23" s="38" t="s">
        <v>106</v>
      </c>
      <c r="B23" s="39" t="s">
        <v>107</v>
      </c>
      <c r="C23" s="40" t="s">
        <v>108</v>
      </c>
      <c r="D23" s="42" t="s">
        <v>4643</v>
      </c>
      <c r="E23" s="42">
        <v>3.0</v>
      </c>
      <c r="F23" s="42">
        <v>3.0</v>
      </c>
      <c r="G23" s="42">
        <v>0.0</v>
      </c>
      <c r="H23" s="43" t="s">
        <v>4630</v>
      </c>
      <c r="I23" s="44"/>
      <c r="J23" s="44"/>
      <c r="K23" s="44"/>
      <c r="L23" s="44"/>
      <c r="M23" s="44">
        <f t="shared" si="1"/>
        <v>1</v>
      </c>
      <c r="N23" s="44">
        <f t="shared" si="2"/>
        <v>0</v>
      </c>
      <c r="O23" s="44">
        <f>IFERROR(__xludf.DUMMYFUNCTION("INT(FILTER(GT(F23,0),ISNUMBER(F23)))"),1.0)</f>
        <v>1</v>
      </c>
      <c r="P23" s="44">
        <f t="shared" si="3"/>
        <v>1</v>
      </c>
      <c r="Q23" s="44">
        <f>IFERROR(__xludf.DUMMYFUNCTION("INT(FILTER(EQ(E23,F23),ISNUMBER(E23),ISNUMBER(F23)))"),1.0)</f>
        <v>1</v>
      </c>
    </row>
    <row r="24">
      <c r="A24" s="38" t="s">
        <v>110</v>
      </c>
      <c r="B24" s="39" t="s">
        <v>111</v>
      </c>
      <c r="C24" s="40" t="s">
        <v>991</v>
      </c>
      <c r="D24" s="41" t="s">
        <v>113</v>
      </c>
      <c r="E24" s="42">
        <v>3.0</v>
      </c>
      <c r="F24" s="42">
        <v>1.0</v>
      </c>
      <c r="G24" s="42">
        <v>0.0</v>
      </c>
      <c r="H24" s="43" t="s">
        <v>4630</v>
      </c>
      <c r="I24" s="44"/>
      <c r="J24" s="44"/>
      <c r="K24" s="44"/>
      <c r="L24" s="44"/>
      <c r="M24" s="44">
        <f t="shared" si="1"/>
        <v>0.3333333333</v>
      </c>
      <c r="N24" s="44">
        <f t="shared" si="2"/>
        <v>0</v>
      </c>
      <c r="O24" s="44">
        <f>IFERROR(__xludf.DUMMYFUNCTION("INT(FILTER(GT(F24,0),ISNUMBER(F24)))"),1.0)</f>
        <v>1</v>
      </c>
      <c r="P24" s="44">
        <f t="shared" si="3"/>
        <v>1</v>
      </c>
      <c r="Q24" s="44">
        <f>IFERROR(__xludf.DUMMYFUNCTION("INT(FILTER(EQ(E24,F24),ISNUMBER(E24),ISNUMBER(F24)))"),0.0)</f>
        <v>0</v>
      </c>
    </row>
    <row r="25">
      <c r="A25" s="38" t="s">
        <v>114</v>
      </c>
      <c r="B25" s="39" t="s">
        <v>115</v>
      </c>
      <c r="C25" s="40" t="s">
        <v>1048</v>
      </c>
      <c r="D25" s="41" t="s">
        <v>117</v>
      </c>
      <c r="E25" s="42">
        <v>2.0</v>
      </c>
      <c r="F25" s="42">
        <v>1.0</v>
      </c>
      <c r="G25" s="42">
        <v>0.0</v>
      </c>
      <c r="H25" s="43" t="s">
        <v>4630</v>
      </c>
      <c r="I25" s="44"/>
      <c r="J25" s="44"/>
      <c r="K25" s="44"/>
      <c r="L25" s="44"/>
      <c r="M25" s="44">
        <f t="shared" si="1"/>
        <v>0.5</v>
      </c>
      <c r="N25" s="44">
        <f t="shared" si="2"/>
        <v>0</v>
      </c>
      <c r="O25" s="44">
        <f>IFERROR(__xludf.DUMMYFUNCTION("INT(FILTER(GT(F25,0),ISNUMBER(F25)))"),1.0)</f>
        <v>1</v>
      </c>
      <c r="P25" s="44">
        <f t="shared" si="3"/>
        <v>1</v>
      </c>
      <c r="Q25" s="44">
        <f>IFERROR(__xludf.DUMMYFUNCTION("INT(FILTER(EQ(E25,F25),ISNUMBER(E25),ISNUMBER(F25)))"),0.0)</f>
        <v>0</v>
      </c>
    </row>
    <row r="26">
      <c r="A26" s="38" t="s">
        <v>118</v>
      </c>
      <c r="B26" s="39" t="s">
        <v>119</v>
      </c>
      <c r="C26" s="40" t="s">
        <v>4644</v>
      </c>
      <c r="D26" s="41" t="s">
        <v>121</v>
      </c>
      <c r="E26" s="42">
        <v>2.0</v>
      </c>
      <c r="F26" s="42">
        <v>1.0</v>
      </c>
      <c r="G26" s="42">
        <v>0.0</v>
      </c>
      <c r="H26" s="43" t="s">
        <v>4630</v>
      </c>
      <c r="I26" s="44"/>
      <c r="J26" s="44"/>
      <c r="K26" s="44"/>
      <c r="L26" s="44"/>
      <c r="M26" s="44">
        <f t="shared" si="1"/>
        <v>0.5</v>
      </c>
      <c r="N26" s="44">
        <f t="shared" si="2"/>
        <v>0</v>
      </c>
      <c r="O26" s="44">
        <f>IFERROR(__xludf.DUMMYFUNCTION("INT(FILTER(GT(F26,0),ISNUMBER(F26)))"),1.0)</f>
        <v>1</v>
      </c>
      <c r="P26" s="44">
        <f t="shared" si="3"/>
        <v>1</v>
      </c>
      <c r="Q26" s="44">
        <f>IFERROR(__xludf.DUMMYFUNCTION("INT(FILTER(EQ(E26,F26),ISNUMBER(E26),ISNUMBER(F26)))"),0.0)</f>
        <v>0</v>
      </c>
    </row>
    <row r="27">
      <c r="A27" s="38" t="s">
        <v>122</v>
      </c>
      <c r="B27" s="39" t="s">
        <v>123</v>
      </c>
      <c r="C27" s="40" t="s">
        <v>124</v>
      </c>
      <c r="D27" s="42" t="s">
        <v>125</v>
      </c>
      <c r="E27" s="42">
        <v>2.0</v>
      </c>
      <c r="F27" s="42">
        <v>1.0</v>
      </c>
      <c r="G27" s="42">
        <v>0.0</v>
      </c>
      <c r="H27" s="43" t="s">
        <v>4630</v>
      </c>
      <c r="I27" s="44"/>
      <c r="J27" s="44"/>
      <c r="K27" s="44"/>
      <c r="L27" s="44"/>
      <c r="M27" s="44">
        <f t="shared" si="1"/>
        <v>0.5</v>
      </c>
      <c r="N27" s="44">
        <f t="shared" si="2"/>
        <v>0</v>
      </c>
      <c r="O27" s="44">
        <f>IFERROR(__xludf.DUMMYFUNCTION("INT(FILTER(GT(F27,0),ISNUMBER(F27)))"),1.0)</f>
        <v>1</v>
      </c>
      <c r="P27" s="44">
        <f t="shared" si="3"/>
        <v>1</v>
      </c>
      <c r="Q27" s="44">
        <f>IFERROR(__xludf.DUMMYFUNCTION("INT(FILTER(EQ(E27,F27),ISNUMBER(E27),ISNUMBER(F27)))"),0.0)</f>
        <v>0</v>
      </c>
    </row>
    <row r="28">
      <c r="A28" s="38" t="s">
        <v>126</v>
      </c>
      <c r="B28" s="39" t="s">
        <v>127</v>
      </c>
      <c r="C28" s="40" t="s">
        <v>4645</v>
      </c>
      <c r="D28" s="42" t="s">
        <v>129</v>
      </c>
      <c r="E28" s="42">
        <v>2.0</v>
      </c>
      <c r="F28" s="42">
        <v>2.0</v>
      </c>
      <c r="G28" s="42">
        <v>0.0</v>
      </c>
      <c r="H28" s="43" t="s">
        <v>4630</v>
      </c>
      <c r="I28" s="44"/>
      <c r="J28" s="44"/>
      <c r="K28" s="44"/>
      <c r="L28" s="44"/>
      <c r="M28" s="44">
        <f t="shared" si="1"/>
        <v>1</v>
      </c>
      <c r="N28" s="44">
        <f t="shared" si="2"/>
        <v>0</v>
      </c>
      <c r="O28" s="44">
        <f>IFERROR(__xludf.DUMMYFUNCTION("INT(FILTER(GT(F28,0),ISNUMBER(F28)))"),1.0)</f>
        <v>1</v>
      </c>
      <c r="P28" s="44">
        <f t="shared" si="3"/>
        <v>1</v>
      </c>
      <c r="Q28" s="44">
        <f>IFERROR(__xludf.DUMMYFUNCTION("INT(FILTER(EQ(E28,F28),ISNUMBER(E28),ISNUMBER(F28)))"),1.0)</f>
        <v>1</v>
      </c>
    </row>
    <row r="29">
      <c r="A29" s="38" t="s">
        <v>130</v>
      </c>
      <c r="B29" s="39" t="s">
        <v>131</v>
      </c>
      <c r="C29" s="40" t="s">
        <v>132</v>
      </c>
      <c r="D29" s="42" t="s">
        <v>133</v>
      </c>
      <c r="E29" s="42">
        <v>2.0</v>
      </c>
      <c r="F29" s="42">
        <v>2.0</v>
      </c>
      <c r="G29" s="42">
        <v>0.0</v>
      </c>
      <c r="H29" s="43" t="s">
        <v>4630</v>
      </c>
      <c r="I29" s="44"/>
      <c r="J29" s="44"/>
      <c r="K29" s="44"/>
      <c r="L29" s="44"/>
      <c r="M29" s="44">
        <f t="shared" si="1"/>
        <v>1</v>
      </c>
      <c r="N29" s="44">
        <f t="shared" si="2"/>
        <v>0</v>
      </c>
      <c r="O29" s="44">
        <f>IFERROR(__xludf.DUMMYFUNCTION("INT(FILTER(GT(F29,0),ISNUMBER(F29)))"),1.0)</f>
        <v>1</v>
      </c>
      <c r="P29" s="44">
        <f t="shared" si="3"/>
        <v>1</v>
      </c>
      <c r="Q29" s="44">
        <f>IFERROR(__xludf.DUMMYFUNCTION("INT(FILTER(EQ(E29,F29),ISNUMBER(E29),ISNUMBER(F29)))"),1.0)</f>
        <v>1</v>
      </c>
    </row>
    <row r="30">
      <c r="A30" s="38" t="s">
        <v>134</v>
      </c>
      <c r="B30" s="39" t="s">
        <v>135</v>
      </c>
      <c r="C30" s="40" t="s">
        <v>268</v>
      </c>
      <c r="D30" s="41" t="s">
        <v>137</v>
      </c>
      <c r="E30" s="42">
        <v>2.0</v>
      </c>
      <c r="F30" s="42">
        <v>1.0</v>
      </c>
      <c r="G30" s="42">
        <v>0.0</v>
      </c>
      <c r="H30" s="43" t="s">
        <v>4630</v>
      </c>
      <c r="I30" s="44"/>
      <c r="J30" s="44"/>
      <c r="K30" s="44"/>
      <c r="L30" s="44"/>
      <c r="M30" s="44">
        <f t="shared" si="1"/>
        <v>0.5</v>
      </c>
      <c r="N30" s="44">
        <f t="shared" si="2"/>
        <v>0</v>
      </c>
      <c r="O30" s="44">
        <f>IFERROR(__xludf.DUMMYFUNCTION("INT(FILTER(GT(F30,0),ISNUMBER(F30)))"),1.0)</f>
        <v>1</v>
      </c>
      <c r="P30" s="44">
        <f t="shared" si="3"/>
        <v>1</v>
      </c>
      <c r="Q30" s="44">
        <f>IFERROR(__xludf.DUMMYFUNCTION("INT(FILTER(EQ(E30,F30),ISNUMBER(E30),ISNUMBER(F30)))"),0.0)</f>
        <v>0</v>
      </c>
    </row>
    <row r="31">
      <c r="A31" s="38" t="s">
        <v>138</v>
      </c>
      <c r="B31" s="39" t="s">
        <v>139</v>
      </c>
      <c r="C31" s="40" t="s">
        <v>140</v>
      </c>
      <c r="D31" s="41" t="s">
        <v>141</v>
      </c>
      <c r="E31" s="42">
        <v>1.0</v>
      </c>
      <c r="F31" s="42">
        <v>1.0</v>
      </c>
      <c r="G31" s="42">
        <v>0.0</v>
      </c>
      <c r="H31" s="43" t="s">
        <v>4630</v>
      </c>
      <c r="I31" s="44"/>
      <c r="J31" s="44"/>
      <c r="K31" s="44"/>
      <c r="L31" s="44"/>
      <c r="M31" s="44">
        <f t="shared" si="1"/>
        <v>1</v>
      </c>
      <c r="N31" s="44">
        <f t="shared" si="2"/>
        <v>0</v>
      </c>
      <c r="O31" s="44">
        <f>IFERROR(__xludf.DUMMYFUNCTION("INT(FILTER(GT(F31,0),ISNUMBER(F31)))"),1.0)</f>
        <v>1</v>
      </c>
      <c r="P31" s="44">
        <f t="shared" si="3"/>
        <v>1</v>
      </c>
      <c r="Q31" s="44">
        <f>IFERROR(__xludf.DUMMYFUNCTION("INT(FILTER(EQ(E31,F31),ISNUMBER(E31),ISNUMBER(F31)))"),1.0)</f>
        <v>1</v>
      </c>
    </row>
    <row r="32">
      <c r="A32" s="38" t="s">
        <v>142</v>
      </c>
      <c r="B32" s="39" t="s">
        <v>143</v>
      </c>
      <c r="C32" s="40" t="s">
        <v>144</v>
      </c>
      <c r="D32" s="41" t="s">
        <v>145</v>
      </c>
      <c r="E32" s="42">
        <v>1.0</v>
      </c>
      <c r="F32" s="42">
        <v>1.0</v>
      </c>
      <c r="G32" s="42">
        <v>0.0</v>
      </c>
      <c r="H32" s="43" t="s">
        <v>4630</v>
      </c>
      <c r="I32" s="44"/>
      <c r="J32" s="44"/>
      <c r="K32" s="44"/>
      <c r="L32" s="44"/>
      <c r="M32" s="44">
        <f t="shared" si="1"/>
        <v>1</v>
      </c>
      <c r="N32" s="44">
        <f t="shared" si="2"/>
        <v>0</v>
      </c>
      <c r="O32" s="44">
        <f>IFERROR(__xludf.DUMMYFUNCTION("INT(FILTER(GT(F32,0),ISNUMBER(F32)))"),1.0)</f>
        <v>1</v>
      </c>
      <c r="P32" s="44">
        <f t="shared" si="3"/>
        <v>1</v>
      </c>
      <c r="Q32" s="44">
        <f>IFERROR(__xludf.DUMMYFUNCTION("INT(FILTER(EQ(E32,F32),ISNUMBER(E32),ISNUMBER(F32)))"),1.0)</f>
        <v>1</v>
      </c>
    </row>
    <row r="33">
      <c r="A33" s="38" t="s">
        <v>146</v>
      </c>
      <c r="B33" s="39" t="s">
        <v>147</v>
      </c>
      <c r="C33" s="40" t="s">
        <v>148</v>
      </c>
      <c r="D33" s="41" t="s">
        <v>149</v>
      </c>
      <c r="E33" s="42">
        <v>1.0</v>
      </c>
      <c r="F33" s="42">
        <v>1.0</v>
      </c>
      <c r="G33" s="42">
        <v>0.0</v>
      </c>
      <c r="H33" s="43" t="s">
        <v>4630</v>
      </c>
      <c r="I33" s="44"/>
      <c r="J33" s="44"/>
      <c r="K33" s="44"/>
      <c r="L33" s="44"/>
      <c r="M33" s="44">
        <f t="shared" si="1"/>
        <v>1</v>
      </c>
      <c r="N33" s="44">
        <f t="shared" si="2"/>
        <v>0</v>
      </c>
      <c r="O33" s="44">
        <f>IFERROR(__xludf.DUMMYFUNCTION("INT(FILTER(GT(F33,0),ISNUMBER(F33)))"),1.0)</f>
        <v>1</v>
      </c>
      <c r="P33" s="44">
        <f t="shared" si="3"/>
        <v>1</v>
      </c>
      <c r="Q33" s="44">
        <f>IFERROR(__xludf.DUMMYFUNCTION("INT(FILTER(EQ(E33,F33),ISNUMBER(E33),ISNUMBER(F33)))"),1.0)</f>
        <v>1</v>
      </c>
    </row>
    <row r="34">
      <c r="A34" s="38" t="s">
        <v>150</v>
      </c>
      <c r="B34" s="39" t="s">
        <v>151</v>
      </c>
      <c r="C34" s="40" t="s">
        <v>4646</v>
      </c>
      <c r="D34" s="42" t="s">
        <v>4647</v>
      </c>
      <c r="E34" s="42">
        <v>6.0</v>
      </c>
      <c r="F34" s="42">
        <v>4.0</v>
      </c>
      <c r="G34" s="42">
        <v>0.0</v>
      </c>
      <c r="H34" s="43" t="s">
        <v>4630</v>
      </c>
      <c r="I34" s="44"/>
      <c r="J34" s="44"/>
      <c r="K34" s="44"/>
      <c r="L34" s="44"/>
      <c r="M34" s="44">
        <f t="shared" si="1"/>
        <v>0.6666666667</v>
      </c>
      <c r="N34" s="44">
        <f t="shared" si="2"/>
        <v>0</v>
      </c>
      <c r="O34" s="44">
        <f>IFERROR(__xludf.DUMMYFUNCTION("INT(FILTER(GT(F34,0),ISNUMBER(F34)))"),1.0)</f>
        <v>1</v>
      </c>
      <c r="P34" s="44">
        <f t="shared" si="3"/>
        <v>1</v>
      </c>
      <c r="Q34" s="44">
        <f>IFERROR(__xludf.DUMMYFUNCTION("INT(FILTER(EQ(E34,F34),ISNUMBER(E34),ISNUMBER(F34)))"),0.0)</f>
        <v>0</v>
      </c>
    </row>
    <row r="35">
      <c r="A35" s="38" t="s">
        <v>154</v>
      </c>
      <c r="B35" s="39" t="s">
        <v>155</v>
      </c>
      <c r="C35" s="40" t="s">
        <v>268</v>
      </c>
      <c r="D35" s="46" t="s">
        <v>137</v>
      </c>
      <c r="E35" s="42">
        <v>3.0</v>
      </c>
      <c r="F35" s="42">
        <v>1.0</v>
      </c>
      <c r="G35" s="42">
        <v>0.0</v>
      </c>
      <c r="H35" s="43" t="s">
        <v>4630</v>
      </c>
      <c r="I35" s="44"/>
      <c r="J35" s="44"/>
      <c r="K35" s="44"/>
      <c r="L35" s="44"/>
      <c r="M35" s="44">
        <f t="shared" si="1"/>
        <v>0.3333333333</v>
      </c>
      <c r="N35" s="44">
        <f t="shared" si="2"/>
        <v>0</v>
      </c>
      <c r="O35" s="44">
        <f>IFERROR(__xludf.DUMMYFUNCTION("INT(FILTER(GT(F35,0),ISNUMBER(F35)))"),1.0)</f>
        <v>1</v>
      </c>
      <c r="P35" s="44">
        <f t="shared" si="3"/>
        <v>1</v>
      </c>
      <c r="Q35" s="44">
        <f>IFERROR(__xludf.DUMMYFUNCTION("INT(FILTER(EQ(E35,F35),ISNUMBER(E35),ISNUMBER(F35)))"),0.0)</f>
        <v>0</v>
      </c>
    </row>
    <row r="36">
      <c r="A36" s="38" t="s">
        <v>158</v>
      </c>
      <c r="B36" s="39" t="s">
        <v>159</v>
      </c>
      <c r="C36" s="40" t="s">
        <v>160</v>
      </c>
      <c r="D36" s="42" t="s">
        <v>161</v>
      </c>
      <c r="E36" s="42">
        <v>2.0</v>
      </c>
      <c r="F36" s="42">
        <v>2.0</v>
      </c>
      <c r="G36" s="42">
        <v>0.0</v>
      </c>
      <c r="H36" s="43" t="s">
        <v>4630</v>
      </c>
      <c r="I36" s="44"/>
      <c r="J36" s="44"/>
      <c r="K36" s="44"/>
      <c r="L36" s="44"/>
      <c r="M36" s="44">
        <f t="shared" si="1"/>
        <v>1</v>
      </c>
      <c r="N36" s="44">
        <f t="shared" si="2"/>
        <v>0</v>
      </c>
      <c r="O36" s="44">
        <f>IFERROR(__xludf.DUMMYFUNCTION("INT(FILTER(GT(F36,0),ISNUMBER(F36)))"),1.0)</f>
        <v>1</v>
      </c>
      <c r="P36" s="44">
        <f t="shared" si="3"/>
        <v>1</v>
      </c>
      <c r="Q36" s="44">
        <f>IFERROR(__xludf.DUMMYFUNCTION("INT(FILTER(EQ(E36,F36),ISNUMBER(E36),ISNUMBER(F36)))"),1.0)</f>
        <v>1</v>
      </c>
    </row>
    <row r="37">
      <c r="A37" s="38" t="s">
        <v>162</v>
      </c>
      <c r="B37" s="39" t="s">
        <v>163</v>
      </c>
      <c r="C37" s="40" t="s">
        <v>164</v>
      </c>
      <c r="D37" s="41" t="s">
        <v>165</v>
      </c>
      <c r="E37" s="42">
        <v>1.0</v>
      </c>
      <c r="F37" s="42">
        <v>1.0</v>
      </c>
      <c r="G37" s="42">
        <v>0.0</v>
      </c>
      <c r="H37" s="43" t="s">
        <v>4630</v>
      </c>
      <c r="I37" s="44"/>
      <c r="J37" s="44"/>
      <c r="K37" s="44"/>
      <c r="L37" s="44"/>
      <c r="M37" s="44">
        <f t="shared" si="1"/>
        <v>1</v>
      </c>
      <c r="N37" s="44">
        <f t="shared" si="2"/>
        <v>0</v>
      </c>
      <c r="O37" s="44">
        <f>IFERROR(__xludf.DUMMYFUNCTION("INT(FILTER(GT(F37,0),ISNUMBER(F37)))"),1.0)</f>
        <v>1</v>
      </c>
      <c r="P37" s="44">
        <f t="shared" si="3"/>
        <v>1</v>
      </c>
      <c r="Q37" s="44">
        <f>IFERROR(__xludf.DUMMYFUNCTION("INT(FILTER(EQ(E37,F37),ISNUMBER(E37),ISNUMBER(F37)))"),1.0)</f>
        <v>1</v>
      </c>
    </row>
    <row r="38">
      <c r="A38" s="38" t="s">
        <v>166</v>
      </c>
      <c r="B38" s="39" t="s">
        <v>167</v>
      </c>
      <c r="C38" s="40" t="s">
        <v>4648</v>
      </c>
      <c r="D38" s="41" t="s">
        <v>169</v>
      </c>
      <c r="E38" s="42">
        <v>2.0</v>
      </c>
      <c r="F38" s="42">
        <v>1.0</v>
      </c>
      <c r="G38" s="42">
        <v>0.0</v>
      </c>
      <c r="H38" s="43" t="s">
        <v>4630</v>
      </c>
      <c r="I38" s="44"/>
      <c r="J38" s="44"/>
      <c r="K38" s="44"/>
      <c r="L38" s="44"/>
      <c r="M38" s="44">
        <f t="shared" si="1"/>
        <v>0.5</v>
      </c>
      <c r="N38" s="44">
        <f t="shared" si="2"/>
        <v>0</v>
      </c>
      <c r="O38" s="44">
        <f>IFERROR(__xludf.DUMMYFUNCTION("INT(FILTER(GT(F38,0),ISNUMBER(F38)))"),1.0)</f>
        <v>1</v>
      </c>
      <c r="P38" s="44">
        <f t="shared" si="3"/>
        <v>1</v>
      </c>
      <c r="Q38" s="44">
        <f>IFERROR(__xludf.DUMMYFUNCTION("INT(FILTER(EQ(E38,F38),ISNUMBER(E38),ISNUMBER(F38)))"),0.0)</f>
        <v>0</v>
      </c>
    </row>
    <row r="39">
      <c r="A39" s="38" t="s">
        <v>170</v>
      </c>
      <c r="B39" s="39" t="s">
        <v>171</v>
      </c>
      <c r="C39" s="40" t="s">
        <v>172</v>
      </c>
      <c r="D39" s="41" t="s">
        <v>173</v>
      </c>
      <c r="E39" s="42">
        <v>1.0</v>
      </c>
      <c r="F39" s="42">
        <v>1.0</v>
      </c>
      <c r="G39" s="42">
        <v>0.0</v>
      </c>
      <c r="H39" s="43" t="s">
        <v>4630</v>
      </c>
      <c r="I39" s="44"/>
      <c r="J39" s="44"/>
      <c r="K39" s="44"/>
      <c r="L39" s="44"/>
      <c r="M39" s="44">
        <f t="shared" si="1"/>
        <v>1</v>
      </c>
      <c r="N39" s="44">
        <f t="shared" si="2"/>
        <v>0</v>
      </c>
      <c r="O39" s="44">
        <f>IFERROR(__xludf.DUMMYFUNCTION("INT(FILTER(GT(F39,0),ISNUMBER(F39)))"),1.0)</f>
        <v>1</v>
      </c>
      <c r="P39" s="44">
        <f t="shared" si="3"/>
        <v>1</v>
      </c>
      <c r="Q39" s="44">
        <f>IFERROR(__xludf.DUMMYFUNCTION("INT(FILTER(EQ(E39,F39),ISNUMBER(E39),ISNUMBER(F39)))"),1.0)</f>
        <v>1</v>
      </c>
    </row>
    <row r="40">
      <c r="A40" s="38" t="s">
        <v>174</v>
      </c>
      <c r="B40" s="39" t="s">
        <v>175</v>
      </c>
      <c r="C40" s="40" t="s">
        <v>1485</v>
      </c>
      <c r="D40" s="41" t="s">
        <v>284</v>
      </c>
      <c r="E40" s="42">
        <v>1.0</v>
      </c>
      <c r="F40" s="42">
        <v>1.0</v>
      </c>
      <c r="G40" s="42">
        <v>0.0</v>
      </c>
      <c r="H40" s="43" t="s">
        <v>4630</v>
      </c>
      <c r="I40" s="44"/>
      <c r="J40" s="44"/>
      <c r="K40" s="44"/>
      <c r="L40" s="44"/>
      <c r="M40" s="44">
        <f t="shared" si="1"/>
        <v>1</v>
      </c>
      <c r="N40" s="44">
        <f t="shared" si="2"/>
        <v>0</v>
      </c>
      <c r="O40" s="44">
        <f>IFERROR(__xludf.DUMMYFUNCTION("INT(FILTER(GT(F40,0),ISNUMBER(F40)))"),1.0)</f>
        <v>1</v>
      </c>
      <c r="P40" s="44">
        <f t="shared" si="3"/>
        <v>1</v>
      </c>
      <c r="Q40" s="44">
        <f>IFERROR(__xludf.DUMMYFUNCTION("INT(FILTER(EQ(E40,F40),ISNUMBER(E40),ISNUMBER(F40)))"),1.0)</f>
        <v>1</v>
      </c>
    </row>
    <row r="41">
      <c r="A41" s="38" t="s">
        <v>178</v>
      </c>
      <c r="B41" s="39" t="s">
        <v>179</v>
      </c>
      <c r="C41" s="40" t="s">
        <v>180</v>
      </c>
      <c r="D41" s="42" t="s">
        <v>181</v>
      </c>
      <c r="E41" s="42">
        <v>1.0</v>
      </c>
      <c r="F41" s="42">
        <v>1.0</v>
      </c>
      <c r="G41" s="42">
        <v>0.0</v>
      </c>
      <c r="H41" s="43" t="s">
        <v>4630</v>
      </c>
      <c r="I41" s="44"/>
      <c r="J41" s="44"/>
      <c r="K41" s="44"/>
      <c r="L41" s="44"/>
      <c r="M41" s="44">
        <f t="shared" si="1"/>
        <v>1</v>
      </c>
      <c r="N41" s="44">
        <f t="shared" si="2"/>
        <v>0</v>
      </c>
      <c r="O41" s="44">
        <f>IFERROR(__xludf.DUMMYFUNCTION("INT(FILTER(GT(F41,0),ISNUMBER(F41)))"),1.0)</f>
        <v>1</v>
      </c>
      <c r="P41" s="44">
        <f t="shared" si="3"/>
        <v>1</v>
      </c>
      <c r="Q41" s="44">
        <f>IFERROR(__xludf.DUMMYFUNCTION("INT(FILTER(EQ(E41,F41),ISNUMBER(E41),ISNUMBER(F41)))"),1.0)</f>
        <v>1</v>
      </c>
    </row>
    <row r="42">
      <c r="A42" s="38" t="s">
        <v>182</v>
      </c>
      <c r="B42" s="39" t="s">
        <v>183</v>
      </c>
      <c r="C42" s="40" t="s">
        <v>184</v>
      </c>
      <c r="D42" s="41" t="s">
        <v>185</v>
      </c>
      <c r="E42" s="42">
        <v>1.0</v>
      </c>
      <c r="F42" s="42">
        <v>1.0</v>
      </c>
      <c r="G42" s="42">
        <v>0.0</v>
      </c>
      <c r="H42" s="43" t="s">
        <v>4630</v>
      </c>
      <c r="I42" s="44"/>
      <c r="J42" s="44"/>
      <c r="K42" s="44"/>
      <c r="L42" s="44"/>
      <c r="M42" s="44">
        <f t="shared" si="1"/>
        <v>1</v>
      </c>
      <c r="N42" s="44">
        <f t="shared" si="2"/>
        <v>0</v>
      </c>
      <c r="O42" s="44">
        <f>IFERROR(__xludf.DUMMYFUNCTION("INT(FILTER(GT(F42,0),ISNUMBER(F42)))"),1.0)</f>
        <v>1</v>
      </c>
      <c r="P42" s="44">
        <f t="shared" si="3"/>
        <v>1</v>
      </c>
      <c r="Q42" s="44">
        <f>IFERROR(__xludf.DUMMYFUNCTION("INT(FILTER(EQ(E42,F42),ISNUMBER(E42),ISNUMBER(F42)))"),1.0)</f>
        <v>1</v>
      </c>
    </row>
    <row r="43">
      <c r="A43" s="38" t="s">
        <v>186</v>
      </c>
      <c r="B43" s="39" t="s">
        <v>187</v>
      </c>
      <c r="C43" s="40" t="s">
        <v>188</v>
      </c>
      <c r="D43" s="42" t="s">
        <v>189</v>
      </c>
      <c r="E43" s="42">
        <v>3.0</v>
      </c>
      <c r="F43" s="42">
        <v>3.0</v>
      </c>
      <c r="G43" s="42">
        <v>0.0</v>
      </c>
      <c r="H43" s="43" t="s">
        <v>4630</v>
      </c>
      <c r="I43" s="44"/>
      <c r="J43" s="44"/>
      <c r="K43" s="44"/>
      <c r="L43" s="44"/>
      <c r="M43" s="44">
        <f t="shared" si="1"/>
        <v>1</v>
      </c>
      <c r="N43" s="44">
        <f t="shared" si="2"/>
        <v>0</v>
      </c>
      <c r="O43" s="44">
        <f>IFERROR(__xludf.DUMMYFUNCTION("INT(FILTER(GT(F43,0),ISNUMBER(F43)))"),1.0)</f>
        <v>1</v>
      </c>
      <c r="P43" s="44">
        <f t="shared" si="3"/>
        <v>1</v>
      </c>
      <c r="Q43" s="44">
        <f>IFERROR(__xludf.DUMMYFUNCTION("INT(FILTER(EQ(E43,F43),ISNUMBER(E43),ISNUMBER(F43)))"),1.0)</f>
        <v>1</v>
      </c>
    </row>
    <row r="44">
      <c r="A44" s="38" t="s">
        <v>190</v>
      </c>
      <c r="B44" s="39" t="s">
        <v>191</v>
      </c>
      <c r="C44" s="40" t="s">
        <v>4649</v>
      </c>
      <c r="D44" s="41" t="s">
        <v>193</v>
      </c>
      <c r="E44" s="42">
        <v>2.0</v>
      </c>
      <c r="F44" s="42">
        <v>1.0</v>
      </c>
      <c r="G44" s="42">
        <v>0.0</v>
      </c>
      <c r="H44" s="43" t="s">
        <v>4630</v>
      </c>
      <c r="I44" s="44"/>
      <c r="J44" s="44"/>
      <c r="K44" s="44"/>
      <c r="L44" s="44"/>
      <c r="M44" s="44">
        <f t="shared" si="1"/>
        <v>0.5</v>
      </c>
      <c r="N44" s="44">
        <f t="shared" si="2"/>
        <v>0</v>
      </c>
      <c r="O44" s="44">
        <f>IFERROR(__xludf.DUMMYFUNCTION("INT(FILTER(GT(F44,0),ISNUMBER(F44)))"),1.0)</f>
        <v>1</v>
      </c>
      <c r="P44" s="44">
        <f t="shared" si="3"/>
        <v>1</v>
      </c>
      <c r="Q44" s="44">
        <f>IFERROR(__xludf.DUMMYFUNCTION("INT(FILTER(EQ(E44,F44),ISNUMBER(E44),ISNUMBER(F44)))"),0.0)</f>
        <v>0</v>
      </c>
    </row>
    <row r="45">
      <c r="A45" s="38" t="s">
        <v>194</v>
      </c>
      <c r="B45" s="39" t="s">
        <v>195</v>
      </c>
      <c r="C45" s="40" t="s">
        <v>4650</v>
      </c>
      <c r="D45" s="42" t="s">
        <v>4651</v>
      </c>
      <c r="E45" s="42">
        <v>4.0</v>
      </c>
      <c r="F45" s="42">
        <v>1.0</v>
      </c>
      <c r="G45" s="42">
        <v>1.0</v>
      </c>
      <c r="H45" s="43" t="s">
        <v>4630</v>
      </c>
      <c r="I45" s="44"/>
      <c r="J45" s="44"/>
      <c r="K45" s="44"/>
      <c r="L45" s="44"/>
      <c r="M45" s="44">
        <f t="shared" si="1"/>
        <v>0.25</v>
      </c>
      <c r="N45" s="44">
        <f t="shared" si="2"/>
        <v>0.25</v>
      </c>
      <c r="O45" s="44">
        <f>IFERROR(__xludf.DUMMYFUNCTION("INT(FILTER(GT(F45,0),ISNUMBER(F45)))"),1.0)</f>
        <v>1</v>
      </c>
      <c r="P45" s="44">
        <f t="shared" si="3"/>
        <v>0.5</v>
      </c>
      <c r="Q45" s="44">
        <f>IFERROR(__xludf.DUMMYFUNCTION("INT(FILTER(EQ(E45,F45),ISNUMBER(E45),ISNUMBER(F45)))"),0.0)</f>
        <v>0</v>
      </c>
    </row>
    <row r="46">
      <c r="A46" s="38" t="s">
        <v>198</v>
      </c>
      <c r="B46" s="39" t="s">
        <v>199</v>
      </c>
      <c r="C46" s="40" t="s">
        <v>4652</v>
      </c>
      <c r="D46" s="41" t="s">
        <v>4653</v>
      </c>
      <c r="E46" s="42">
        <v>2.0</v>
      </c>
      <c r="F46" s="42">
        <v>0.0</v>
      </c>
      <c r="G46" s="42">
        <v>1.0</v>
      </c>
      <c r="H46" s="43" t="s">
        <v>4630</v>
      </c>
      <c r="I46" s="44"/>
      <c r="J46" s="44"/>
      <c r="K46" s="44"/>
      <c r="L46" s="44"/>
      <c r="M46" s="44">
        <f t="shared" si="1"/>
        <v>0</v>
      </c>
      <c r="N46" s="44">
        <f t="shared" si="2"/>
        <v>0.5</v>
      </c>
      <c r="O46" s="44">
        <f>IFERROR(__xludf.DUMMYFUNCTION("INT(FILTER(GT(F46,0),ISNUMBER(F46)))"),0.0)</f>
        <v>0</v>
      </c>
      <c r="P46" s="44">
        <f t="shared" si="3"/>
        <v>0</v>
      </c>
      <c r="Q46" s="44">
        <f>IFERROR(__xludf.DUMMYFUNCTION("INT(FILTER(EQ(E46,F46),ISNUMBER(E46),ISNUMBER(F46)))"),0.0)</f>
        <v>0</v>
      </c>
    </row>
    <row r="47">
      <c r="A47" s="38" t="s">
        <v>202</v>
      </c>
      <c r="B47" s="39" t="s">
        <v>203</v>
      </c>
      <c r="C47" s="40" t="s">
        <v>204</v>
      </c>
      <c r="D47" s="41" t="s">
        <v>205</v>
      </c>
      <c r="E47" s="42">
        <v>1.0</v>
      </c>
      <c r="F47" s="42">
        <v>1.0</v>
      </c>
      <c r="G47" s="42">
        <v>0.0</v>
      </c>
      <c r="H47" s="43" t="s">
        <v>4630</v>
      </c>
      <c r="I47" s="44"/>
      <c r="J47" s="44"/>
      <c r="K47" s="44"/>
      <c r="L47" s="44"/>
      <c r="M47" s="44">
        <f t="shared" si="1"/>
        <v>1</v>
      </c>
      <c r="N47" s="44">
        <f t="shared" si="2"/>
        <v>0</v>
      </c>
      <c r="O47" s="44">
        <f>IFERROR(__xludf.DUMMYFUNCTION("INT(FILTER(GT(F47,0),ISNUMBER(F47)))"),1.0)</f>
        <v>1</v>
      </c>
      <c r="P47" s="44">
        <f t="shared" si="3"/>
        <v>1</v>
      </c>
      <c r="Q47" s="44">
        <f>IFERROR(__xludf.DUMMYFUNCTION("INT(FILTER(EQ(E47,F47),ISNUMBER(E47),ISNUMBER(F47)))"),1.0)</f>
        <v>1</v>
      </c>
    </row>
    <row r="48">
      <c r="A48" s="38" t="s">
        <v>206</v>
      </c>
      <c r="B48" s="39" t="s">
        <v>207</v>
      </c>
      <c r="C48" s="40" t="s">
        <v>4654</v>
      </c>
      <c r="D48" s="42" t="s">
        <v>4655</v>
      </c>
      <c r="E48" s="42">
        <v>2.0</v>
      </c>
      <c r="F48" s="42">
        <v>2.0</v>
      </c>
      <c r="G48" s="42">
        <v>0.0</v>
      </c>
      <c r="H48" s="43" t="s">
        <v>4630</v>
      </c>
      <c r="I48" s="44"/>
      <c r="J48" s="44"/>
      <c r="K48" s="44"/>
      <c r="L48" s="44"/>
      <c r="M48" s="44">
        <f t="shared" si="1"/>
        <v>1</v>
      </c>
      <c r="N48" s="44">
        <f t="shared" si="2"/>
        <v>0</v>
      </c>
      <c r="O48" s="44">
        <f>IFERROR(__xludf.DUMMYFUNCTION("INT(FILTER(GT(F48,0),ISNUMBER(F48)))"),1.0)</f>
        <v>1</v>
      </c>
      <c r="P48" s="44">
        <f t="shared" si="3"/>
        <v>1</v>
      </c>
      <c r="Q48" s="44">
        <f>IFERROR(__xludf.DUMMYFUNCTION("INT(FILTER(EQ(E48,F48),ISNUMBER(E48),ISNUMBER(F48)))"),1.0)</f>
        <v>1</v>
      </c>
    </row>
    <row r="49">
      <c r="A49" s="38" t="s">
        <v>210</v>
      </c>
      <c r="B49" s="39" t="s">
        <v>211</v>
      </c>
      <c r="C49" s="40" t="s">
        <v>212</v>
      </c>
      <c r="D49" s="42" t="s">
        <v>4656</v>
      </c>
      <c r="E49" s="42">
        <v>4.0</v>
      </c>
      <c r="F49" s="42">
        <v>4.0</v>
      </c>
      <c r="G49" s="42">
        <v>0.0</v>
      </c>
      <c r="H49" s="43" t="s">
        <v>4630</v>
      </c>
      <c r="I49" s="44"/>
      <c r="J49" s="44"/>
      <c r="K49" s="44"/>
      <c r="L49" s="44"/>
      <c r="M49" s="44">
        <f t="shared" si="1"/>
        <v>1</v>
      </c>
      <c r="N49" s="44">
        <f t="shared" si="2"/>
        <v>0</v>
      </c>
      <c r="O49" s="44">
        <f>IFERROR(__xludf.DUMMYFUNCTION("INT(FILTER(GT(F49,0),ISNUMBER(F49)))"),1.0)</f>
        <v>1</v>
      </c>
      <c r="P49" s="44">
        <f t="shared" si="3"/>
        <v>1</v>
      </c>
      <c r="Q49" s="44">
        <f>IFERROR(__xludf.DUMMYFUNCTION("INT(FILTER(EQ(E49,F49),ISNUMBER(E49),ISNUMBER(F49)))"),1.0)</f>
        <v>1</v>
      </c>
    </row>
    <row r="50">
      <c r="A50" s="38" t="s">
        <v>214</v>
      </c>
      <c r="B50" s="39" t="s">
        <v>215</v>
      </c>
      <c r="C50" s="40" t="s">
        <v>172</v>
      </c>
      <c r="D50" s="41" t="s">
        <v>173</v>
      </c>
      <c r="E50" s="42">
        <v>2.0</v>
      </c>
      <c r="F50" s="42">
        <v>1.0</v>
      </c>
      <c r="G50" s="42">
        <v>0.0</v>
      </c>
      <c r="H50" s="43" t="s">
        <v>4630</v>
      </c>
      <c r="I50" s="44"/>
      <c r="J50" s="44"/>
      <c r="K50" s="44"/>
      <c r="L50" s="44"/>
      <c r="M50" s="44">
        <f t="shared" si="1"/>
        <v>0.5</v>
      </c>
      <c r="N50" s="44">
        <f t="shared" si="2"/>
        <v>0</v>
      </c>
      <c r="O50" s="44">
        <f>IFERROR(__xludf.DUMMYFUNCTION("INT(FILTER(GT(F50,0),ISNUMBER(F50)))"),1.0)</f>
        <v>1</v>
      </c>
      <c r="P50" s="44">
        <f t="shared" si="3"/>
        <v>1</v>
      </c>
      <c r="Q50" s="44">
        <f>IFERROR(__xludf.DUMMYFUNCTION("INT(FILTER(EQ(E50,F50),ISNUMBER(E50),ISNUMBER(F50)))"),0.0)</f>
        <v>0</v>
      </c>
    </row>
    <row r="51">
      <c r="A51" s="38" t="s">
        <v>216</v>
      </c>
      <c r="B51" s="39" t="s">
        <v>217</v>
      </c>
      <c r="C51" s="40" t="s">
        <v>4657</v>
      </c>
      <c r="D51" s="42" t="s">
        <v>4658</v>
      </c>
      <c r="E51" s="42">
        <v>2.0</v>
      </c>
      <c r="F51" s="42">
        <v>1.0</v>
      </c>
      <c r="G51" s="42">
        <v>1.0</v>
      </c>
      <c r="H51" s="43" t="s">
        <v>4630</v>
      </c>
      <c r="I51" s="44"/>
      <c r="J51" s="44"/>
      <c r="K51" s="44"/>
      <c r="L51" s="44"/>
      <c r="M51" s="44">
        <f t="shared" si="1"/>
        <v>0.5</v>
      </c>
      <c r="N51" s="44">
        <f t="shared" si="2"/>
        <v>0.5</v>
      </c>
      <c r="O51" s="44">
        <f>IFERROR(__xludf.DUMMYFUNCTION("INT(FILTER(GT(F51,0),ISNUMBER(F51)))"),1.0)</f>
        <v>1</v>
      </c>
      <c r="P51" s="44">
        <f t="shared" si="3"/>
        <v>0.5</v>
      </c>
      <c r="Q51" s="44">
        <f>IFERROR(__xludf.DUMMYFUNCTION("INT(FILTER(EQ(E51,F51),ISNUMBER(E51),ISNUMBER(F51)))"),0.0)</f>
        <v>0</v>
      </c>
    </row>
    <row r="52">
      <c r="A52" s="38" t="s">
        <v>220</v>
      </c>
      <c r="B52" s="39" t="s">
        <v>221</v>
      </c>
      <c r="C52" s="40" t="s">
        <v>4659</v>
      </c>
      <c r="D52" s="42" t="s">
        <v>4660</v>
      </c>
      <c r="E52" s="42">
        <v>4.0</v>
      </c>
      <c r="F52" s="42">
        <v>2.0</v>
      </c>
      <c r="G52" s="42">
        <v>0.0</v>
      </c>
      <c r="H52" s="43" t="s">
        <v>4630</v>
      </c>
      <c r="I52" s="44"/>
      <c r="J52" s="44"/>
      <c r="K52" s="44"/>
      <c r="L52" s="44"/>
      <c r="M52" s="44">
        <f t="shared" si="1"/>
        <v>0.5</v>
      </c>
      <c r="N52" s="44">
        <f t="shared" si="2"/>
        <v>0</v>
      </c>
      <c r="O52" s="44">
        <f>IFERROR(__xludf.DUMMYFUNCTION("INT(FILTER(GT(F52,0),ISNUMBER(F52)))"),1.0)</f>
        <v>1</v>
      </c>
      <c r="P52" s="44">
        <f t="shared" si="3"/>
        <v>1</v>
      </c>
      <c r="Q52" s="44">
        <f>IFERROR(__xludf.DUMMYFUNCTION("INT(FILTER(EQ(E52,F52),ISNUMBER(E52),ISNUMBER(F52)))"),0.0)</f>
        <v>0</v>
      </c>
    </row>
    <row r="53">
      <c r="A53" s="38" t="s">
        <v>224</v>
      </c>
      <c r="B53" s="39" t="s">
        <v>225</v>
      </c>
      <c r="C53" s="40" t="s">
        <v>226</v>
      </c>
      <c r="D53" s="41" t="s">
        <v>227</v>
      </c>
      <c r="E53" s="42">
        <v>7.0</v>
      </c>
      <c r="F53" s="42">
        <v>1.0</v>
      </c>
      <c r="G53" s="42">
        <v>0.0</v>
      </c>
      <c r="H53" s="43" t="s">
        <v>4630</v>
      </c>
      <c r="I53" s="44"/>
      <c r="J53" s="44"/>
      <c r="K53" s="44"/>
      <c r="L53" s="44"/>
      <c r="M53" s="44">
        <f t="shared" si="1"/>
        <v>0.1428571429</v>
      </c>
      <c r="N53" s="44">
        <f t="shared" si="2"/>
        <v>0</v>
      </c>
      <c r="O53" s="44">
        <f>IFERROR(__xludf.DUMMYFUNCTION("INT(FILTER(GT(F53,0),ISNUMBER(F53)))"),1.0)</f>
        <v>1</v>
      </c>
      <c r="P53" s="44">
        <f t="shared" si="3"/>
        <v>1</v>
      </c>
      <c r="Q53" s="44">
        <f>IFERROR(__xludf.DUMMYFUNCTION("INT(FILTER(EQ(E53,F53),ISNUMBER(E53),ISNUMBER(F53)))"),0.0)</f>
        <v>0</v>
      </c>
    </row>
    <row r="54">
      <c r="A54" s="38" t="s">
        <v>228</v>
      </c>
      <c r="B54" s="39" t="s">
        <v>229</v>
      </c>
      <c r="C54" s="40" t="s">
        <v>4661</v>
      </c>
      <c r="D54" s="42" t="s">
        <v>231</v>
      </c>
      <c r="E54" s="42">
        <v>4.0</v>
      </c>
      <c r="F54" s="42">
        <v>2.0</v>
      </c>
      <c r="G54" s="42">
        <v>0.0</v>
      </c>
      <c r="H54" s="43" t="s">
        <v>4630</v>
      </c>
      <c r="I54" s="44"/>
      <c r="J54" s="44"/>
      <c r="K54" s="44"/>
      <c r="L54" s="44"/>
      <c r="M54" s="44">
        <f t="shared" si="1"/>
        <v>0.5</v>
      </c>
      <c r="N54" s="44">
        <f t="shared" si="2"/>
        <v>0</v>
      </c>
      <c r="O54" s="44">
        <f>IFERROR(__xludf.DUMMYFUNCTION("INT(FILTER(GT(F54,0),ISNUMBER(F54)))"),1.0)</f>
        <v>1</v>
      </c>
      <c r="P54" s="44">
        <f t="shared" si="3"/>
        <v>1</v>
      </c>
      <c r="Q54" s="44">
        <f>IFERROR(__xludf.DUMMYFUNCTION("INT(FILTER(EQ(E54,F54),ISNUMBER(E54),ISNUMBER(F54)))"),0.0)</f>
        <v>0</v>
      </c>
    </row>
    <row r="55">
      <c r="A55" s="38" t="s">
        <v>232</v>
      </c>
      <c r="B55" s="39" t="s">
        <v>233</v>
      </c>
      <c r="C55" s="40" t="s">
        <v>234</v>
      </c>
      <c r="D55" s="42" t="s">
        <v>4662</v>
      </c>
      <c r="E55" s="42">
        <v>2.0</v>
      </c>
      <c r="F55" s="42">
        <v>2.0</v>
      </c>
      <c r="G55" s="42">
        <v>0.0</v>
      </c>
      <c r="H55" s="43" t="s">
        <v>4630</v>
      </c>
      <c r="I55" s="44"/>
      <c r="J55" s="44"/>
      <c r="K55" s="44"/>
      <c r="L55" s="44"/>
      <c r="M55" s="44">
        <f t="shared" si="1"/>
        <v>1</v>
      </c>
      <c r="N55" s="44">
        <f t="shared" si="2"/>
        <v>0</v>
      </c>
      <c r="O55" s="44">
        <f>IFERROR(__xludf.DUMMYFUNCTION("INT(FILTER(GT(F55,0),ISNUMBER(F55)))"),1.0)</f>
        <v>1</v>
      </c>
      <c r="P55" s="44">
        <f t="shared" si="3"/>
        <v>1</v>
      </c>
      <c r="Q55" s="44">
        <f>IFERROR(__xludf.DUMMYFUNCTION("INT(FILTER(EQ(E55,F55),ISNUMBER(E55),ISNUMBER(F55)))"),1.0)</f>
        <v>1</v>
      </c>
    </row>
    <row r="56">
      <c r="A56" s="38" t="s">
        <v>236</v>
      </c>
      <c r="B56" s="39" t="s">
        <v>237</v>
      </c>
      <c r="C56" s="40" t="s">
        <v>238</v>
      </c>
      <c r="D56" s="41" t="s">
        <v>239</v>
      </c>
      <c r="E56" s="42">
        <v>1.0</v>
      </c>
      <c r="F56" s="42">
        <v>1.0</v>
      </c>
      <c r="G56" s="42">
        <v>0.0</v>
      </c>
      <c r="H56" s="43" t="s">
        <v>4630</v>
      </c>
      <c r="I56" s="44"/>
      <c r="J56" s="44"/>
      <c r="K56" s="44"/>
      <c r="L56" s="44"/>
      <c r="M56" s="44">
        <f t="shared" si="1"/>
        <v>1</v>
      </c>
      <c r="N56" s="44">
        <f t="shared" si="2"/>
        <v>0</v>
      </c>
      <c r="O56" s="44">
        <f>IFERROR(__xludf.DUMMYFUNCTION("INT(FILTER(GT(F56,0),ISNUMBER(F56)))"),1.0)</f>
        <v>1</v>
      </c>
      <c r="P56" s="44">
        <f t="shared" si="3"/>
        <v>1</v>
      </c>
      <c r="Q56" s="44">
        <f>IFERROR(__xludf.DUMMYFUNCTION("INT(FILTER(EQ(E56,F56),ISNUMBER(E56),ISNUMBER(F56)))"),1.0)</f>
        <v>1</v>
      </c>
    </row>
    <row r="57">
      <c r="A57" s="38" t="s">
        <v>240</v>
      </c>
      <c r="B57" s="39" t="s">
        <v>241</v>
      </c>
      <c r="C57" s="40" t="s">
        <v>242</v>
      </c>
      <c r="D57" s="41" t="s">
        <v>243</v>
      </c>
      <c r="E57" s="42">
        <v>2.0</v>
      </c>
      <c r="F57" s="42">
        <v>1.0</v>
      </c>
      <c r="G57" s="42">
        <v>0.0</v>
      </c>
      <c r="H57" s="43" t="s">
        <v>4630</v>
      </c>
      <c r="I57" s="44"/>
      <c r="J57" s="44"/>
      <c r="K57" s="44"/>
      <c r="L57" s="44"/>
      <c r="M57" s="44">
        <f t="shared" si="1"/>
        <v>0.5</v>
      </c>
      <c r="N57" s="44">
        <f t="shared" si="2"/>
        <v>0</v>
      </c>
      <c r="O57" s="44">
        <f>IFERROR(__xludf.DUMMYFUNCTION("INT(FILTER(GT(F57,0),ISNUMBER(F57)))"),1.0)</f>
        <v>1</v>
      </c>
      <c r="P57" s="44">
        <f t="shared" si="3"/>
        <v>1</v>
      </c>
      <c r="Q57" s="44">
        <f>IFERROR(__xludf.DUMMYFUNCTION("INT(FILTER(EQ(E57,F57),ISNUMBER(E57),ISNUMBER(F57)))"),0.0)</f>
        <v>0</v>
      </c>
    </row>
    <row r="58">
      <c r="A58" s="38" t="s">
        <v>244</v>
      </c>
      <c r="B58" s="39" t="s">
        <v>245</v>
      </c>
      <c r="C58" s="40" t="s">
        <v>4663</v>
      </c>
      <c r="D58" s="42" t="s">
        <v>4664</v>
      </c>
      <c r="E58" s="42">
        <v>4.0</v>
      </c>
      <c r="F58" s="42">
        <v>4.0</v>
      </c>
      <c r="G58" s="42">
        <v>0.0</v>
      </c>
      <c r="H58" s="43" t="s">
        <v>4630</v>
      </c>
      <c r="I58" s="44"/>
      <c r="J58" s="44"/>
      <c r="K58" s="44"/>
      <c r="L58" s="44"/>
      <c r="M58" s="44">
        <f t="shared" si="1"/>
        <v>1</v>
      </c>
      <c r="N58" s="44">
        <f t="shared" si="2"/>
        <v>0</v>
      </c>
      <c r="O58" s="44">
        <f>IFERROR(__xludf.DUMMYFUNCTION("INT(FILTER(GT(F58,0),ISNUMBER(F58)))"),1.0)</f>
        <v>1</v>
      </c>
      <c r="P58" s="44">
        <f t="shared" si="3"/>
        <v>1</v>
      </c>
      <c r="Q58" s="44">
        <f>IFERROR(__xludf.DUMMYFUNCTION("INT(FILTER(EQ(E58,F58),ISNUMBER(E58),ISNUMBER(F58)))"),1.0)</f>
        <v>1</v>
      </c>
    </row>
    <row r="59">
      <c r="A59" s="38" t="s">
        <v>248</v>
      </c>
      <c r="B59" s="39" t="s">
        <v>249</v>
      </c>
      <c r="C59" s="40" t="s">
        <v>250</v>
      </c>
      <c r="D59" s="41" t="s">
        <v>251</v>
      </c>
      <c r="E59" s="42">
        <v>1.0</v>
      </c>
      <c r="F59" s="42">
        <v>0.0</v>
      </c>
      <c r="G59" s="42">
        <v>1.0</v>
      </c>
      <c r="H59" s="43" t="s">
        <v>4630</v>
      </c>
      <c r="I59" s="44"/>
      <c r="J59" s="44"/>
      <c r="K59" s="44"/>
      <c r="L59" s="44"/>
      <c r="M59" s="44">
        <f t="shared" si="1"/>
        <v>0</v>
      </c>
      <c r="N59" s="44">
        <f t="shared" si="2"/>
        <v>1</v>
      </c>
      <c r="O59" s="44">
        <f>IFERROR(__xludf.DUMMYFUNCTION("INT(FILTER(GT(F59,0),ISNUMBER(F59)))"),0.0)</f>
        <v>0</v>
      </c>
      <c r="P59" s="44">
        <f t="shared" si="3"/>
        <v>0</v>
      </c>
      <c r="Q59" s="44">
        <f>IFERROR(__xludf.DUMMYFUNCTION("INT(FILTER(EQ(E59,F59),ISNUMBER(E59),ISNUMBER(F59)))"),0.0)</f>
        <v>0</v>
      </c>
    </row>
    <row r="60">
      <c r="A60" s="38" t="s">
        <v>252</v>
      </c>
      <c r="B60" s="39" t="s">
        <v>253</v>
      </c>
      <c r="C60" s="40" t="s">
        <v>4665</v>
      </c>
      <c r="D60" s="42" t="s">
        <v>255</v>
      </c>
      <c r="E60" s="42">
        <v>4.0</v>
      </c>
      <c r="F60" s="42">
        <v>2.0</v>
      </c>
      <c r="G60" s="42">
        <v>0.0</v>
      </c>
      <c r="H60" s="43" t="s">
        <v>4630</v>
      </c>
      <c r="I60" s="44"/>
      <c r="J60" s="44"/>
      <c r="K60" s="44"/>
      <c r="L60" s="44"/>
      <c r="M60" s="44">
        <f t="shared" si="1"/>
        <v>0.5</v>
      </c>
      <c r="N60" s="44">
        <f t="shared" si="2"/>
        <v>0</v>
      </c>
      <c r="O60" s="44">
        <f>IFERROR(__xludf.DUMMYFUNCTION("INT(FILTER(GT(F60,0),ISNUMBER(F60)))"),1.0)</f>
        <v>1</v>
      </c>
      <c r="P60" s="44">
        <f t="shared" si="3"/>
        <v>1</v>
      </c>
      <c r="Q60" s="44">
        <f>IFERROR(__xludf.DUMMYFUNCTION("INT(FILTER(EQ(E60,F60),ISNUMBER(E60),ISNUMBER(F60)))"),0.0)</f>
        <v>0</v>
      </c>
    </row>
    <row r="61">
      <c r="A61" s="38" t="s">
        <v>256</v>
      </c>
      <c r="B61" s="39" t="s">
        <v>257</v>
      </c>
      <c r="C61" s="40" t="s">
        <v>4666</v>
      </c>
      <c r="D61" s="42" t="s">
        <v>4667</v>
      </c>
      <c r="E61" s="42">
        <v>2.0</v>
      </c>
      <c r="F61" s="42">
        <v>2.0</v>
      </c>
      <c r="G61" s="42">
        <v>0.0</v>
      </c>
      <c r="H61" s="43" t="s">
        <v>4630</v>
      </c>
      <c r="I61" s="44"/>
      <c r="J61" s="44"/>
      <c r="K61" s="44"/>
      <c r="L61" s="44"/>
      <c r="M61" s="44">
        <f t="shared" si="1"/>
        <v>1</v>
      </c>
      <c r="N61" s="44">
        <f t="shared" si="2"/>
        <v>0</v>
      </c>
      <c r="O61" s="44">
        <f>IFERROR(__xludf.DUMMYFUNCTION("INT(FILTER(GT(F61,0),ISNUMBER(F61)))"),1.0)</f>
        <v>1</v>
      </c>
      <c r="P61" s="44">
        <f t="shared" si="3"/>
        <v>1</v>
      </c>
      <c r="Q61" s="44">
        <f>IFERROR(__xludf.DUMMYFUNCTION("INT(FILTER(EQ(E61,F61),ISNUMBER(E61),ISNUMBER(F61)))"),1.0)</f>
        <v>1</v>
      </c>
    </row>
    <row r="62">
      <c r="A62" s="38" t="s">
        <v>258</v>
      </c>
      <c r="B62" s="39" t="s">
        <v>259</v>
      </c>
      <c r="C62" s="40" t="s">
        <v>260</v>
      </c>
      <c r="D62" s="41" t="s">
        <v>261</v>
      </c>
      <c r="E62" s="42">
        <v>1.0</v>
      </c>
      <c r="F62" s="42">
        <v>1.0</v>
      </c>
      <c r="G62" s="42">
        <v>0.0</v>
      </c>
      <c r="H62" s="43" t="s">
        <v>4630</v>
      </c>
      <c r="I62" s="44"/>
      <c r="J62" s="44"/>
      <c r="K62" s="44"/>
      <c r="L62" s="44"/>
      <c r="M62" s="44">
        <f t="shared" si="1"/>
        <v>1</v>
      </c>
      <c r="N62" s="44">
        <f t="shared" si="2"/>
        <v>0</v>
      </c>
      <c r="O62" s="44">
        <f>IFERROR(__xludf.DUMMYFUNCTION("INT(FILTER(GT(F62,0),ISNUMBER(F62)))"),1.0)</f>
        <v>1</v>
      </c>
      <c r="P62" s="44">
        <f t="shared" si="3"/>
        <v>1</v>
      </c>
      <c r="Q62" s="44">
        <f>IFERROR(__xludf.DUMMYFUNCTION("INT(FILTER(EQ(E62,F62),ISNUMBER(E62),ISNUMBER(F62)))"),1.0)</f>
        <v>1</v>
      </c>
    </row>
    <row r="63">
      <c r="A63" s="38" t="s">
        <v>262</v>
      </c>
      <c r="B63" s="39" t="s">
        <v>263</v>
      </c>
      <c r="C63" s="40" t="s">
        <v>4668</v>
      </c>
      <c r="D63" s="42" t="s">
        <v>4669</v>
      </c>
      <c r="E63" s="42">
        <v>2.0</v>
      </c>
      <c r="F63" s="42">
        <v>2.0</v>
      </c>
      <c r="G63" s="42">
        <v>0.0</v>
      </c>
      <c r="H63" s="43" t="s">
        <v>4630</v>
      </c>
      <c r="I63" s="44"/>
      <c r="J63" s="44"/>
      <c r="K63" s="44"/>
      <c r="L63" s="44"/>
      <c r="M63" s="44">
        <f t="shared" si="1"/>
        <v>1</v>
      </c>
      <c r="N63" s="44">
        <f t="shared" si="2"/>
        <v>0</v>
      </c>
      <c r="O63" s="44">
        <f>IFERROR(__xludf.DUMMYFUNCTION("INT(FILTER(GT(F63,0),ISNUMBER(F63)))"),1.0)</f>
        <v>1</v>
      </c>
      <c r="P63" s="44">
        <f t="shared" si="3"/>
        <v>1</v>
      </c>
      <c r="Q63" s="44">
        <f>IFERROR(__xludf.DUMMYFUNCTION("INT(FILTER(EQ(E63,F63),ISNUMBER(E63),ISNUMBER(F63)))"),1.0)</f>
        <v>1</v>
      </c>
    </row>
    <row r="64">
      <c r="A64" s="38" t="s">
        <v>266</v>
      </c>
      <c r="B64" s="39" t="s">
        <v>267</v>
      </c>
      <c r="C64" s="40" t="s">
        <v>268</v>
      </c>
      <c r="D64" s="41" t="s">
        <v>137</v>
      </c>
      <c r="E64" s="42">
        <v>1.0</v>
      </c>
      <c r="F64" s="42">
        <v>1.0</v>
      </c>
      <c r="G64" s="42">
        <v>0.0</v>
      </c>
      <c r="H64" s="43" t="s">
        <v>4630</v>
      </c>
      <c r="I64" s="44"/>
      <c r="J64" s="44"/>
      <c r="K64" s="44"/>
      <c r="L64" s="44"/>
      <c r="M64" s="44">
        <f t="shared" si="1"/>
        <v>1</v>
      </c>
      <c r="N64" s="44">
        <f t="shared" si="2"/>
        <v>0</v>
      </c>
      <c r="O64" s="44">
        <f>IFERROR(__xludf.DUMMYFUNCTION("INT(FILTER(GT(F64,0),ISNUMBER(F64)))"),1.0)</f>
        <v>1</v>
      </c>
      <c r="P64" s="44">
        <f t="shared" si="3"/>
        <v>1</v>
      </c>
      <c r="Q64" s="44">
        <f>IFERROR(__xludf.DUMMYFUNCTION("INT(FILTER(EQ(E64,F64),ISNUMBER(E64),ISNUMBER(F64)))"),1.0)</f>
        <v>1</v>
      </c>
    </row>
    <row r="65">
      <c r="A65" s="38" t="s">
        <v>269</v>
      </c>
      <c r="B65" s="39" t="s">
        <v>270</v>
      </c>
      <c r="C65" s="40" t="s">
        <v>4670</v>
      </c>
      <c r="D65" s="42" t="s">
        <v>4671</v>
      </c>
      <c r="E65" s="42">
        <v>2.0</v>
      </c>
      <c r="F65" s="42">
        <v>2.0</v>
      </c>
      <c r="G65" s="42">
        <v>0.0</v>
      </c>
      <c r="H65" s="43" t="s">
        <v>4630</v>
      </c>
      <c r="I65" s="44"/>
      <c r="J65" s="44"/>
      <c r="K65" s="44"/>
      <c r="L65" s="44"/>
      <c r="M65" s="44">
        <f t="shared" si="1"/>
        <v>1</v>
      </c>
      <c r="N65" s="44">
        <f t="shared" si="2"/>
        <v>0</v>
      </c>
      <c r="O65" s="44">
        <f>IFERROR(__xludf.DUMMYFUNCTION("INT(FILTER(GT(F65,0),ISNUMBER(F65)))"),1.0)</f>
        <v>1</v>
      </c>
      <c r="P65" s="44">
        <f t="shared" si="3"/>
        <v>1</v>
      </c>
      <c r="Q65" s="44">
        <f>IFERROR(__xludf.DUMMYFUNCTION("INT(FILTER(EQ(E65,F65),ISNUMBER(E65),ISNUMBER(F65)))"),1.0)</f>
        <v>1</v>
      </c>
    </row>
    <row r="66">
      <c r="A66" s="38" t="s">
        <v>273</v>
      </c>
      <c r="B66" s="39" t="s">
        <v>274</v>
      </c>
      <c r="C66" s="40" t="s">
        <v>4672</v>
      </c>
      <c r="D66" s="41" t="s">
        <v>4673</v>
      </c>
      <c r="E66" s="42">
        <v>4.0</v>
      </c>
      <c r="F66" s="42">
        <v>1.0</v>
      </c>
      <c r="G66" s="42">
        <v>0.0</v>
      </c>
      <c r="H66" s="43" t="s">
        <v>4630</v>
      </c>
      <c r="I66" s="44"/>
      <c r="J66" s="44"/>
      <c r="K66" s="44"/>
      <c r="L66" s="44"/>
      <c r="M66" s="44">
        <f t="shared" si="1"/>
        <v>0.25</v>
      </c>
      <c r="N66" s="44">
        <f t="shared" si="2"/>
        <v>0</v>
      </c>
      <c r="O66" s="44">
        <f>IFERROR(__xludf.DUMMYFUNCTION("INT(FILTER(GT(F66,0),ISNUMBER(F66)))"),1.0)</f>
        <v>1</v>
      </c>
      <c r="P66" s="44">
        <f t="shared" si="3"/>
        <v>1</v>
      </c>
      <c r="Q66" s="44">
        <f>IFERROR(__xludf.DUMMYFUNCTION("INT(FILTER(EQ(E66,F66),ISNUMBER(E66),ISNUMBER(F66)))"),0.0)</f>
        <v>0</v>
      </c>
    </row>
    <row r="67">
      <c r="A67" s="38" t="s">
        <v>277</v>
      </c>
      <c r="B67" s="39" t="s">
        <v>278</v>
      </c>
      <c r="C67" s="40" t="s">
        <v>4674</v>
      </c>
      <c r="D67" s="42" t="s">
        <v>4675</v>
      </c>
      <c r="E67" s="42">
        <v>5.0</v>
      </c>
      <c r="F67" s="42">
        <v>2.0</v>
      </c>
      <c r="G67" s="42">
        <v>1.0</v>
      </c>
      <c r="H67" s="43" t="s">
        <v>4630</v>
      </c>
      <c r="I67" s="44"/>
      <c r="J67" s="44"/>
      <c r="K67" s="44"/>
      <c r="L67" s="44"/>
      <c r="M67" s="44">
        <f t="shared" si="1"/>
        <v>0.4</v>
      </c>
      <c r="N67" s="44">
        <f t="shared" si="2"/>
        <v>0.2</v>
      </c>
      <c r="O67" s="44">
        <f>IFERROR(__xludf.DUMMYFUNCTION("INT(FILTER(GT(F67,0),ISNUMBER(F67)))"),1.0)</f>
        <v>1</v>
      </c>
      <c r="P67" s="44">
        <f t="shared" si="3"/>
        <v>0.6666666667</v>
      </c>
      <c r="Q67" s="44">
        <f>IFERROR(__xludf.DUMMYFUNCTION("INT(FILTER(EQ(E67,F67),ISNUMBER(E67),ISNUMBER(F67)))"),0.0)</f>
        <v>0</v>
      </c>
    </row>
    <row r="68">
      <c r="A68" s="38" t="s">
        <v>281</v>
      </c>
      <c r="B68" s="39" t="s">
        <v>282</v>
      </c>
      <c r="C68" s="40" t="s">
        <v>1485</v>
      </c>
      <c r="D68" s="41" t="s">
        <v>284</v>
      </c>
      <c r="E68" s="42">
        <v>3.0</v>
      </c>
      <c r="F68" s="42">
        <v>1.0</v>
      </c>
      <c r="G68" s="42">
        <v>0.0</v>
      </c>
      <c r="H68" s="43" t="s">
        <v>4630</v>
      </c>
      <c r="I68" s="44"/>
      <c r="J68" s="44"/>
      <c r="K68" s="44"/>
      <c r="L68" s="44"/>
      <c r="M68" s="44">
        <f t="shared" si="1"/>
        <v>0.3333333333</v>
      </c>
      <c r="N68" s="44">
        <f t="shared" si="2"/>
        <v>0</v>
      </c>
      <c r="O68" s="44">
        <f>IFERROR(__xludf.DUMMYFUNCTION("INT(FILTER(GT(F68,0),ISNUMBER(F68)))"),1.0)</f>
        <v>1</v>
      </c>
      <c r="P68" s="44">
        <f t="shared" si="3"/>
        <v>1</v>
      </c>
      <c r="Q68" s="44">
        <f>IFERROR(__xludf.DUMMYFUNCTION("INT(FILTER(EQ(E68,F68),ISNUMBER(E68),ISNUMBER(F68)))"),0.0)</f>
        <v>0</v>
      </c>
    </row>
    <row r="69">
      <c r="A69" s="38" t="s">
        <v>285</v>
      </c>
      <c r="B69" s="39" t="s">
        <v>286</v>
      </c>
      <c r="C69" s="40" t="s">
        <v>4676</v>
      </c>
      <c r="D69" s="42" t="s">
        <v>4677</v>
      </c>
      <c r="E69" s="42">
        <v>3.0</v>
      </c>
      <c r="F69" s="42">
        <v>2.0</v>
      </c>
      <c r="G69" s="42">
        <v>0.0</v>
      </c>
      <c r="H69" s="43" t="s">
        <v>4630</v>
      </c>
      <c r="I69" s="44"/>
      <c r="J69" s="44"/>
      <c r="K69" s="44"/>
      <c r="L69" s="44"/>
      <c r="M69" s="44">
        <f t="shared" si="1"/>
        <v>0.6666666667</v>
      </c>
      <c r="N69" s="44">
        <f t="shared" si="2"/>
        <v>0</v>
      </c>
      <c r="O69" s="44">
        <f>IFERROR(__xludf.DUMMYFUNCTION("INT(FILTER(GT(F69,0),ISNUMBER(F69)))"),1.0)</f>
        <v>1</v>
      </c>
      <c r="P69" s="44">
        <f t="shared" si="3"/>
        <v>1</v>
      </c>
      <c r="Q69" s="44">
        <f>IFERROR(__xludf.DUMMYFUNCTION("INT(FILTER(EQ(E69,F69),ISNUMBER(E69),ISNUMBER(F69)))"),0.0)</f>
        <v>0</v>
      </c>
    </row>
    <row r="70">
      <c r="A70" s="38" t="s">
        <v>289</v>
      </c>
      <c r="B70" s="39" t="s">
        <v>290</v>
      </c>
      <c r="C70" s="40" t="s">
        <v>4678</v>
      </c>
      <c r="D70" s="41" t="s">
        <v>292</v>
      </c>
      <c r="E70" s="42">
        <v>2.0</v>
      </c>
      <c r="F70" s="42">
        <v>1.0</v>
      </c>
      <c r="G70" s="42">
        <v>0.0</v>
      </c>
      <c r="H70" s="43" t="s">
        <v>4630</v>
      </c>
      <c r="I70" s="44"/>
      <c r="J70" s="44"/>
      <c r="K70" s="44"/>
      <c r="L70" s="44"/>
      <c r="M70" s="44">
        <f t="shared" si="1"/>
        <v>0.5</v>
      </c>
      <c r="N70" s="44">
        <f t="shared" si="2"/>
        <v>0</v>
      </c>
      <c r="O70" s="44">
        <f>IFERROR(__xludf.DUMMYFUNCTION("INT(FILTER(GT(F70,0),ISNUMBER(F70)))"),1.0)</f>
        <v>1</v>
      </c>
      <c r="P70" s="44">
        <f t="shared" si="3"/>
        <v>1</v>
      </c>
      <c r="Q70" s="44">
        <f>IFERROR(__xludf.DUMMYFUNCTION("INT(FILTER(EQ(E70,F70),ISNUMBER(E70),ISNUMBER(F70)))"),0.0)</f>
        <v>0</v>
      </c>
    </row>
    <row r="71">
      <c r="A71" s="38" t="s">
        <v>293</v>
      </c>
      <c r="B71" s="39" t="s">
        <v>294</v>
      </c>
      <c r="C71" s="40" t="s">
        <v>295</v>
      </c>
      <c r="D71" s="41" t="s">
        <v>296</v>
      </c>
      <c r="E71" s="42">
        <v>1.0</v>
      </c>
      <c r="F71" s="42">
        <v>1.0</v>
      </c>
      <c r="G71" s="42">
        <v>0.0</v>
      </c>
      <c r="H71" s="43" t="s">
        <v>4630</v>
      </c>
      <c r="I71" s="44"/>
      <c r="J71" s="44"/>
      <c r="K71" s="44"/>
      <c r="L71" s="44"/>
      <c r="M71" s="44">
        <f t="shared" si="1"/>
        <v>1</v>
      </c>
      <c r="N71" s="44">
        <f t="shared" si="2"/>
        <v>0</v>
      </c>
      <c r="O71" s="44">
        <f>IFERROR(__xludf.DUMMYFUNCTION("INT(FILTER(GT(F71,0),ISNUMBER(F71)))"),1.0)</f>
        <v>1</v>
      </c>
      <c r="P71" s="44">
        <f t="shared" si="3"/>
        <v>1</v>
      </c>
      <c r="Q71" s="44">
        <f>IFERROR(__xludf.DUMMYFUNCTION("INT(FILTER(EQ(E71,F71),ISNUMBER(E71),ISNUMBER(F71)))"),1.0)</f>
        <v>1</v>
      </c>
    </row>
    <row r="72">
      <c r="A72" s="38" t="s">
        <v>297</v>
      </c>
      <c r="B72" s="39" t="s">
        <v>298</v>
      </c>
      <c r="C72" s="40" t="s">
        <v>4679</v>
      </c>
      <c r="D72" s="41" t="s">
        <v>4680</v>
      </c>
      <c r="E72" s="42">
        <v>2.0</v>
      </c>
      <c r="F72" s="42">
        <v>1.0</v>
      </c>
      <c r="G72" s="42">
        <v>0.0</v>
      </c>
      <c r="H72" s="43" t="s">
        <v>4630</v>
      </c>
      <c r="I72" s="44"/>
      <c r="J72" s="44"/>
      <c r="K72" s="44"/>
      <c r="L72" s="44"/>
      <c r="M72" s="44">
        <f t="shared" si="1"/>
        <v>0.5</v>
      </c>
      <c r="N72" s="44">
        <f t="shared" si="2"/>
        <v>0</v>
      </c>
      <c r="O72" s="44">
        <f>IFERROR(__xludf.DUMMYFUNCTION("INT(FILTER(GT(F72,0),ISNUMBER(F72)))"),1.0)</f>
        <v>1</v>
      </c>
      <c r="P72" s="44">
        <f t="shared" si="3"/>
        <v>1</v>
      </c>
      <c r="Q72" s="44">
        <f>IFERROR(__xludf.DUMMYFUNCTION("INT(FILTER(EQ(E72,F72),ISNUMBER(E72),ISNUMBER(F72)))"),0.0)</f>
        <v>0</v>
      </c>
    </row>
    <row r="73">
      <c r="A73" s="38" t="s">
        <v>300</v>
      </c>
      <c r="B73" s="39" t="s">
        <v>301</v>
      </c>
      <c r="C73" s="40" t="s">
        <v>268</v>
      </c>
      <c r="D73" s="41" t="s">
        <v>137</v>
      </c>
      <c r="E73" s="42">
        <v>2.0</v>
      </c>
      <c r="F73" s="42">
        <v>1.0</v>
      </c>
      <c r="G73" s="42">
        <v>0.0</v>
      </c>
      <c r="H73" s="43" t="s">
        <v>4630</v>
      </c>
      <c r="I73" s="44"/>
      <c r="J73" s="44"/>
      <c r="K73" s="44"/>
      <c r="L73" s="44"/>
      <c r="M73" s="44">
        <f t="shared" si="1"/>
        <v>0.5</v>
      </c>
      <c r="N73" s="44">
        <f t="shared" si="2"/>
        <v>0</v>
      </c>
      <c r="O73" s="44">
        <f>IFERROR(__xludf.DUMMYFUNCTION("INT(FILTER(GT(F73,0),ISNUMBER(F73)))"),1.0)</f>
        <v>1</v>
      </c>
      <c r="P73" s="44">
        <f t="shared" si="3"/>
        <v>1</v>
      </c>
      <c r="Q73" s="44">
        <f>IFERROR(__xludf.DUMMYFUNCTION("INT(FILTER(EQ(E73,F73),ISNUMBER(E73),ISNUMBER(F73)))"),0.0)</f>
        <v>0</v>
      </c>
    </row>
    <row r="74">
      <c r="A74" s="38" t="s">
        <v>302</v>
      </c>
      <c r="B74" s="39" t="s">
        <v>303</v>
      </c>
      <c r="C74" s="40" t="s">
        <v>304</v>
      </c>
      <c r="D74" s="41" t="s">
        <v>305</v>
      </c>
      <c r="E74" s="42">
        <v>1.0</v>
      </c>
      <c r="F74" s="42">
        <v>1.0</v>
      </c>
      <c r="G74" s="42">
        <v>0.0</v>
      </c>
      <c r="H74" s="43" t="s">
        <v>4630</v>
      </c>
      <c r="I74" s="44"/>
      <c r="J74" s="44"/>
      <c r="K74" s="44"/>
      <c r="L74" s="44"/>
      <c r="M74" s="44">
        <f t="shared" si="1"/>
        <v>1</v>
      </c>
      <c r="N74" s="44">
        <f t="shared" si="2"/>
        <v>0</v>
      </c>
      <c r="O74" s="44">
        <f>IFERROR(__xludf.DUMMYFUNCTION("INT(FILTER(GT(F74,0),ISNUMBER(F74)))"),1.0)</f>
        <v>1</v>
      </c>
      <c r="P74" s="44">
        <f t="shared" si="3"/>
        <v>1</v>
      </c>
      <c r="Q74" s="44">
        <f>IFERROR(__xludf.DUMMYFUNCTION("INT(FILTER(EQ(E74,F74),ISNUMBER(E74),ISNUMBER(F74)))"),1.0)</f>
        <v>1</v>
      </c>
    </row>
    <row r="75">
      <c r="A75" s="38" t="s">
        <v>306</v>
      </c>
      <c r="B75" s="39" t="s">
        <v>307</v>
      </c>
      <c r="C75" s="40" t="s">
        <v>4681</v>
      </c>
      <c r="D75" s="42" t="s">
        <v>4682</v>
      </c>
      <c r="E75" s="42">
        <v>5.0</v>
      </c>
      <c r="F75" s="42">
        <v>2.0</v>
      </c>
      <c r="G75" s="42">
        <v>0.0</v>
      </c>
      <c r="H75" s="43" t="s">
        <v>4630</v>
      </c>
      <c r="I75" s="44"/>
      <c r="J75" s="44"/>
      <c r="K75" s="44"/>
      <c r="L75" s="44"/>
      <c r="M75" s="44">
        <f t="shared" si="1"/>
        <v>0.4</v>
      </c>
      <c r="N75" s="44">
        <f t="shared" si="2"/>
        <v>0</v>
      </c>
      <c r="O75" s="44">
        <f>IFERROR(__xludf.DUMMYFUNCTION("INT(FILTER(GT(F75,0),ISNUMBER(F75)))"),1.0)</f>
        <v>1</v>
      </c>
      <c r="P75" s="44">
        <f t="shared" si="3"/>
        <v>1</v>
      </c>
      <c r="Q75" s="44">
        <f>IFERROR(__xludf.DUMMYFUNCTION("INT(FILTER(EQ(E75,F75),ISNUMBER(E75),ISNUMBER(F75)))"),0.0)</f>
        <v>0</v>
      </c>
    </row>
    <row r="76">
      <c r="A76" s="38" t="s">
        <v>310</v>
      </c>
      <c r="B76" s="39" t="s">
        <v>311</v>
      </c>
      <c r="C76" s="40" t="s">
        <v>4683</v>
      </c>
      <c r="D76" s="42" t="s">
        <v>4684</v>
      </c>
      <c r="E76" s="42">
        <v>3.0</v>
      </c>
      <c r="F76" s="42">
        <v>3.0</v>
      </c>
      <c r="G76" s="42">
        <v>0.0</v>
      </c>
      <c r="H76" s="43" t="s">
        <v>4630</v>
      </c>
      <c r="I76" s="44"/>
      <c r="J76" s="44"/>
      <c r="K76" s="44"/>
      <c r="L76" s="44"/>
      <c r="M76" s="44">
        <f t="shared" si="1"/>
        <v>1</v>
      </c>
      <c r="N76" s="44">
        <f t="shared" si="2"/>
        <v>0</v>
      </c>
      <c r="O76" s="44">
        <f>IFERROR(__xludf.DUMMYFUNCTION("INT(FILTER(GT(F76,0),ISNUMBER(F76)))"),1.0)</f>
        <v>1</v>
      </c>
      <c r="P76" s="44">
        <f t="shared" si="3"/>
        <v>1</v>
      </c>
      <c r="Q76" s="44">
        <f>IFERROR(__xludf.DUMMYFUNCTION("INT(FILTER(EQ(E76,F76),ISNUMBER(E76),ISNUMBER(F76)))"),1.0)</f>
        <v>1</v>
      </c>
    </row>
    <row r="77">
      <c r="A77" s="38" t="s">
        <v>314</v>
      </c>
      <c r="B77" s="39" t="s">
        <v>315</v>
      </c>
      <c r="C77" s="40" t="s">
        <v>4685</v>
      </c>
      <c r="D77" s="41" t="s">
        <v>4686</v>
      </c>
      <c r="E77" s="42">
        <v>1.0</v>
      </c>
      <c r="F77" s="42">
        <v>1.0</v>
      </c>
      <c r="G77" s="42">
        <v>0.0</v>
      </c>
      <c r="H77" s="43" t="s">
        <v>4630</v>
      </c>
      <c r="I77" s="44"/>
      <c r="J77" s="44"/>
      <c r="K77" s="44"/>
      <c r="L77" s="44"/>
      <c r="M77" s="44">
        <f t="shared" si="1"/>
        <v>1</v>
      </c>
      <c r="N77" s="44">
        <f t="shared" si="2"/>
        <v>0</v>
      </c>
      <c r="O77" s="44">
        <f>IFERROR(__xludf.DUMMYFUNCTION("INT(FILTER(GT(F77,0),ISNUMBER(F77)))"),1.0)</f>
        <v>1</v>
      </c>
      <c r="P77" s="44">
        <f t="shared" si="3"/>
        <v>1</v>
      </c>
      <c r="Q77" s="44">
        <f>IFERROR(__xludf.DUMMYFUNCTION("INT(FILTER(EQ(E77,F77),ISNUMBER(E77),ISNUMBER(F77)))"),1.0)</f>
        <v>1</v>
      </c>
    </row>
    <row r="78">
      <c r="A78" s="38" t="s">
        <v>317</v>
      </c>
      <c r="B78" s="39" t="s">
        <v>318</v>
      </c>
      <c r="C78" s="40" t="s">
        <v>4687</v>
      </c>
      <c r="D78" s="42" t="s">
        <v>320</v>
      </c>
      <c r="E78" s="42">
        <v>2.0</v>
      </c>
      <c r="F78" s="42">
        <v>2.0</v>
      </c>
      <c r="G78" s="42">
        <v>0.0</v>
      </c>
      <c r="H78" s="43" t="s">
        <v>4630</v>
      </c>
      <c r="I78" s="44"/>
      <c r="J78" s="44"/>
      <c r="K78" s="44"/>
      <c r="L78" s="44"/>
      <c r="M78" s="44">
        <f t="shared" si="1"/>
        <v>1</v>
      </c>
      <c r="N78" s="44">
        <f t="shared" si="2"/>
        <v>0</v>
      </c>
      <c r="O78" s="44">
        <f>IFERROR(__xludf.DUMMYFUNCTION("INT(FILTER(GT(F78,0),ISNUMBER(F78)))"),1.0)</f>
        <v>1</v>
      </c>
      <c r="P78" s="44">
        <f t="shared" si="3"/>
        <v>1</v>
      </c>
      <c r="Q78" s="44">
        <f>IFERROR(__xludf.DUMMYFUNCTION("INT(FILTER(EQ(E78,F78),ISNUMBER(E78),ISNUMBER(F78)))"),1.0)</f>
        <v>1</v>
      </c>
    </row>
    <row r="79">
      <c r="A79" s="38" t="s">
        <v>321</v>
      </c>
      <c r="B79" s="39" t="s">
        <v>322</v>
      </c>
      <c r="C79" s="40" t="s">
        <v>323</v>
      </c>
      <c r="D79" s="42" t="s">
        <v>4688</v>
      </c>
      <c r="E79" s="42">
        <v>3.0</v>
      </c>
      <c r="F79" s="42">
        <v>3.0</v>
      </c>
      <c r="G79" s="42">
        <v>0.0</v>
      </c>
      <c r="H79" s="43" t="s">
        <v>4630</v>
      </c>
      <c r="I79" s="44"/>
      <c r="J79" s="44"/>
      <c r="K79" s="44"/>
      <c r="L79" s="44"/>
      <c r="M79" s="44">
        <f t="shared" si="1"/>
        <v>1</v>
      </c>
      <c r="N79" s="44">
        <f t="shared" si="2"/>
        <v>0</v>
      </c>
      <c r="O79" s="44">
        <f>IFERROR(__xludf.DUMMYFUNCTION("INT(FILTER(GT(F79,0),ISNUMBER(F79)))"),1.0)</f>
        <v>1</v>
      </c>
      <c r="P79" s="44">
        <f t="shared" si="3"/>
        <v>1</v>
      </c>
      <c r="Q79" s="44">
        <f>IFERROR(__xludf.DUMMYFUNCTION("INT(FILTER(EQ(E79,F79),ISNUMBER(E79),ISNUMBER(F79)))"),1.0)</f>
        <v>1</v>
      </c>
    </row>
    <row r="80">
      <c r="A80" s="38" t="s">
        <v>325</v>
      </c>
      <c r="B80" s="39" t="s">
        <v>326</v>
      </c>
      <c r="C80" s="40" t="s">
        <v>4689</v>
      </c>
      <c r="D80" s="42" t="s">
        <v>4690</v>
      </c>
      <c r="E80" s="42">
        <v>5.0</v>
      </c>
      <c r="F80" s="42">
        <v>2.0</v>
      </c>
      <c r="G80" s="42">
        <v>1.0</v>
      </c>
      <c r="H80" s="43" t="s">
        <v>4630</v>
      </c>
      <c r="I80" s="44"/>
      <c r="J80" s="44"/>
      <c r="K80" s="44"/>
      <c r="L80" s="44"/>
      <c r="M80" s="44">
        <f t="shared" si="1"/>
        <v>0.4</v>
      </c>
      <c r="N80" s="44">
        <f t="shared" si="2"/>
        <v>0.2</v>
      </c>
      <c r="O80" s="44">
        <f>IFERROR(__xludf.DUMMYFUNCTION("INT(FILTER(GT(F80,0),ISNUMBER(F80)))"),1.0)</f>
        <v>1</v>
      </c>
      <c r="P80" s="44">
        <f t="shared" si="3"/>
        <v>0.6666666667</v>
      </c>
      <c r="Q80" s="44">
        <f>IFERROR(__xludf.DUMMYFUNCTION("INT(FILTER(EQ(E80,F80),ISNUMBER(E80),ISNUMBER(F80)))"),0.0)</f>
        <v>0</v>
      </c>
    </row>
    <row r="81">
      <c r="A81" s="38" t="s">
        <v>329</v>
      </c>
      <c r="B81" s="39" t="s">
        <v>330</v>
      </c>
      <c r="C81" s="40" t="s">
        <v>4691</v>
      </c>
      <c r="D81" s="42" t="s">
        <v>332</v>
      </c>
      <c r="E81" s="42">
        <v>8.0</v>
      </c>
      <c r="F81" s="42">
        <v>5.0</v>
      </c>
      <c r="G81" s="42">
        <v>0.0</v>
      </c>
      <c r="H81" s="43" t="s">
        <v>4630</v>
      </c>
      <c r="I81" s="44"/>
      <c r="J81" s="44"/>
      <c r="K81" s="44"/>
      <c r="L81" s="44"/>
      <c r="M81" s="44">
        <f t="shared" si="1"/>
        <v>0.625</v>
      </c>
      <c r="N81" s="44">
        <f t="shared" si="2"/>
        <v>0</v>
      </c>
      <c r="O81" s="44">
        <f>IFERROR(__xludf.DUMMYFUNCTION("INT(FILTER(GT(F81,0),ISNUMBER(F81)))"),1.0)</f>
        <v>1</v>
      </c>
      <c r="P81" s="44">
        <f t="shared" si="3"/>
        <v>1</v>
      </c>
      <c r="Q81" s="44">
        <f>IFERROR(__xludf.DUMMYFUNCTION("INT(FILTER(EQ(E81,F81),ISNUMBER(E81),ISNUMBER(F81)))"),0.0)</f>
        <v>0</v>
      </c>
    </row>
    <row r="82">
      <c r="A82" s="38" t="s">
        <v>333</v>
      </c>
      <c r="B82" s="39" t="s">
        <v>334</v>
      </c>
      <c r="C82" s="40" t="s">
        <v>4692</v>
      </c>
      <c r="D82" s="41" t="s">
        <v>336</v>
      </c>
      <c r="E82" s="42">
        <v>1.0</v>
      </c>
      <c r="F82" s="42">
        <v>0.0</v>
      </c>
      <c r="G82" s="42">
        <v>1.0</v>
      </c>
      <c r="H82" s="43" t="s">
        <v>4630</v>
      </c>
      <c r="I82" s="44"/>
      <c r="J82" s="44"/>
      <c r="K82" s="44"/>
      <c r="L82" s="44"/>
      <c r="M82" s="44">
        <f t="shared" si="1"/>
        <v>0</v>
      </c>
      <c r="N82" s="44">
        <f t="shared" si="2"/>
        <v>1</v>
      </c>
      <c r="O82" s="44">
        <f>IFERROR(__xludf.DUMMYFUNCTION("INT(FILTER(GT(F82,0),ISNUMBER(F82)))"),0.0)</f>
        <v>0</v>
      </c>
      <c r="P82" s="44">
        <f t="shared" si="3"/>
        <v>0</v>
      </c>
      <c r="Q82" s="44">
        <f>IFERROR(__xludf.DUMMYFUNCTION("INT(FILTER(EQ(E82,F82),ISNUMBER(E82),ISNUMBER(F82)))"),0.0)</f>
        <v>0</v>
      </c>
    </row>
    <row r="83">
      <c r="A83" s="38" t="s">
        <v>337</v>
      </c>
      <c r="B83" s="39" t="s">
        <v>338</v>
      </c>
      <c r="C83" s="40" t="s">
        <v>4693</v>
      </c>
      <c r="D83" s="42" t="s">
        <v>4694</v>
      </c>
      <c r="E83" s="42">
        <v>4.0</v>
      </c>
      <c r="F83" s="42">
        <v>2.0</v>
      </c>
      <c r="G83" s="42">
        <v>0.0</v>
      </c>
      <c r="H83" s="43" t="s">
        <v>4630</v>
      </c>
      <c r="I83" s="44"/>
      <c r="J83" s="44"/>
      <c r="K83" s="44"/>
      <c r="L83" s="44"/>
      <c r="M83" s="44">
        <f t="shared" si="1"/>
        <v>0.5</v>
      </c>
      <c r="N83" s="44">
        <f t="shared" si="2"/>
        <v>0</v>
      </c>
      <c r="O83" s="44">
        <f>IFERROR(__xludf.DUMMYFUNCTION("INT(FILTER(GT(F83,0),ISNUMBER(F83)))"),1.0)</f>
        <v>1</v>
      </c>
      <c r="P83" s="44">
        <f t="shared" si="3"/>
        <v>1</v>
      </c>
      <c r="Q83" s="44">
        <f>IFERROR(__xludf.DUMMYFUNCTION("INT(FILTER(EQ(E83,F83),ISNUMBER(E83),ISNUMBER(F83)))"),0.0)</f>
        <v>0</v>
      </c>
    </row>
    <row r="84">
      <c r="A84" s="38" t="s">
        <v>341</v>
      </c>
      <c r="B84" s="39" t="s">
        <v>342</v>
      </c>
      <c r="C84" s="40" t="s">
        <v>4695</v>
      </c>
      <c r="D84" s="46" t="s">
        <v>4696</v>
      </c>
      <c r="E84" s="42">
        <v>3.0</v>
      </c>
      <c r="F84" s="42">
        <v>3.0</v>
      </c>
      <c r="G84" s="42">
        <v>0.0</v>
      </c>
      <c r="H84" s="43" t="s">
        <v>4630</v>
      </c>
      <c r="I84" s="44"/>
      <c r="J84" s="44"/>
      <c r="K84" s="44"/>
      <c r="L84" s="44"/>
      <c r="M84" s="44">
        <f t="shared" si="1"/>
        <v>1</v>
      </c>
      <c r="N84" s="44">
        <f t="shared" si="2"/>
        <v>0</v>
      </c>
      <c r="O84" s="44">
        <f>IFERROR(__xludf.DUMMYFUNCTION("INT(FILTER(GT(F84,0),ISNUMBER(F84)))"),1.0)</f>
        <v>1</v>
      </c>
      <c r="P84" s="44">
        <f t="shared" si="3"/>
        <v>1</v>
      </c>
      <c r="Q84" s="44">
        <f>IFERROR(__xludf.DUMMYFUNCTION("INT(FILTER(EQ(E84,F84),ISNUMBER(E84),ISNUMBER(F84)))"),1.0)</f>
        <v>1</v>
      </c>
    </row>
    <row r="85">
      <c r="A85" s="38" t="s">
        <v>345</v>
      </c>
      <c r="B85" s="39" t="s">
        <v>346</v>
      </c>
      <c r="C85" s="40" t="s">
        <v>347</v>
      </c>
      <c r="D85" s="42" t="s">
        <v>4697</v>
      </c>
      <c r="E85" s="42">
        <v>2.0</v>
      </c>
      <c r="F85" s="42">
        <v>2.0</v>
      </c>
      <c r="G85" s="42">
        <v>0.0</v>
      </c>
      <c r="H85" s="43" t="s">
        <v>4630</v>
      </c>
      <c r="I85" s="44"/>
      <c r="J85" s="44"/>
      <c r="K85" s="44"/>
      <c r="L85" s="44"/>
      <c r="M85" s="44">
        <f t="shared" si="1"/>
        <v>1</v>
      </c>
      <c r="N85" s="44">
        <f t="shared" si="2"/>
        <v>0</v>
      </c>
      <c r="O85" s="44">
        <f>IFERROR(__xludf.DUMMYFUNCTION("INT(FILTER(GT(F85,0),ISNUMBER(F85)))"),1.0)</f>
        <v>1</v>
      </c>
      <c r="P85" s="44">
        <f t="shared" si="3"/>
        <v>1</v>
      </c>
      <c r="Q85" s="44">
        <f>IFERROR(__xludf.DUMMYFUNCTION("INT(FILTER(EQ(E85,F85),ISNUMBER(E85),ISNUMBER(F85)))"),1.0)</f>
        <v>1</v>
      </c>
    </row>
    <row r="86">
      <c r="A86" s="38" t="s">
        <v>349</v>
      </c>
      <c r="B86" s="39" t="s">
        <v>350</v>
      </c>
      <c r="C86" s="40" t="s">
        <v>351</v>
      </c>
      <c r="D86" s="42" t="s">
        <v>4698</v>
      </c>
      <c r="E86" s="42">
        <v>3.0</v>
      </c>
      <c r="F86" s="42">
        <v>3.0</v>
      </c>
      <c r="G86" s="42">
        <v>0.0</v>
      </c>
      <c r="H86" s="43" t="s">
        <v>4630</v>
      </c>
      <c r="I86" s="44"/>
      <c r="J86" s="44"/>
      <c r="K86" s="44"/>
      <c r="L86" s="44"/>
      <c r="M86" s="44">
        <f t="shared" si="1"/>
        <v>1</v>
      </c>
      <c r="N86" s="44">
        <f t="shared" si="2"/>
        <v>0</v>
      </c>
      <c r="O86" s="44">
        <f>IFERROR(__xludf.DUMMYFUNCTION("INT(FILTER(GT(F86,0),ISNUMBER(F86)))"),1.0)</f>
        <v>1</v>
      </c>
      <c r="P86" s="44">
        <f t="shared" si="3"/>
        <v>1</v>
      </c>
      <c r="Q86" s="44">
        <f>IFERROR(__xludf.DUMMYFUNCTION("INT(FILTER(EQ(E86,F86),ISNUMBER(E86),ISNUMBER(F86)))"),1.0)</f>
        <v>1</v>
      </c>
    </row>
    <row r="87">
      <c r="A87" s="38" t="s">
        <v>353</v>
      </c>
      <c r="B87" s="39" t="s">
        <v>354</v>
      </c>
      <c r="C87" s="40" t="s">
        <v>355</v>
      </c>
      <c r="D87" s="41" t="s">
        <v>356</v>
      </c>
      <c r="E87" s="42">
        <v>1.0</v>
      </c>
      <c r="F87" s="42">
        <v>1.0</v>
      </c>
      <c r="G87" s="42">
        <v>0.0</v>
      </c>
      <c r="H87" s="43" t="s">
        <v>4630</v>
      </c>
      <c r="I87" s="44"/>
      <c r="J87" s="44"/>
      <c r="K87" s="44"/>
      <c r="L87" s="44"/>
      <c r="M87" s="44">
        <f t="shared" si="1"/>
        <v>1</v>
      </c>
      <c r="N87" s="44">
        <f t="shared" si="2"/>
        <v>0</v>
      </c>
      <c r="O87" s="44">
        <f>IFERROR(__xludf.DUMMYFUNCTION("INT(FILTER(GT(F87,0),ISNUMBER(F87)))"),1.0)</f>
        <v>1</v>
      </c>
      <c r="P87" s="44">
        <f t="shared" si="3"/>
        <v>1</v>
      </c>
      <c r="Q87" s="44">
        <f>IFERROR(__xludf.DUMMYFUNCTION("INT(FILTER(EQ(E87,F87),ISNUMBER(E87),ISNUMBER(F87)))"),1.0)</f>
        <v>1</v>
      </c>
    </row>
    <row r="88">
      <c r="A88" s="38" t="s">
        <v>357</v>
      </c>
      <c r="B88" s="39" t="s">
        <v>358</v>
      </c>
      <c r="C88" s="40" t="s">
        <v>4699</v>
      </c>
      <c r="D88" s="41" t="s">
        <v>360</v>
      </c>
      <c r="E88" s="42">
        <v>2.0</v>
      </c>
      <c r="F88" s="42">
        <v>1.0</v>
      </c>
      <c r="G88" s="42">
        <v>0.0</v>
      </c>
      <c r="H88" s="43" t="s">
        <v>4630</v>
      </c>
      <c r="I88" s="44"/>
      <c r="J88" s="44"/>
      <c r="K88" s="44"/>
      <c r="L88" s="44"/>
      <c r="M88" s="44">
        <f t="shared" si="1"/>
        <v>0.5</v>
      </c>
      <c r="N88" s="44">
        <f t="shared" si="2"/>
        <v>0</v>
      </c>
      <c r="O88" s="44">
        <f>IFERROR(__xludf.DUMMYFUNCTION("INT(FILTER(GT(F88,0),ISNUMBER(F88)))"),1.0)</f>
        <v>1</v>
      </c>
      <c r="P88" s="44">
        <f t="shared" si="3"/>
        <v>1</v>
      </c>
      <c r="Q88" s="44">
        <f>IFERROR(__xludf.DUMMYFUNCTION("INT(FILTER(EQ(E88,F88),ISNUMBER(E88),ISNUMBER(F88)))"),0.0)</f>
        <v>0</v>
      </c>
    </row>
    <row r="89">
      <c r="A89" s="38" t="s">
        <v>361</v>
      </c>
      <c r="B89" s="39" t="s">
        <v>362</v>
      </c>
      <c r="C89" s="40" t="s">
        <v>4700</v>
      </c>
      <c r="D89" s="42" t="s">
        <v>4701</v>
      </c>
      <c r="E89" s="42">
        <v>5.0</v>
      </c>
      <c r="F89" s="42">
        <v>2.0</v>
      </c>
      <c r="G89" s="42">
        <v>0.0</v>
      </c>
      <c r="H89" s="43" t="s">
        <v>4630</v>
      </c>
      <c r="I89" s="44"/>
      <c r="J89" s="44"/>
      <c r="K89" s="44"/>
      <c r="L89" s="44"/>
      <c r="M89" s="44">
        <f t="shared" si="1"/>
        <v>0.4</v>
      </c>
      <c r="N89" s="44">
        <f t="shared" si="2"/>
        <v>0</v>
      </c>
      <c r="O89" s="44">
        <f>IFERROR(__xludf.DUMMYFUNCTION("INT(FILTER(GT(F89,0),ISNUMBER(F89)))"),1.0)</f>
        <v>1</v>
      </c>
      <c r="P89" s="44">
        <f t="shared" si="3"/>
        <v>1</v>
      </c>
      <c r="Q89" s="44">
        <f>IFERROR(__xludf.DUMMYFUNCTION("INT(FILTER(EQ(E89,F89),ISNUMBER(E89),ISNUMBER(F89)))"),0.0)</f>
        <v>0</v>
      </c>
    </row>
    <row r="90">
      <c r="A90" s="38" t="s">
        <v>365</v>
      </c>
      <c r="B90" s="39" t="s">
        <v>366</v>
      </c>
      <c r="C90" s="40" t="s">
        <v>367</v>
      </c>
      <c r="D90" s="42" t="s">
        <v>4702</v>
      </c>
      <c r="E90" s="42">
        <v>2.0</v>
      </c>
      <c r="F90" s="42">
        <v>2.0</v>
      </c>
      <c r="G90" s="42">
        <v>0.0</v>
      </c>
      <c r="H90" s="43" t="s">
        <v>4630</v>
      </c>
      <c r="I90" s="44"/>
      <c r="J90" s="44"/>
      <c r="K90" s="44"/>
      <c r="L90" s="44"/>
      <c r="M90" s="44">
        <f t="shared" si="1"/>
        <v>1</v>
      </c>
      <c r="N90" s="44">
        <f t="shared" si="2"/>
        <v>0</v>
      </c>
      <c r="O90" s="44">
        <f>IFERROR(__xludf.DUMMYFUNCTION("INT(FILTER(GT(F90,0),ISNUMBER(F90)))"),1.0)</f>
        <v>1</v>
      </c>
      <c r="P90" s="44">
        <f t="shared" si="3"/>
        <v>1</v>
      </c>
      <c r="Q90" s="44">
        <f>IFERROR(__xludf.DUMMYFUNCTION("INT(FILTER(EQ(E90,F90),ISNUMBER(E90),ISNUMBER(F90)))"),1.0)</f>
        <v>1</v>
      </c>
    </row>
    <row r="91">
      <c r="A91" s="38" t="s">
        <v>369</v>
      </c>
      <c r="B91" s="39" t="s">
        <v>370</v>
      </c>
      <c r="C91" s="40" t="s">
        <v>371</v>
      </c>
      <c r="D91" s="41" t="s">
        <v>372</v>
      </c>
      <c r="E91" s="42">
        <v>1.0</v>
      </c>
      <c r="F91" s="42">
        <v>1.0</v>
      </c>
      <c r="G91" s="42">
        <v>0.0</v>
      </c>
      <c r="H91" s="43" t="s">
        <v>4630</v>
      </c>
      <c r="I91" s="44"/>
      <c r="J91" s="44"/>
      <c r="K91" s="44"/>
      <c r="L91" s="44"/>
      <c r="M91" s="44">
        <f t="shared" si="1"/>
        <v>1</v>
      </c>
      <c r="N91" s="44">
        <f t="shared" si="2"/>
        <v>0</v>
      </c>
      <c r="O91" s="44">
        <f>IFERROR(__xludf.DUMMYFUNCTION("INT(FILTER(GT(F91,0),ISNUMBER(F91)))"),1.0)</f>
        <v>1</v>
      </c>
      <c r="P91" s="44">
        <f t="shared" si="3"/>
        <v>1</v>
      </c>
      <c r="Q91" s="44">
        <f>IFERROR(__xludf.DUMMYFUNCTION("INT(FILTER(EQ(E91,F91),ISNUMBER(E91),ISNUMBER(F91)))"),1.0)</f>
        <v>1</v>
      </c>
    </row>
    <row r="92">
      <c r="A92" s="38" t="s">
        <v>373</v>
      </c>
      <c r="B92" s="39" t="s">
        <v>374</v>
      </c>
      <c r="C92" s="40" t="s">
        <v>375</v>
      </c>
      <c r="D92" s="42" t="s">
        <v>4703</v>
      </c>
      <c r="E92" s="42">
        <v>3.0</v>
      </c>
      <c r="F92" s="42">
        <v>3.0</v>
      </c>
      <c r="G92" s="42">
        <v>0.0</v>
      </c>
      <c r="H92" s="43" t="s">
        <v>4630</v>
      </c>
      <c r="I92" s="44"/>
      <c r="J92" s="44"/>
      <c r="K92" s="44"/>
      <c r="L92" s="44"/>
      <c r="M92" s="44">
        <f t="shared" si="1"/>
        <v>1</v>
      </c>
      <c r="N92" s="44">
        <f t="shared" si="2"/>
        <v>0</v>
      </c>
      <c r="O92" s="44">
        <f>IFERROR(__xludf.DUMMYFUNCTION("INT(FILTER(GT(F92,0),ISNUMBER(F92)))"),1.0)</f>
        <v>1</v>
      </c>
      <c r="P92" s="44">
        <f t="shared" si="3"/>
        <v>1</v>
      </c>
      <c r="Q92" s="44">
        <f>IFERROR(__xludf.DUMMYFUNCTION("INT(FILTER(EQ(E92,F92),ISNUMBER(E92),ISNUMBER(F92)))"),1.0)</f>
        <v>1</v>
      </c>
    </row>
    <row r="93">
      <c r="A93" s="38" t="s">
        <v>377</v>
      </c>
      <c r="B93" s="39" t="s">
        <v>378</v>
      </c>
      <c r="C93" s="40" t="s">
        <v>4704</v>
      </c>
      <c r="D93" s="42" t="s">
        <v>4705</v>
      </c>
      <c r="E93" s="42">
        <v>3.0</v>
      </c>
      <c r="F93" s="42">
        <v>2.0</v>
      </c>
      <c r="G93" s="42">
        <v>0.0</v>
      </c>
      <c r="H93" s="43" t="s">
        <v>4630</v>
      </c>
      <c r="I93" s="44"/>
      <c r="J93" s="44"/>
      <c r="K93" s="44"/>
      <c r="L93" s="44"/>
      <c r="M93" s="44">
        <f t="shared" si="1"/>
        <v>0.6666666667</v>
      </c>
      <c r="N93" s="44">
        <f t="shared" si="2"/>
        <v>0</v>
      </c>
      <c r="O93" s="44">
        <f>IFERROR(__xludf.DUMMYFUNCTION("INT(FILTER(GT(F93,0),ISNUMBER(F93)))"),1.0)</f>
        <v>1</v>
      </c>
      <c r="P93" s="44">
        <f t="shared" si="3"/>
        <v>1</v>
      </c>
      <c r="Q93" s="44">
        <f>IFERROR(__xludf.DUMMYFUNCTION("INT(FILTER(EQ(E93,F93),ISNUMBER(E93),ISNUMBER(F93)))"),0.0)</f>
        <v>0</v>
      </c>
    </row>
    <row r="94">
      <c r="A94" s="38" t="s">
        <v>381</v>
      </c>
      <c r="B94" s="39" t="s">
        <v>382</v>
      </c>
      <c r="C94" s="40" t="s">
        <v>383</v>
      </c>
      <c r="D94" s="41" t="s">
        <v>384</v>
      </c>
      <c r="E94" s="42">
        <v>1.0</v>
      </c>
      <c r="F94" s="42">
        <v>1.0</v>
      </c>
      <c r="G94" s="42">
        <v>0.0</v>
      </c>
      <c r="H94" s="43" t="s">
        <v>4630</v>
      </c>
      <c r="I94" s="44"/>
      <c r="J94" s="44"/>
      <c r="K94" s="44"/>
      <c r="L94" s="44"/>
      <c r="M94" s="44">
        <f t="shared" si="1"/>
        <v>1</v>
      </c>
      <c r="N94" s="44">
        <f t="shared" si="2"/>
        <v>0</v>
      </c>
      <c r="O94" s="44">
        <f>IFERROR(__xludf.DUMMYFUNCTION("INT(FILTER(GT(F94,0),ISNUMBER(F94)))"),1.0)</f>
        <v>1</v>
      </c>
      <c r="P94" s="44">
        <f t="shared" si="3"/>
        <v>1</v>
      </c>
      <c r="Q94" s="44">
        <f>IFERROR(__xludf.DUMMYFUNCTION("INT(FILTER(EQ(E94,F94),ISNUMBER(E94),ISNUMBER(F94)))"),1.0)</f>
        <v>1</v>
      </c>
    </row>
    <row r="95">
      <c r="A95" s="38" t="s">
        <v>385</v>
      </c>
      <c r="B95" s="39" t="s">
        <v>386</v>
      </c>
      <c r="C95" s="40" t="s">
        <v>4706</v>
      </c>
      <c r="D95" s="42" t="s">
        <v>4707</v>
      </c>
      <c r="E95" s="42">
        <v>7.0</v>
      </c>
      <c r="F95" s="42">
        <v>5.0</v>
      </c>
      <c r="G95" s="42">
        <v>1.0</v>
      </c>
      <c r="H95" s="43" t="s">
        <v>4630</v>
      </c>
      <c r="I95" s="44"/>
      <c r="J95" s="44"/>
      <c r="K95" s="44"/>
      <c r="L95" s="44"/>
      <c r="M95" s="44">
        <f t="shared" si="1"/>
        <v>0.7142857143</v>
      </c>
      <c r="N95" s="44">
        <f t="shared" si="2"/>
        <v>0.1428571429</v>
      </c>
      <c r="O95" s="44">
        <f>IFERROR(__xludf.DUMMYFUNCTION("INT(FILTER(GT(F95,0),ISNUMBER(F95)))"),1.0)</f>
        <v>1</v>
      </c>
      <c r="P95" s="44">
        <f t="shared" si="3"/>
        <v>0.8333333333</v>
      </c>
      <c r="Q95" s="44">
        <f>IFERROR(__xludf.DUMMYFUNCTION("INT(FILTER(EQ(E95,F95),ISNUMBER(E95),ISNUMBER(F95)))"),0.0)</f>
        <v>0</v>
      </c>
    </row>
    <row r="96">
      <c r="A96" s="38" t="s">
        <v>389</v>
      </c>
      <c r="B96" s="39" t="s">
        <v>390</v>
      </c>
      <c r="C96" s="40" t="s">
        <v>4708</v>
      </c>
      <c r="D96" s="41" t="s">
        <v>4709</v>
      </c>
      <c r="E96" s="42">
        <v>1.0</v>
      </c>
      <c r="F96" s="42">
        <v>1.0</v>
      </c>
      <c r="G96" s="42">
        <v>0.0</v>
      </c>
      <c r="H96" s="43" t="s">
        <v>4630</v>
      </c>
      <c r="I96" s="44"/>
      <c r="J96" s="44"/>
      <c r="K96" s="44"/>
      <c r="L96" s="44"/>
      <c r="M96" s="44">
        <f t="shared" si="1"/>
        <v>1</v>
      </c>
      <c r="N96" s="44">
        <f t="shared" si="2"/>
        <v>0</v>
      </c>
      <c r="O96" s="44">
        <f>IFERROR(__xludf.DUMMYFUNCTION("INT(FILTER(GT(F96,0),ISNUMBER(F96)))"),1.0)</f>
        <v>1</v>
      </c>
      <c r="P96" s="44">
        <f t="shared" si="3"/>
        <v>1</v>
      </c>
      <c r="Q96" s="44">
        <f>IFERROR(__xludf.DUMMYFUNCTION("INT(FILTER(EQ(E96,F96),ISNUMBER(E96),ISNUMBER(F96)))"),1.0)</f>
        <v>1</v>
      </c>
    </row>
    <row r="97">
      <c r="A97" s="38" t="s">
        <v>393</v>
      </c>
      <c r="B97" s="39" t="s">
        <v>394</v>
      </c>
      <c r="C97" s="40" t="s">
        <v>4710</v>
      </c>
      <c r="D97" s="42" t="s">
        <v>4711</v>
      </c>
      <c r="E97" s="42">
        <v>6.0</v>
      </c>
      <c r="F97" s="42">
        <v>4.0</v>
      </c>
      <c r="G97" s="42">
        <v>0.0</v>
      </c>
      <c r="H97" s="43" t="s">
        <v>4630</v>
      </c>
      <c r="I97" s="44"/>
      <c r="J97" s="44"/>
      <c r="K97" s="44"/>
      <c r="L97" s="44"/>
      <c r="M97" s="44">
        <f t="shared" si="1"/>
        <v>0.6666666667</v>
      </c>
      <c r="N97" s="44">
        <f t="shared" si="2"/>
        <v>0</v>
      </c>
      <c r="O97" s="44">
        <f>IFERROR(__xludf.DUMMYFUNCTION("INT(FILTER(GT(F97,0),ISNUMBER(F97)))"),1.0)</f>
        <v>1</v>
      </c>
      <c r="P97" s="44">
        <f t="shared" si="3"/>
        <v>1</v>
      </c>
      <c r="Q97" s="44">
        <f>IFERROR(__xludf.DUMMYFUNCTION("INT(FILTER(EQ(E97,F97),ISNUMBER(E97),ISNUMBER(F97)))"),0.0)</f>
        <v>0</v>
      </c>
    </row>
    <row r="98">
      <c r="A98" s="38" t="s">
        <v>397</v>
      </c>
      <c r="B98" s="39" t="s">
        <v>398</v>
      </c>
      <c r="C98" s="40" t="s">
        <v>4712</v>
      </c>
      <c r="D98" s="41" t="s">
        <v>400</v>
      </c>
      <c r="E98" s="42">
        <v>3.0</v>
      </c>
      <c r="F98" s="42">
        <v>1.0</v>
      </c>
      <c r="G98" s="42">
        <v>0.0</v>
      </c>
      <c r="H98" s="43" t="s">
        <v>4630</v>
      </c>
      <c r="I98" s="44"/>
      <c r="J98" s="44"/>
      <c r="K98" s="44"/>
      <c r="L98" s="44"/>
      <c r="M98" s="44">
        <f t="shared" si="1"/>
        <v>0.3333333333</v>
      </c>
      <c r="N98" s="44">
        <f t="shared" si="2"/>
        <v>0</v>
      </c>
      <c r="O98" s="44">
        <f>IFERROR(__xludf.DUMMYFUNCTION("INT(FILTER(GT(F98,0),ISNUMBER(F98)))"),1.0)</f>
        <v>1</v>
      </c>
      <c r="P98" s="44">
        <f t="shared" si="3"/>
        <v>1</v>
      </c>
      <c r="Q98" s="44">
        <f>IFERROR(__xludf.DUMMYFUNCTION("INT(FILTER(EQ(E98,F98),ISNUMBER(E98),ISNUMBER(F98)))"),0.0)</f>
        <v>0</v>
      </c>
    </row>
    <row r="99">
      <c r="A99" s="38" t="s">
        <v>401</v>
      </c>
      <c r="B99" s="39" t="s">
        <v>402</v>
      </c>
      <c r="C99" s="40" t="s">
        <v>4713</v>
      </c>
      <c r="D99" s="41" t="s">
        <v>404</v>
      </c>
      <c r="E99" s="42">
        <v>2.0</v>
      </c>
      <c r="F99" s="42">
        <v>1.0</v>
      </c>
      <c r="G99" s="42">
        <v>0.0</v>
      </c>
      <c r="H99" s="43" t="s">
        <v>4630</v>
      </c>
      <c r="I99" s="44"/>
      <c r="J99" s="44"/>
      <c r="K99" s="44"/>
      <c r="L99" s="44"/>
      <c r="M99" s="44">
        <f t="shared" si="1"/>
        <v>0.5</v>
      </c>
      <c r="N99" s="44">
        <f t="shared" si="2"/>
        <v>0</v>
      </c>
      <c r="O99" s="44">
        <f>IFERROR(__xludf.DUMMYFUNCTION("INT(FILTER(GT(F99,0),ISNUMBER(F99)))"),1.0)</f>
        <v>1</v>
      </c>
      <c r="P99" s="44">
        <f t="shared" si="3"/>
        <v>1</v>
      </c>
      <c r="Q99" s="44">
        <f>IFERROR(__xludf.DUMMYFUNCTION("INT(FILTER(EQ(E99,F99),ISNUMBER(E99),ISNUMBER(F99)))"),0.0)</f>
        <v>0</v>
      </c>
    </row>
    <row r="100">
      <c r="A100" s="38" t="s">
        <v>405</v>
      </c>
      <c r="B100" s="39" t="s">
        <v>406</v>
      </c>
      <c r="C100" s="40" t="s">
        <v>407</v>
      </c>
      <c r="D100" s="42" t="s">
        <v>4714</v>
      </c>
      <c r="E100" s="42">
        <v>3.0</v>
      </c>
      <c r="F100" s="42">
        <v>3.0</v>
      </c>
      <c r="G100" s="42">
        <v>0.0</v>
      </c>
      <c r="H100" s="43" t="s">
        <v>4630</v>
      </c>
      <c r="I100" s="44"/>
      <c r="J100" s="44"/>
      <c r="K100" s="44"/>
      <c r="L100" s="44"/>
      <c r="M100" s="44">
        <f t="shared" si="1"/>
        <v>1</v>
      </c>
      <c r="N100" s="44">
        <f t="shared" si="2"/>
        <v>0</v>
      </c>
      <c r="O100" s="44">
        <f>IFERROR(__xludf.DUMMYFUNCTION("INT(FILTER(GT(F100,0),ISNUMBER(F100)))"),1.0)</f>
        <v>1</v>
      </c>
      <c r="P100" s="44">
        <f t="shared" si="3"/>
        <v>1</v>
      </c>
      <c r="Q100" s="44">
        <f>IFERROR(__xludf.DUMMYFUNCTION("INT(FILTER(EQ(E100,F100),ISNUMBER(E100),ISNUMBER(F100)))"),1.0)</f>
        <v>1</v>
      </c>
    </row>
    <row r="101">
      <c r="A101" s="38" t="s">
        <v>409</v>
      </c>
      <c r="B101" s="39" t="s">
        <v>410</v>
      </c>
      <c r="C101" s="40" t="s">
        <v>4715</v>
      </c>
      <c r="D101" s="42" t="s">
        <v>412</v>
      </c>
      <c r="E101" s="47">
        <v>3.0</v>
      </c>
      <c r="F101" s="48">
        <v>2.0</v>
      </c>
      <c r="G101" s="47">
        <v>0.0</v>
      </c>
      <c r="H101" s="12"/>
      <c r="I101" s="12"/>
      <c r="J101" s="12"/>
      <c r="K101" s="12"/>
      <c r="L101" s="12"/>
      <c r="M101" s="44">
        <f t="shared" si="1"/>
        <v>0.6666666667</v>
      </c>
      <c r="N101" s="44">
        <f t="shared" si="2"/>
        <v>0</v>
      </c>
      <c r="O101" s="44">
        <f>IFERROR(__xludf.DUMMYFUNCTION("INT(FILTER(GT(F101,0),ISNUMBER(F101)))"),1.0)</f>
        <v>1</v>
      </c>
      <c r="P101" s="44">
        <f t="shared" si="3"/>
        <v>1</v>
      </c>
      <c r="Q101" s="44">
        <f>IFERROR(__xludf.DUMMYFUNCTION("INT(FILTER(EQ(E101,F101),ISNUMBER(E101),ISNUMBER(F101)))"),0.0)</f>
        <v>0</v>
      </c>
    </row>
    <row r="102">
      <c r="A102" s="38" t="s">
        <v>413</v>
      </c>
      <c r="B102" s="39" t="s">
        <v>414</v>
      </c>
      <c r="C102" s="40" t="s">
        <v>172</v>
      </c>
      <c r="D102" s="41" t="s">
        <v>173</v>
      </c>
      <c r="E102" s="47">
        <v>1.0</v>
      </c>
      <c r="F102" s="47">
        <v>1.0</v>
      </c>
      <c r="G102" s="47">
        <v>0.0</v>
      </c>
      <c r="H102" s="12"/>
      <c r="I102" s="12"/>
      <c r="J102" s="12"/>
      <c r="K102" s="12"/>
      <c r="L102" s="12"/>
      <c r="M102" s="44">
        <f t="shared" si="1"/>
        <v>1</v>
      </c>
      <c r="N102" s="44">
        <f t="shared" si="2"/>
        <v>0</v>
      </c>
      <c r="O102" s="44">
        <f>IFERROR(__xludf.DUMMYFUNCTION("INT(FILTER(GT(F102,0),ISNUMBER(F102)))"),1.0)</f>
        <v>1</v>
      </c>
      <c r="P102" s="44">
        <f t="shared" si="3"/>
        <v>1</v>
      </c>
      <c r="Q102" s="44">
        <f>IFERROR(__xludf.DUMMYFUNCTION("INT(FILTER(EQ(E102,F102),ISNUMBER(E102),ISNUMBER(F102)))"),1.0)</f>
        <v>1</v>
      </c>
    </row>
    <row r="103">
      <c r="A103" s="38" t="s">
        <v>415</v>
      </c>
      <c r="B103" s="39" t="s">
        <v>416</v>
      </c>
      <c r="C103" s="40" t="s">
        <v>4716</v>
      </c>
      <c r="D103" s="42" t="s">
        <v>4717</v>
      </c>
      <c r="E103" s="47">
        <v>7.0</v>
      </c>
      <c r="F103" s="47">
        <v>3.0</v>
      </c>
      <c r="G103" s="47">
        <v>1.0</v>
      </c>
      <c r="H103" s="12"/>
      <c r="I103" s="12"/>
      <c r="J103" s="12"/>
      <c r="K103" s="12"/>
      <c r="L103" s="12"/>
      <c r="M103" s="44">
        <f t="shared" si="1"/>
        <v>0.4285714286</v>
      </c>
      <c r="N103" s="44">
        <f t="shared" si="2"/>
        <v>0.1428571429</v>
      </c>
      <c r="O103" s="44">
        <f>IFERROR(__xludf.DUMMYFUNCTION("INT(FILTER(GT(F103,0),ISNUMBER(F103)))"),1.0)</f>
        <v>1</v>
      </c>
      <c r="P103" s="44">
        <f t="shared" si="3"/>
        <v>0.75</v>
      </c>
      <c r="Q103" s="44">
        <f>IFERROR(__xludf.DUMMYFUNCTION("INT(FILTER(EQ(E103,F103),ISNUMBER(E103),ISNUMBER(F103)))"),0.0)</f>
        <v>0</v>
      </c>
    </row>
    <row r="104">
      <c r="A104" s="38" t="s">
        <v>419</v>
      </c>
      <c r="B104" s="39" t="s">
        <v>420</v>
      </c>
      <c r="C104" s="40" t="s">
        <v>4718</v>
      </c>
      <c r="D104" s="41" t="s">
        <v>4719</v>
      </c>
      <c r="E104" s="47">
        <v>2.0</v>
      </c>
      <c r="F104" s="47">
        <v>0.0</v>
      </c>
      <c r="G104" s="47">
        <v>0.0</v>
      </c>
      <c r="H104" s="12"/>
      <c r="I104" s="12"/>
      <c r="J104" s="12"/>
      <c r="K104" s="12"/>
      <c r="L104" s="12"/>
      <c r="M104" s="44">
        <f t="shared" si="1"/>
        <v>0</v>
      </c>
      <c r="N104" s="44">
        <f t="shared" si="2"/>
        <v>0</v>
      </c>
      <c r="O104" s="44">
        <f>IFERROR(__xludf.DUMMYFUNCTION("INT(FILTER(GT(F104,0),ISNUMBER(F104)))"),0.0)</f>
        <v>0</v>
      </c>
      <c r="P104" s="44" t="str">
        <f t="shared" si="3"/>
        <v>#DIV/0!</v>
      </c>
      <c r="Q104" s="44">
        <f>IFERROR(__xludf.DUMMYFUNCTION("INT(FILTER(EQ(E104,F104),ISNUMBER(E104),ISNUMBER(F104)))"),0.0)</f>
        <v>0</v>
      </c>
    </row>
    <row r="105">
      <c r="A105" s="38" t="s">
        <v>423</v>
      </c>
      <c r="B105" s="39" t="s">
        <v>424</v>
      </c>
      <c r="C105" s="40" t="s">
        <v>4720</v>
      </c>
      <c r="D105" s="42" t="s">
        <v>4721</v>
      </c>
      <c r="E105" s="47">
        <v>3.0</v>
      </c>
      <c r="F105" s="47">
        <v>3.0</v>
      </c>
      <c r="G105" s="47">
        <v>0.0</v>
      </c>
      <c r="H105" s="12"/>
      <c r="I105" s="12"/>
      <c r="J105" s="12"/>
      <c r="K105" s="12"/>
      <c r="L105" s="12"/>
      <c r="M105" s="44">
        <f t="shared" si="1"/>
        <v>1</v>
      </c>
      <c r="N105" s="44">
        <f t="shared" si="2"/>
        <v>0</v>
      </c>
      <c r="O105" s="44">
        <f>IFERROR(__xludf.DUMMYFUNCTION("INT(FILTER(GT(F105,0),ISNUMBER(F105)))"),1.0)</f>
        <v>1</v>
      </c>
      <c r="P105" s="44">
        <f t="shared" si="3"/>
        <v>1</v>
      </c>
      <c r="Q105" s="44">
        <f>IFERROR(__xludf.DUMMYFUNCTION("INT(FILTER(EQ(E105,F105),ISNUMBER(E105),ISNUMBER(F105)))"),1.0)</f>
        <v>1</v>
      </c>
    </row>
    <row r="106">
      <c r="A106" s="38" t="s">
        <v>427</v>
      </c>
      <c r="B106" s="39" t="s">
        <v>428</v>
      </c>
      <c r="C106" s="40" t="s">
        <v>4722</v>
      </c>
      <c r="D106" s="41" t="s">
        <v>4723</v>
      </c>
      <c r="E106" s="47">
        <v>1.0</v>
      </c>
      <c r="F106" s="47">
        <v>1.0</v>
      </c>
      <c r="G106" s="47">
        <v>0.0</v>
      </c>
      <c r="H106" s="12"/>
      <c r="I106" s="12"/>
      <c r="J106" s="12"/>
      <c r="K106" s="12"/>
      <c r="L106" s="12"/>
      <c r="M106" s="44">
        <f t="shared" si="1"/>
        <v>1</v>
      </c>
      <c r="N106" s="44">
        <f t="shared" si="2"/>
        <v>0</v>
      </c>
      <c r="O106" s="44">
        <f>IFERROR(__xludf.DUMMYFUNCTION("INT(FILTER(GT(F106,0),ISNUMBER(F106)))"),1.0)</f>
        <v>1</v>
      </c>
      <c r="P106" s="44">
        <f t="shared" si="3"/>
        <v>1</v>
      </c>
      <c r="Q106" s="44">
        <f>IFERROR(__xludf.DUMMYFUNCTION("INT(FILTER(EQ(E106,F106),ISNUMBER(E106),ISNUMBER(F106)))"),1.0)</f>
        <v>1</v>
      </c>
    </row>
    <row r="107">
      <c r="A107" s="38" t="s">
        <v>431</v>
      </c>
      <c r="B107" s="39" t="s">
        <v>432</v>
      </c>
      <c r="C107" s="40" t="s">
        <v>4724</v>
      </c>
      <c r="D107" s="42" t="s">
        <v>4725</v>
      </c>
      <c r="E107" s="47">
        <v>4.0</v>
      </c>
      <c r="F107" s="47">
        <v>3.0</v>
      </c>
      <c r="G107" s="47">
        <v>1.0</v>
      </c>
      <c r="H107" s="12"/>
      <c r="I107" s="12"/>
      <c r="J107" s="12"/>
      <c r="K107" s="12"/>
      <c r="L107" s="12"/>
      <c r="M107" s="44">
        <f t="shared" si="1"/>
        <v>0.75</v>
      </c>
      <c r="N107" s="44">
        <f t="shared" si="2"/>
        <v>0.25</v>
      </c>
      <c r="O107" s="44">
        <f>IFERROR(__xludf.DUMMYFUNCTION("INT(FILTER(GT(F107,0),ISNUMBER(F107)))"),1.0)</f>
        <v>1</v>
      </c>
      <c r="P107" s="44">
        <f t="shared" si="3"/>
        <v>0.75</v>
      </c>
      <c r="Q107" s="44">
        <f>IFERROR(__xludf.DUMMYFUNCTION("INT(FILTER(EQ(E107,F107),ISNUMBER(E107),ISNUMBER(F107)))"),0.0)</f>
        <v>0</v>
      </c>
    </row>
    <row r="108">
      <c r="A108" s="38" t="s">
        <v>435</v>
      </c>
      <c r="B108" s="39" t="s">
        <v>436</v>
      </c>
      <c r="C108" s="40" t="s">
        <v>295</v>
      </c>
      <c r="D108" s="41" t="s">
        <v>296</v>
      </c>
      <c r="E108" s="47">
        <v>1.0</v>
      </c>
      <c r="F108" s="47">
        <v>1.0</v>
      </c>
      <c r="G108" s="47">
        <v>0.0</v>
      </c>
      <c r="H108" s="12"/>
      <c r="I108" s="12"/>
      <c r="J108" s="12"/>
      <c r="K108" s="12"/>
      <c r="L108" s="12"/>
      <c r="M108" s="44">
        <f t="shared" si="1"/>
        <v>1</v>
      </c>
      <c r="N108" s="44">
        <f t="shared" si="2"/>
        <v>0</v>
      </c>
      <c r="O108" s="44">
        <f>IFERROR(__xludf.DUMMYFUNCTION("INT(FILTER(GT(F108,0),ISNUMBER(F108)))"),1.0)</f>
        <v>1</v>
      </c>
      <c r="P108" s="44">
        <f t="shared" si="3"/>
        <v>1</v>
      </c>
      <c r="Q108" s="44">
        <f>IFERROR(__xludf.DUMMYFUNCTION("INT(FILTER(EQ(E108,F108),ISNUMBER(E108),ISNUMBER(F108)))"),1.0)</f>
        <v>1</v>
      </c>
    </row>
    <row r="109">
      <c r="A109" s="38" t="s">
        <v>438</v>
      </c>
      <c r="B109" s="39" t="s">
        <v>439</v>
      </c>
      <c r="C109" s="40" t="s">
        <v>2064</v>
      </c>
      <c r="D109" s="41" t="s">
        <v>441</v>
      </c>
      <c r="E109" s="47">
        <v>5.0</v>
      </c>
      <c r="F109" s="47">
        <v>1.0</v>
      </c>
      <c r="G109" s="47">
        <v>0.0</v>
      </c>
      <c r="H109" s="12"/>
      <c r="I109" s="12"/>
      <c r="J109" s="12"/>
      <c r="K109" s="12"/>
      <c r="L109" s="12"/>
      <c r="M109" s="44">
        <f t="shared" si="1"/>
        <v>0.2</v>
      </c>
      <c r="N109" s="44">
        <f t="shared" si="2"/>
        <v>0</v>
      </c>
      <c r="O109" s="44">
        <f>IFERROR(__xludf.DUMMYFUNCTION("INT(FILTER(GT(F109,0),ISNUMBER(F109)))"),1.0)</f>
        <v>1</v>
      </c>
      <c r="P109" s="44">
        <f t="shared" si="3"/>
        <v>1</v>
      </c>
      <c r="Q109" s="44">
        <f>IFERROR(__xludf.DUMMYFUNCTION("INT(FILTER(EQ(E109,F109),ISNUMBER(E109),ISNUMBER(F109)))"),0.0)</f>
        <v>0</v>
      </c>
    </row>
    <row r="110">
      <c r="A110" s="38" t="s">
        <v>442</v>
      </c>
      <c r="B110" s="39" t="s">
        <v>443</v>
      </c>
      <c r="C110" s="40" t="s">
        <v>681</v>
      </c>
      <c r="D110" s="41" t="s">
        <v>445</v>
      </c>
      <c r="E110" s="47">
        <v>3.0</v>
      </c>
      <c r="F110" s="47">
        <v>1.0</v>
      </c>
      <c r="G110" s="47">
        <v>2.0</v>
      </c>
      <c r="H110" s="12"/>
      <c r="I110" s="12"/>
      <c r="J110" s="12"/>
      <c r="K110" s="12"/>
      <c r="L110" s="12"/>
      <c r="M110" s="44">
        <f t="shared" si="1"/>
        <v>0.3333333333</v>
      </c>
      <c r="N110" s="44">
        <f t="shared" si="2"/>
        <v>0.6666666667</v>
      </c>
      <c r="O110" s="44">
        <f>IFERROR(__xludf.DUMMYFUNCTION("INT(FILTER(GT(F110,0),ISNUMBER(F110)))"),1.0)</f>
        <v>1</v>
      </c>
      <c r="P110" s="44">
        <f t="shared" si="3"/>
        <v>0.3333333333</v>
      </c>
      <c r="Q110" s="44">
        <f>IFERROR(__xludf.DUMMYFUNCTION("INT(FILTER(EQ(E110,F110),ISNUMBER(E110),ISNUMBER(F110)))"),0.0)</f>
        <v>0</v>
      </c>
    </row>
    <row r="111">
      <c r="A111" s="38" t="s">
        <v>446</v>
      </c>
      <c r="B111" s="39" t="s">
        <v>447</v>
      </c>
      <c r="C111" s="40" t="s">
        <v>4726</v>
      </c>
      <c r="D111" s="42" t="s">
        <v>449</v>
      </c>
      <c r="E111" s="47">
        <v>5.0</v>
      </c>
      <c r="F111" s="47">
        <v>4.0</v>
      </c>
      <c r="G111" s="47">
        <v>1.0</v>
      </c>
      <c r="H111" s="12"/>
      <c r="I111" s="12"/>
      <c r="J111" s="12"/>
      <c r="K111" s="12"/>
      <c r="L111" s="12"/>
      <c r="M111" s="44">
        <f t="shared" si="1"/>
        <v>0.8</v>
      </c>
      <c r="N111" s="44">
        <f t="shared" si="2"/>
        <v>0.2</v>
      </c>
      <c r="O111" s="44">
        <f>IFERROR(__xludf.DUMMYFUNCTION("INT(FILTER(GT(F111,0),ISNUMBER(F111)))"),1.0)</f>
        <v>1</v>
      </c>
      <c r="P111" s="44">
        <f t="shared" si="3"/>
        <v>0.8</v>
      </c>
      <c r="Q111" s="44">
        <f>IFERROR(__xludf.DUMMYFUNCTION("INT(FILTER(EQ(E111,F111),ISNUMBER(E111),ISNUMBER(F111)))"),0.0)</f>
        <v>0</v>
      </c>
    </row>
    <row r="112">
      <c r="A112" s="38" t="s">
        <v>450</v>
      </c>
      <c r="B112" s="39" t="s">
        <v>451</v>
      </c>
      <c r="C112" s="40" t="s">
        <v>4727</v>
      </c>
      <c r="D112" s="42" t="s">
        <v>4728</v>
      </c>
      <c r="E112" s="47">
        <v>4.0</v>
      </c>
      <c r="F112" s="47">
        <v>4.0</v>
      </c>
      <c r="G112" s="47">
        <v>0.0</v>
      </c>
      <c r="H112" s="12"/>
      <c r="I112" s="12"/>
      <c r="J112" s="12"/>
      <c r="K112" s="12"/>
      <c r="L112" s="12"/>
      <c r="M112" s="44">
        <f t="shared" si="1"/>
        <v>1</v>
      </c>
      <c r="N112" s="44">
        <f t="shared" si="2"/>
        <v>0</v>
      </c>
      <c r="O112" s="44">
        <f>IFERROR(__xludf.DUMMYFUNCTION("INT(FILTER(GT(F112,0),ISNUMBER(F112)))"),1.0)</f>
        <v>1</v>
      </c>
      <c r="P112" s="44">
        <f t="shared" si="3"/>
        <v>1</v>
      </c>
      <c r="Q112" s="44">
        <f>IFERROR(__xludf.DUMMYFUNCTION("INT(FILTER(EQ(E112,F112),ISNUMBER(E112),ISNUMBER(F112)))"),1.0)</f>
        <v>1</v>
      </c>
    </row>
    <row r="113">
      <c r="A113" s="38" t="s">
        <v>454</v>
      </c>
      <c r="B113" s="39" t="s">
        <v>455</v>
      </c>
      <c r="C113" s="40" t="s">
        <v>4729</v>
      </c>
      <c r="D113" s="41" t="s">
        <v>457</v>
      </c>
      <c r="E113" s="47">
        <v>2.0</v>
      </c>
      <c r="F113" s="47">
        <v>1.0</v>
      </c>
      <c r="G113" s="47">
        <v>0.0</v>
      </c>
      <c r="H113" s="12"/>
      <c r="I113" s="12"/>
      <c r="J113" s="12"/>
      <c r="K113" s="12"/>
      <c r="L113" s="12"/>
      <c r="M113" s="44">
        <f t="shared" si="1"/>
        <v>0.5</v>
      </c>
      <c r="N113" s="44">
        <f t="shared" si="2"/>
        <v>0</v>
      </c>
      <c r="O113" s="44">
        <f>IFERROR(__xludf.DUMMYFUNCTION("INT(FILTER(GT(F113,0),ISNUMBER(F113)))"),1.0)</f>
        <v>1</v>
      </c>
      <c r="P113" s="44">
        <f t="shared" si="3"/>
        <v>1</v>
      </c>
      <c r="Q113" s="44">
        <f>IFERROR(__xludf.DUMMYFUNCTION("INT(FILTER(EQ(E113,F113),ISNUMBER(E113),ISNUMBER(F113)))"),0.0)</f>
        <v>0</v>
      </c>
    </row>
    <row r="114">
      <c r="A114" s="38" t="s">
        <v>458</v>
      </c>
      <c r="B114" s="39" t="s">
        <v>459</v>
      </c>
      <c r="C114" s="40" t="s">
        <v>4730</v>
      </c>
      <c r="D114" s="41" t="s">
        <v>4731</v>
      </c>
      <c r="E114" s="47">
        <v>1.0</v>
      </c>
      <c r="F114" s="47">
        <v>1.0</v>
      </c>
      <c r="G114" s="47">
        <v>0.0</v>
      </c>
      <c r="H114" s="12"/>
      <c r="I114" s="12"/>
      <c r="J114" s="12"/>
      <c r="K114" s="12"/>
      <c r="L114" s="12"/>
      <c r="M114" s="44">
        <f t="shared" si="1"/>
        <v>1</v>
      </c>
      <c r="N114" s="44">
        <f t="shared" si="2"/>
        <v>0</v>
      </c>
      <c r="O114" s="44">
        <f>IFERROR(__xludf.DUMMYFUNCTION("INT(FILTER(GT(F114,0),ISNUMBER(F114)))"),1.0)</f>
        <v>1</v>
      </c>
      <c r="P114" s="44">
        <f t="shared" si="3"/>
        <v>1</v>
      </c>
      <c r="Q114" s="44">
        <f>IFERROR(__xludf.DUMMYFUNCTION("INT(FILTER(EQ(E114,F114),ISNUMBER(E114),ISNUMBER(F114)))"),1.0)</f>
        <v>1</v>
      </c>
    </row>
    <row r="115">
      <c r="A115" s="38" t="s">
        <v>463</v>
      </c>
      <c r="B115" s="39" t="s">
        <v>464</v>
      </c>
      <c r="C115" s="40" t="s">
        <v>4732</v>
      </c>
      <c r="D115" s="42" t="s">
        <v>4733</v>
      </c>
      <c r="E115" s="47">
        <v>3.0</v>
      </c>
      <c r="F115" s="47">
        <v>3.0</v>
      </c>
      <c r="G115" s="47">
        <v>0.0</v>
      </c>
      <c r="H115" s="12"/>
      <c r="I115" s="12"/>
      <c r="J115" s="12"/>
      <c r="K115" s="12"/>
      <c r="L115" s="12"/>
      <c r="M115" s="44">
        <f t="shared" si="1"/>
        <v>1</v>
      </c>
      <c r="N115" s="44">
        <f t="shared" si="2"/>
        <v>0</v>
      </c>
      <c r="O115" s="44">
        <f>IFERROR(__xludf.DUMMYFUNCTION("INT(FILTER(GT(F115,0),ISNUMBER(F115)))"),1.0)</f>
        <v>1</v>
      </c>
      <c r="P115" s="44">
        <f t="shared" si="3"/>
        <v>1</v>
      </c>
      <c r="Q115" s="44">
        <f>IFERROR(__xludf.DUMMYFUNCTION("INT(FILTER(EQ(E115,F115),ISNUMBER(E115),ISNUMBER(F115)))"),1.0)</f>
        <v>1</v>
      </c>
    </row>
    <row r="116">
      <c r="A116" s="38" t="s">
        <v>467</v>
      </c>
      <c r="B116" s="39" t="s">
        <v>468</v>
      </c>
      <c r="C116" s="40" t="s">
        <v>469</v>
      </c>
      <c r="D116" s="42" t="s">
        <v>4734</v>
      </c>
      <c r="E116" s="47">
        <v>1.0</v>
      </c>
      <c r="F116" s="47">
        <v>1.0</v>
      </c>
      <c r="G116" s="47">
        <v>1.0</v>
      </c>
      <c r="H116" s="12"/>
      <c r="I116" s="12"/>
      <c r="J116" s="12"/>
      <c r="K116" s="12"/>
      <c r="L116" s="12"/>
      <c r="M116" s="44">
        <f t="shared" si="1"/>
        <v>1</v>
      </c>
      <c r="N116" s="44">
        <f t="shared" si="2"/>
        <v>1</v>
      </c>
      <c r="O116" s="44">
        <f>IFERROR(__xludf.DUMMYFUNCTION("INT(FILTER(GT(F116,0),ISNUMBER(F116)))"),1.0)</f>
        <v>1</v>
      </c>
      <c r="P116" s="44">
        <f t="shared" si="3"/>
        <v>0.5</v>
      </c>
      <c r="Q116" s="44">
        <f>IFERROR(__xludf.DUMMYFUNCTION("INT(FILTER(EQ(E116,F116),ISNUMBER(E116),ISNUMBER(F116)))"),1.0)</f>
        <v>1</v>
      </c>
    </row>
    <row r="117">
      <c r="A117" s="38" t="s">
        <v>471</v>
      </c>
      <c r="B117" s="39" t="s">
        <v>472</v>
      </c>
      <c r="C117" s="40" t="s">
        <v>473</v>
      </c>
      <c r="D117" s="42" t="s">
        <v>474</v>
      </c>
      <c r="E117" s="47">
        <v>2.0</v>
      </c>
      <c r="F117" s="47">
        <v>2.0</v>
      </c>
      <c r="G117" s="47">
        <v>0.0</v>
      </c>
      <c r="H117" s="12"/>
      <c r="I117" s="12"/>
      <c r="J117" s="12"/>
      <c r="K117" s="12"/>
      <c r="L117" s="12"/>
      <c r="M117" s="44">
        <f t="shared" si="1"/>
        <v>1</v>
      </c>
      <c r="N117" s="44">
        <f t="shared" si="2"/>
        <v>0</v>
      </c>
      <c r="O117" s="44">
        <f>IFERROR(__xludf.DUMMYFUNCTION("INT(FILTER(GT(F117,0),ISNUMBER(F117)))"),1.0)</f>
        <v>1</v>
      </c>
      <c r="P117" s="44">
        <f t="shared" si="3"/>
        <v>1</v>
      </c>
      <c r="Q117" s="44">
        <f>IFERROR(__xludf.DUMMYFUNCTION("INT(FILTER(EQ(E117,F117),ISNUMBER(E117),ISNUMBER(F117)))"),1.0)</f>
        <v>1</v>
      </c>
    </row>
    <row r="118">
      <c r="A118" s="38" t="s">
        <v>475</v>
      </c>
      <c r="B118" s="39" t="s">
        <v>476</v>
      </c>
      <c r="C118" s="40" t="s">
        <v>477</v>
      </c>
      <c r="D118" s="41" t="s">
        <v>478</v>
      </c>
      <c r="E118" s="47">
        <v>2.0</v>
      </c>
      <c r="F118" s="47">
        <v>0.0</v>
      </c>
      <c r="G118" s="47">
        <v>2.0</v>
      </c>
      <c r="H118" s="12"/>
      <c r="I118" s="12"/>
      <c r="J118" s="12"/>
      <c r="K118" s="12"/>
      <c r="L118" s="12"/>
      <c r="M118" s="44">
        <f t="shared" si="1"/>
        <v>0</v>
      </c>
      <c r="N118" s="44">
        <f t="shared" si="2"/>
        <v>1</v>
      </c>
      <c r="O118" s="44">
        <f>IFERROR(__xludf.DUMMYFUNCTION("INT(FILTER(GT(F118,0),ISNUMBER(F118)))"),0.0)</f>
        <v>0</v>
      </c>
      <c r="P118" s="44">
        <f t="shared" si="3"/>
        <v>0</v>
      </c>
      <c r="Q118" s="44">
        <f>IFERROR(__xludf.DUMMYFUNCTION("INT(FILTER(EQ(E118,F118),ISNUMBER(E118),ISNUMBER(F118)))"),0.0)</f>
        <v>0</v>
      </c>
    </row>
    <row r="119">
      <c r="A119" s="38" t="s">
        <v>479</v>
      </c>
      <c r="B119" s="39" t="s">
        <v>480</v>
      </c>
      <c r="C119" s="40" t="s">
        <v>3527</v>
      </c>
      <c r="D119" s="41" t="s">
        <v>482</v>
      </c>
      <c r="E119" s="47">
        <v>2.0</v>
      </c>
      <c r="F119" s="47">
        <v>1.0</v>
      </c>
      <c r="G119" s="47">
        <v>0.0</v>
      </c>
      <c r="H119" s="12"/>
      <c r="I119" s="12"/>
      <c r="J119" s="12"/>
      <c r="K119" s="12"/>
      <c r="L119" s="12"/>
      <c r="M119" s="44">
        <f t="shared" si="1"/>
        <v>0.5</v>
      </c>
      <c r="N119" s="44">
        <f t="shared" si="2"/>
        <v>0</v>
      </c>
      <c r="O119" s="44">
        <f>IFERROR(__xludf.DUMMYFUNCTION("INT(FILTER(GT(F119,0),ISNUMBER(F119)))"),1.0)</f>
        <v>1</v>
      </c>
      <c r="P119" s="44">
        <f t="shared" si="3"/>
        <v>1</v>
      </c>
      <c r="Q119" s="44">
        <f>IFERROR(__xludf.DUMMYFUNCTION("INT(FILTER(EQ(E119,F119),ISNUMBER(E119),ISNUMBER(F119)))"),0.0)</f>
        <v>0</v>
      </c>
    </row>
    <row r="120">
      <c r="A120" s="38" t="s">
        <v>483</v>
      </c>
      <c r="B120" s="39" t="s">
        <v>484</v>
      </c>
      <c r="C120" s="40" t="s">
        <v>4735</v>
      </c>
      <c r="D120" s="41" t="s">
        <v>486</v>
      </c>
      <c r="E120" s="47">
        <v>2.0</v>
      </c>
      <c r="F120" s="47">
        <v>1.0</v>
      </c>
      <c r="G120" s="47">
        <v>0.0</v>
      </c>
      <c r="H120" s="12"/>
      <c r="I120" s="12"/>
      <c r="J120" s="12"/>
      <c r="K120" s="12"/>
      <c r="L120" s="12"/>
      <c r="M120" s="44">
        <f t="shared" si="1"/>
        <v>0.5</v>
      </c>
      <c r="N120" s="44">
        <f t="shared" si="2"/>
        <v>0</v>
      </c>
      <c r="O120" s="44">
        <f>IFERROR(__xludf.DUMMYFUNCTION("INT(FILTER(GT(F120,0),ISNUMBER(F120)))"),1.0)</f>
        <v>1</v>
      </c>
      <c r="P120" s="44">
        <f t="shared" si="3"/>
        <v>1</v>
      </c>
      <c r="Q120" s="44">
        <f>IFERROR(__xludf.DUMMYFUNCTION("INT(FILTER(EQ(E120,F120),ISNUMBER(E120),ISNUMBER(F120)))"),0.0)</f>
        <v>0</v>
      </c>
    </row>
    <row r="121">
      <c r="A121" s="38" t="s">
        <v>487</v>
      </c>
      <c r="B121" s="39" t="s">
        <v>488</v>
      </c>
      <c r="C121" s="40" t="s">
        <v>4736</v>
      </c>
      <c r="D121" s="41" t="s">
        <v>490</v>
      </c>
      <c r="E121" s="47">
        <v>2.0</v>
      </c>
      <c r="F121" s="47">
        <v>1.0</v>
      </c>
      <c r="G121" s="47">
        <v>0.0</v>
      </c>
      <c r="H121" s="12"/>
      <c r="I121" s="12"/>
      <c r="J121" s="12"/>
      <c r="K121" s="12"/>
      <c r="L121" s="12"/>
      <c r="M121" s="44">
        <f t="shared" si="1"/>
        <v>0.5</v>
      </c>
      <c r="N121" s="44">
        <f t="shared" si="2"/>
        <v>0</v>
      </c>
      <c r="O121" s="44">
        <f>IFERROR(__xludf.DUMMYFUNCTION("INT(FILTER(GT(F121,0),ISNUMBER(F121)))"),1.0)</f>
        <v>1</v>
      </c>
      <c r="P121" s="44">
        <f t="shared" si="3"/>
        <v>1</v>
      </c>
      <c r="Q121" s="44">
        <f>IFERROR(__xludf.DUMMYFUNCTION("INT(FILTER(EQ(E121,F121),ISNUMBER(E121),ISNUMBER(F121)))"),0.0)</f>
        <v>0</v>
      </c>
    </row>
    <row r="122">
      <c r="A122" s="38" t="s">
        <v>491</v>
      </c>
      <c r="B122" s="39" t="s">
        <v>492</v>
      </c>
      <c r="C122" s="40" t="s">
        <v>493</v>
      </c>
      <c r="D122" s="42" t="s">
        <v>4737</v>
      </c>
      <c r="E122" s="47">
        <v>3.0</v>
      </c>
      <c r="F122" s="47">
        <v>3.0</v>
      </c>
      <c r="G122" s="47">
        <v>0.0</v>
      </c>
      <c r="H122" s="12"/>
      <c r="I122" s="12"/>
      <c r="J122" s="12"/>
      <c r="K122" s="12"/>
      <c r="L122" s="12"/>
      <c r="M122" s="44">
        <f t="shared" si="1"/>
        <v>1</v>
      </c>
      <c r="N122" s="44">
        <f t="shared" si="2"/>
        <v>0</v>
      </c>
      <c r="O122" s="44">
        <f>IFERROR(__xludf.DUMMYFUNCTION("INT(FILTER(GT(F122,0),ISNUMBER(F122)))"),1.0)</f>
        <v>1</v>
      </c>
      <c r="P122" s="44">
        <f t="shared" si="3"/>
        <v>1</v>
      </c>
      <c r="Q122" s="44">
        <f>IFERROR(__xludf.DUMMYFUNCTION("INT(FILTER(EQ(E122,F122),ISNUMBER(E122),ISNUMBER(F122)))"),1.0)</f>
        <v>1</v>
      </c>
    </row>
    <row r="123">
      <c r="A123" s="38" t="s">
        <v>495</v>
      </c>
      <c r="B123" s="39" t="s">
        <v>496</v>
      </c>
      <c r="C123" s="40" t="s">
        <v>4738</v>
      </c>
      <c r="D123" s="42" t="s">
        <v>4739</v>
      </c>
      <c r="E123" s="47">
        <v>4.0</v>
      </c>
      <c r="F123" s="47">
        <v>3.0</v>
      </c>
      <c r="G123" s="47">
        <v>0.0</v>
      </c>
      <c r="H123" s="12"/>
      <c r="I123" s="12"/>
      <c r="J123" s="12"/>
      <c r="K123" s="12"/>
      <c r="L123" s="12"/>
      <c r="M123" s="44">
        <f t="shared" si="1"/>
        <v>0.75</v>
      </c>
      <c r="N123" s="44">
        <f t="shared" si="2"/>
        <v>0</v>
      </c>
      <c r="O123" s="44">
        <f>IFERROR(__xludf.DUMMYFUNCTION("INT(FILTER(GT(F123,0),ISNUMBER(F123)))"),1.0)</f>
        <v>1</v>
      </c>
      <c r="P123" s="44">
        <f t="shared" si="3"/>
        <v>1</v>
      </c>
      <c r="Q123" s="44">
        <f>IFERROR(__xludf.DUMMYFUNCTION("INT(FILTER(EQ(E123,F123),ISNUMBER(E123),ISNUMBER(F123)))"),0.0)</f>
        <v>0</v>
      </c>
    </row>
    <row r="124">
      <c r="A124" s="38" t="s">
        <v>499</v>
      </c>
      <c r="B124" s="39" t="s">
        <v>500</v>
      </c>
      <c r="C124" s="40" t="s">
        <v>501</v>
      </c>
      <c r="D124" s="42" t="s">
        <v>4740</v>
      </c>
      <c r="E124" s="47">
        <v>1.0</v>
      </c>
      <c r="F124" s="47">
        <v>1.0</v>
      </c>
      <c r="G124" s="47">
        <v>0.0</v>
      </c>
      <c r="H124" s="12"/>
      <c r="I124" s="12"/>
      <c r="J124" s="12"/>
      <c r="K124" s="12"/>
      <c r="L124" s="12"/>
      <c r="M124" s="44">
        <f t="shared" si="1"/>
        <v>1</v>
      </c>
      <c r="N124" s="44">
        <f t="shared" si="2"/>
        <v>0</v>
      </c>
      <c r="O124" s="44">
        <f>IFERROR(__xludf.DUMMYFUNCTION("INT(FILTER(GT(F124,0),ISNUMBER(F124)))"),1.0)</f>
        <v>1</v>
      </c>
      <c r="P124" s="44">
        <f t="shared" si="3"/>
        <v>1</v>
      </c>
      <c r="Q124" s="44">
        <f>IFERROR(__xludf.DUMMYFUNCTION("INT(FILTER(EQ(E124,F124),ISNUMBER(E124),ISNUMBER(F124)))"),1.0)</f>
        <v>1</v>
      </c>
    </row>
    <row r="125">
      <c r="A125" s="38" t="s">
        <v>502</v>
      </c>
      <c r="B125" s="39" t="s">
        <v>503</v>
      </c>
      <c r="C125" s="40" t="s">
        <v>4741</v>
      </c>
      <c r="D125" s="42" t="s">
        <v>505</v>
      </c>
      <c r="E125" s="47">
        <v>3.0</v>
      </c>
      <c r="F125" s="47">
        <v>1.0</v>
      </c>
      <c r="G125" s="47">
        <v>2.0</v>
      </c>
      <c r="H125" s="12"/>
      <c r="I125" s="12"/>
      <c r="J125" s="12"/>
      <c r="K125" s="12"/>
      <c r="L125" s="12"/>
      <c r="M125" s="44">
        <f t="shared" si="1"/>
        <v>0.3333333333</v>
      </c>
      <c r="N125" s="44">
        <f t="shared" si="2"/>
        <v>0.6666666667</v>
      </c>
      <c r="O125" s="44">
        <f>IFERROR(__xludf.DUMMYFUNCTION("INT(FILTER(GT(F125,0),ISNUMBER(F125)))"),1.0)</f>
        <v>1</v>
      </c>
      <c r="P125" s="44">
        <f t="shared" si="3"/>
        <v>0.3333333333</v>
      </c>
      <c r="Q125" s="44">
        <f>IFERROR(__xludf.DUMMYFUNCTION("INT(FILTER(EQ(E125,F125),ISNUMBER(E125),ISNUMBER(F125)))"),0.0)</f>
        <v>0</v>
      </c>
    </row>
    <row r="126">
      <c r="A126" s="38" t="s">
        <v>506</v>
      </c>
      <c r="B126" s="39" t="s">
        <v>507</v>
      </c>
      <c r="C126" s="40" t="s">
        <v>508</v>
      </c>
      <c r="D126" s="41" t="s">
        <v>509</v>
      </c>
      <c r="E126" s="47">
        <v>1.0</v>
      </c>
      <c r="F126" s="47">
        <v>1.0</v>
      </c>
      <c r="G126" s="47">
        <v>0.0</v>
      </c>
      <c r="H126" s="12"/>
      <c r="I126" s="12"/>
      <c r="J126" s="12"/>
      <c r="K126" s="12"/>
      <c r="L126" s="12"/>
      <c r="M126" s="44">
        <f t="shared" si="1"/>
        <v>1</v>
      </c>
      <c r="N126" s="44">
        <f t="shared" si="2"/>
        <v>0</v>
      </c>
      <c r="O126" s="44">
        <f>IFERROR(__xludf.DUMMYFUNCTION("INT(FILTER(GT(F126,0),ISNUMBER(F126)))"),1.0)</f>
        <v>1</v>
      </c>
      <c r="P126" s="44">
        <f t="shared" si="3"/>
        <v>1</v>
      </c>
      <c r="Q126" s="44">
        <f>IFERROR(__xludf.DUMMYFUNCTION("INT(FILTER(EQ(E126,F126),ISNUMBER(E126),ISNUMBER(F126)))"),1.0)</f>
        <v>1</v>
      </c>
    </row>
    <row r="127">
      <c r="A127" s="38" t="s">
        <v>510</v>
      </c>
      <c r="B127" s="39" t="s">
        <v>511</v>
      </c>
      <c r="C127" s="40" t="s">
        <v>40</v>
      </c>
      <c r="D127" s="41" t="s">
        <v>41</v>
      </c>
      <c r="E127" s="47">
        <v>2.0</v>
      </c>
      <c r="F127" s="47">
        <v>1.0</v>
      </c>
      <c r="G127" s="47">
        <v>0.0</v>
      </c>
      <c r="H127" s="12"/>
      <c r="I127" s="12"/>
      <c r="J127" s="12"/>
      <c r="K127" s="12"/>
      <c r="L127" s="12"/>
      <c r="M127" s="44">
        <f t="shared" si="1"/>
        <v>0.5</v>
      </c>
      <c r="N127" s="44">
        <f t="shared" si="2"/>
        <v>0</v>
      </c>
      <c r="O127" s="44">
        <f>IFERROR(__xludf.DUMMYFUNCTION("INT(FILTER(GT(F127,0),ISNUMBER(F127)))"),1.0)</f>
        <v>1</v>
      </c>
      <c r="P127" s="44">
        <f t="shared" si="3"/>
        <v>1</v>
      </c>
      <c r="Q127" s="44">
        <f>IFERROR(__xludf.DUMMYFUNCTION("INT(FILTER(EQ(E127,F127),ISNUMBER(E127),ISNUMBER(F127)))"),0.0)</f>
        <v>0</v>
      </c>
    </row>
    <row r="128">
      <c r="A128" s="38" t="s">
        <v>513</v>
      </c>
      <c r="B128" s="39" t="s">
        <v>514</v>
      </c>
      <c r="C128" s="40" t="s">
        <v>515</v>
      </c>
      <c r="D128" s="42" t="s">
        <v>516</v>
      </c>
      <c r="E128" s="47">
        <v>2.0</v>
      </c>
      <c r="F128" s="47">
        <v>2.0</v>
      </c>
      <c r="G128" s="47">
        <v>0.0</v>
      </c>
      <c r="H128" s="12"/>
      <c r="I128" s="12"/>
      <c r="J128" s="12"/>
      <c r="K128" s="12"/>
      <c r="L128" s="12"/>
      <c r="M128" s="44">
        <f t="shared" si="1"/>
        <v>1</v>
      </c>
      <c r="N128" s="44">
        <f t="shared" si="2"/>
        <v>0</v>
      </c>
      <c r="O128" s="44">
        <f>IFERROR(__xludf.DUMMYFUNCTION("INT(FILTER(GT(F128,0),ISNUMBER(F128)))"),1.0)</f>
        <v>1</v>
      </c>
      <c r="P128" s="44">
        <f t="shared" si="3"/>
        <v>1</v>
      </c>
      <c r="Q128" s="44">
        <f>IFERROR(__xludf.DUMMYFUNCTION("INT(FILTER(EQ(E128,F128),ISNUMBER(E128),ISNUMBER(F128)))"),1.0)</f>
        <v>1</v>
      </c>
    </row>
    <row r="129">
      <c r="A129" s="38" t="s">
        <v>517</v>
      </c>
      <c r="B129" s="39" t="s">
        <v>518</v>
      </c>
      <c r="C129" s="40" t="s">
        <v>519</v>
      </c>
      <c r="D129" s="42" t="s">
        <v>4742</v>
      </c>
      <c r="E129" s="47">
        <v>4.0</v>
      </c>
      <c r="F129" s="47">
        <v>3.0</v>
      </c>
      <c r="G129" s="47">
        <v>0.0</v>
      </c>
      <c r="H129" s="12"/>
      <c r="I129" s="12"/>
      <c r="J129" s="12"/>
      <c r="K129" s="12"/>
      <c r="L129" s="12"/>
      <c r="M129" s="44">
        <f t="shared" si="1"/>
        <v>0.75</v>
      </c>
      <c r="N129" s="44">
        <f t="shared" si="2"/>
        <v>0</v>
      </c>
      <c r="O129" s="44">
        <f>IFERROR(__xludf.DUMMYFUNCTION("INT(FILTER(GT(F129,0),ISNUMBER(F129)))"),1.0)</f>
        <v>1</v>
      </c>
      <c r="P129" s="44">
        <f t="shared" si="3"/>
        <v>1</v>
      </c>
      <c r="Q129" s="44">
        <f>IFERROR(__xludf.DUMMYFUNCTION("INT(FILTER(EQ(E129,F129),ISNUMBER(E129),ISNUMBER(F129)))"),0.0)</f>
        <v>0</v>
      </c>
    </row>
    <row r="130">
      <c r="A130" s="38" t="s">
        <v>521</v>
      </c>
      <c r="B130" s="39" t="s">
        <v>522</v>
      </c>
      <c r="C130" s="40" t="s">
        <v>4743</v>
      </c>
      <c r="D130" s="41" t="s">
        <v>524</v>
      </c>
      <c r="E130" s="47">
        <v>1.0</v>
      </c>
      <c r="F130" s="47">
        <v>1.0</v>
      </c>
      <c r="G130" s="47">
        <v>0.0</v>
      </c>
      <c r="H130" s="12"/>
      <c r="I130" s="12"/>
      <c r="J130" s="12"/>
      <c r="K130" s="12"/>
      <c r="L130" s="12"/>
      <c r="M130" s="44">
        <f t="shared" si="1"/>
        <v>1</v>
      </c>
      <c r="N130" s="44">
        <f t="shared" si="2"/>
        <v>0</v>
      </c>
      <c r="O130" s="44">
        <f>IFERROR(__xludf.DUMMYFUNCTION("INT(FILTER(GT(F130,0),ISNUMBER(F130)))"),1.0)</f>
        <v>1</v>
      </c>
      <c r="P130" s="44">
        <f t="shared" si="3"/>
        <v>1</v>
      </c>
      <c r="Q130" s="44">
        <f>IFERROR(__xludf.DUMMYFUNCTION("INT(FILTER(EQ(E130,F130),ISNUMBER(E130),ISNUMBER(F130)))"),1.0)</f>
        <v>1</v>
      </c>
    </row>
    <row r="131">
      <c r="A131" s="38" t="s">
        <v>525</v>
      </c>
      <c r="B131" s="39" t="s">
        <v>526</v>
      </c>
      <c r="C131" s="40" t="s">
        <v>4744</v>
      </c>
      <c r="D131" s="42" t="s">
        <v>4745</v>
      </c>
      <c r="E131" s="47">
        <v>1.0</v>
      </c>
      <c r="F131" s="47">
        <v>1.0</v>
      </c>
      <c r="G131" s="47">
        <v>2.0</v>
      </c>
      <c r="H131" s="12"/>
      <c r="I131" s="12"/>
      <c r="J131" s="12"/>
      <c r="K131" s="12"/>
      <c r="L131" s="12"/>
      <c r="M131" s="44">
        <f t="shared" si="1"/>
        <v>1</v>
      </c>
      <c r="N131" s="44">
        <f t="shared" si="2"/>
        <v>2</v>
      </c>
      <c r="O131" s="44">
        <f>IFERROR(__xludf.DUMMYFUNCTION("INT(FILTER(GT(F131,0),ISNUMBER(F131)))"),1.0)</f>
        <v>1</v>
      </c>
      <c r="P131" s="44">
        <f t="shared" si="3"/>
        <v>0.3333333333</v>
      </c>
      <c r="Q131" s="44">
        <f>IFERROR(__xludf.DUMMYFUNCTION("INT(FILTER(EQ(E131,F131),ISNUMBER(E131),ISNUMBER(F131)))"),1.0)</f>
        <v>1</v>
      </c>
    </row>
    <row r="132">
      <c r="A132" s="38" t="s">
        <v>529</v>
      </c>
      <c r="B132" s="39" t="s">
        <v>530</v>
      </c>
      <c r="C132" s="40" t="s">
        <v>4746</v>
      </c>
      <c r="D132" s="42" t="s">
        <v>4747</v>
      </c>
      <c r="E132" s="47">
        <v>4.0</v>
      </c>
      <c r="F132" s="47">
        <v>3.0</v>
      </c>
      <c r="G132" s="47">
        <v>0.0</v>
      </c>
      <c r="H132" s="12"/>
      <c r="I132" s="12"/>
      <c r="J132" s="12"/>
      <c r="K132" s="12"/>
      <c r="L132" s="12"/>
      <c r="M132" s="44">
        <f t="shared" si="1"/>
        <v>0.75</v>
      </c>
      <c r="N132" s="44">
        <f t="shared" si="2"/>
        <v>0</v>
      </c>
      <c r="O132" s="44">
        <f>IFERROR(__xludf.DUMMYFUNCTION("INT(FILTER(GT(F132,0),ISNUMBER(F132)))"),1.0)</f>
        <v>1</v>
      </c>
      <c r="P132" s="44">
        <f t="shared" si="3"/>
        <v>1</v>
      </c>
      <c r="Q132" s="44">
        <f>IFERROR(__xludf.DUMMYFUNCTION("INT(FILTER(EQ(E132,F132),ISNUMBER(E132),ISNUMBER(F132)))"),0.0)</f>
        <v>0</v>
      </c>
    </row>
    <row r="133">
      <c r="A133" s="38" t="s">
        <v>533</v>
      </c>
      <c r="B133" s="39" t="s">
        <v>534</v>
      </c>
      <c r="C133" s="40" t="s">
        <v>535</v>
      </c>
      <c r="D133" s="42" t="s">
        <v>4748</v>
      </c>
      <c r="E133" s="47">
        <v>2.0</v>
      </c>
      <c r="F133" s="47">
        <v>2.0</v>
      </c>
      <c r="G133" s="47">
        <v>0.0</v>
      </c>
      <c r="H133" s="12"/>
      <c r="I133" s="12"/>
      <c r="J133" s="12"/>
      <c r="K133" s="12"/>
      <c r="L133" s="12"/>
      <c r="M133" s="44">
        <f t="shared" si="1"/>
        <v>1</v>
      </c>
      <c r="N133" s="44">
        <f t="shared" si="2"/>
        <v>0</v>
      </c>
      <c r="O133" s="44">
        <f>IFERROR(__xludf.DUMMYFUNCTION("INT(FILTER(GT(F133,0),ISNUMBER(F133)))"),1.0)</f>
        <v>1</v>
      </c>
      <c r="P133" s="44">
        <f t="shared" si="3"/>
        <v>1</v>
      </c>
      <c r="Q133" s="44">
        <f>IFERROR(__xludf.DUMMYFUNCTION("INT(FILTER(EQ(E133,F133),ISNUMBER(E133),ISNUMBER(F133)))"),1.0)</f>
        <v>1</v>
      </c>
    </row>
    <row r="134">
      <c r="A134" s="38" t="s">
        <v>537</v>
      </c>
      <c r="B134" s="39" t="s">
        <v>538</v>
      </c>
      <c r="C134" s="40" t="s">
        <v>4749</v>
      </c>
      <c r="D134" s="42" t="s">
        <v>4750</v>
      </c>
      <c r="E134" s="47">
        <v>3.0</v>
      </c>
      <c r="F134" s="47">
        <v>2.0</v>
      </c>
      <c r="G134" s="47">
        <v>1.0</v>
      </c>
      <c r="H134" s="12"/>
      <c r="I134" s="12"/>
      <c r="J134" s="12"/>
      <c r="K134" s="12"/>
      <c r="L134" s="12"/>
      <c r="M134" s="44">
        <f t="shared" si="1"/>
        <v>0.6666666667</v>
      </c>
      <c r="N134" s="44">
        <f t="shared" si="2"/>
        <v>0.3333333333</v>
      </c>
      <c r="O134" s="44">
        <f>IFERROR(__xludf.DUMMYFUNCTION("INT(FILTER(GT(F134,0),ISNUMBER(F134)))"),1.0)</f>
        <v>1</v>
      </c>
      <c r="P134" s="44">
        <f t="shared" si="3"/>
        <v>0.6666666667</v>
      </c>
      <c r="Q134" s="44">
        <f>IFERROR(__xludf.DUMMYFUNCTION("INT(FILTER(EQ(E134,F134),ISNUMBER(E134),ISNUMBER(F134)))"),0.0)</f>
        <v>0</v>
      </c>
    </row>
    <row r="135">
      <c r="A135" s="38" t="s">
        <v>541</v>
      </c>
      <c r="B135" s="39" t="s">
        <v>542</v>
      </c>
      <c r="C135" s="40" t="s">
        <v>584</v>
      </c>
      <c r="D135" s="41" t="s">
        <v>585</v>
      </c>
      <c r="E135" s="47">
        <v>1.0</v>
      </c>
      <c r="F135" s="47">
        <v>1.0</v>
      </c>
      <c r="G135" s="47">
        <v>0.0</v>
      </c>
      <c r="H135" s="12"/>
      <c r="I135" s="12"/>
      <c r="J135" s="12"/>
      <c r="K135" s="12"/>
      <c r="L135" s="12"/>
      <c r="M135" s="44">
        <f t="shared" si="1"/>
        <v>1</v>
      </c>
      <c r="N135" s="44">
        <f t="shared" si="2"/>
        <v>0</v>
      </c>
      <c r="O135" s="44">
        <f>IFERROR(__xludf.DUMMYFUNCTION("INT(FILTER(GT(F135,0),ISNUMBER(F135)))"),1.0)</f>
        <v>1</v>
      </c>
      <c r="P135" s="44">
        <f t="shared" si="3"/>
        <v>1</v>
      </c>
      <c r="Q135" s="44">
        <f>IFERROR(__xludf.DUMMYFUNCTION("INT(FILTER(EQ(E135,F135),ISNUMBER(E135),ISNUMBER(F135)))"),1.0)</f>
        <v>1</v>
      </c>
    </row>
    <row r="136">
      <c r="A136" s="38" t="s">
        <v>545</v>
      </c>
      <c r="B136" s="39" t="s">
        <v>546</v>
      </c>
      <c r="C136" s="40" t="s">
        <v>4751</v>
      </c>
      <c r="D136" s="41" t="s">
        <v>4752</v>
      </c>
      <c r="E136" s="47">
        <v>1.0</v>
      </c>
      <c r="F136" s="47">
        <v>0.0</v>
      </c>
      <c r="G136" s="47">
        <v>0.0</v>
      </c>
      <c r="H136" s="12"/>
      <c r="I136" s="12"/>
      <c r="J136" s="12"/>
      <c r="K136" s="12"/>
      <c r="L136" s="12"/>
      <c r="M136" s="44">
        <f t="shared" si="1"/>
        <v>0</v>
      </c>
      <c r="N136" s="44">
        <f t="shared" si="2"/>
        <v>0</v>
      </c>
      <c r="O136" s="44">
        <f>IFERROR(__xludf.DUMMYFUNCTION("INT(FILTER(GT(F136,0),ISNUMBER(F136)))"),0.0)</f>
        <v>0</v>
      </c>
      <c r="P136" s="44" t="str">
        <f t="shared" si="3"/>
        <v>#DIV/0!</v>
      </c>
      <c r="Q136" s="44">
        <f>IFERROR(__xludf.DUMMYFUNCTION("INT(FILTER(EQ(E136,F136),ISNUMBER(E136),ISNUMBER(F136)))"),0.0)</f>
        <v>0</v>
      </c>
    </row>
    <row r="137">
      <c r="A137" s="38" t="s">
        <v>549</v>
      </c>
      <c r="B137" s="39" t="s">
        <v>550</v>
      </c>
      <c r="C137" s="40" t="s">
        <v>4753</v>
      </c>
      <c r="D137" s="42" t="s">
        <v>4754</v>
      </c>
      <c r="E137" s="47">
        <v>3.0</v>
      </c>
      <c r="F137" s="47">
        <v>2.0</v>
      </c>
      <c r="G137" s="47">
        <v>0.0</v>
      </c>
      <c r="H137" s="12"/>
      <c r="I137" s="12"/>
      <c r="J137" s="12"/>
      <c r="K137" s="12"/>
      <c r="L137" s="12"/>
      <c r="M137" s="44">
        <f t="shared" si="1"/>
        <v>0.6666666667</v>
      </c>
      <c r="N137" s="44">
        <f t="shared" si="2"/>
        <v>0</v>
      </c>
      <c r="O137" s="44">
        <f>IFERROR(__xludf.DUMMYFUNCTION("INT(FILTER(GT(F137,0),ISNUMBER(F137)))"),1.0)</f>
        <v>1</v>
      </c>
      <c r="P137" s="44">
        <f t="shared" si="3"/>
        <v>1</v>
      </c>
      <c r="Q137" s="44">
        <f>IFERROR(__xludf.DUMMYFUNCTION("INT(FILTER(EQ(E137,F137),ISNUMBER(E137),ISNUMBER(F137)))"),0.0)</f>
        <v>0</v>
      </c>
    </row>
    <row r="138">
      <c r="A138" s="38" t="s">
        <v>553</v>
      </c>
      <c r="B138" s="39" t="s">
        <v>554</v>
      </c>
      <c r="C138" s="40" t="s">
        <v>555</v>
      </c>
      <c r="D138" s="41" t="s">
        <v>556</v>
      </c>
      <c r="E138" s="47">
        <v>3.0</v>
      </c>
      <c r="F138" s="47">
        <v>1.0</v>
      </c>
      <c r="G138" s="47">
        <v>0.0</v>
      </c>
      <c r="H138" s="12"/>
      <c r="I138" s="12"/>
      <c r="J138" s="12"/>
      <c r="K138" s="12"/>
      <c r="L138" s="12"/>
      <c r="M138" s="44">
        <f t="shared" si="1"/>
        <v>0.3333333333</v>
      </c>
      <c r="N138" s="44">
        <f t="shared" si="2"/>
        <v>0</v>
      </c>
      <c r="O138" s="44">
        <f>IFERROR(__xludf.DUMMYFUNCTION("INT(FILTER(GT(F138,0),ISNUMBER(F138)))"),1.0)</f>
        <v>1</v>
      </c>
      <c r="P138" s="44">
        <f t="shared" si="3"/>
        <v>1</v>
      </c>
      <c r="Q138" s="44">
        <f>IFERROR(__xludf.DUMMYFUNCTION("INT(FILTER(EQ(E138,F138),ISNUMBER(E138),ISNUMBER(F138)))"),0.0)</f>
        <v>0</v>
      </c>
    </row>
    <row r="139">
      <c r="A139" s="38" t="s">
        <v>557</v>
      </c>
      <c r="B139" s="39" t="s">
        <v>558</v>
      </c>
      <c r="C139" s="40" t="s">
        <v>4755</v>
      </c>
      <c r="D139" s="42" t="s">
        <v>560</v>
      </c>
      <c r="E139" s="47">
        <v>3.0</v>
      </c>
      <c r="F139" s="47">
        <v>2.0</v>
      </c>
      <c r="G139" s="47">
        <v>0.0</v>
      </c>
      <c r="H139" s="12"/>
      <c r="I139" s="12"/>
      <c r="J139" s="12"/>
      <c r="K139" s="12"/>
      <c r="L139" s="12"/>
      <c r="M139" s="44">
        <f t="shared" si="1"/>
        <v>0.6666666667</v>
      </c>
      <c r="N139" s="44">
        <f t="shared" si="2"/>
        <v>0</v>
      </c>
      <c r="O139" s="44">
        <f>IFERROR(__xludf.DUMMYFUNCTION("INT(FILTER(GT(F139,0),ISNUMBER(F139)))"),1.0)</f>
        <v>1</v>
      </c>
      <c r="P139" s="44">
        <f t="shared" si="3"/>
        <v>1</v>
      </c>
      <c r="Q139" s="44">
        <f>IFERROR(__xludf.DUMMYFUNCTION("INT(FILTER(EQ(E139,F139),ISNUMBER(E139),ISNUMBER(F139)))"),0.0)</f>
        <v>0</v>
      </c>
    </row>
    <row r="140">
      <c r="A140" s="38" t="s">
        <v>561</v>
      </c>
      <c r="B140" s="39" t="s">
        <v>562</v>
      </c>
      <c r="C140" s="40" t="s">
        <v>477</v>
      </c>
      <c r="D140" s="41" t="s">
        <v>478</v>
      </c>
      <c r="E140" s="47">
        <v>4.0</v>
      </c>
      <c r="F140" s="47">
        <v>0.0</v>
      </c>
      <c r="G140" s="47">
        <v>0.0</v>
      </c>
      <c r="H140" s="12"/>
      <c r="I140" s="12"/>
      <c r="J140" s="12"/>
      <c r="K140" s="12"/>
      <c r="L140" s="12"/>
      <c r="M140" s="44">
        <f t="shared" si="1"/>
        <v>0</v>
      </c>
      <c r="N140" s="44">
        <f t="shared" si="2"/>
        <v>0</v>
      </c>
      <c r="O140" s="44">
        <f>IFERROR(__xludf.DUMMYFUNCTION("INT(FILTER(GT(F140,0),ISNUMBER(F140)))"),0.0)</f>
        <v>0</v>
      </c>
      <c r="P140" s="44" t="str">
        <f t="shared" si="3"/>
        <v>#DIV/0!</v>
      </c>
      <c r="Q140" s="44">
        <f>IFERROR(__xludf.DUMMYFUNCTION("INT(FILTER(EQ(E140,F140),ISNUMBER(E140),ISNUMBER(F140)))"),0.0)</f>
        <v>0</v>
      </c>
    </row>
    <row r="141">
      <c r="A141" s="38" t="s">
        <v>563</v>
      </c>
      <c r="B141" s="39" t="s">
        <v>564</v>
      </c>
      <c r="C141" s="40" t="s">
        <v>565</v>
      </c>
      <c r="D141" s="41" t="s">
        <v>566</v>
      </c>
      <c r="E141" s="47">
        <v>1.0</v>
      </c>
      <c r="F141" s="47">
        <v>1.0</v>
      </c>
      <c r="G141" s="47">
        <v>0.0</v>
      </c>
      <c r="H141" s="12"/>
      <c r="I141" s="12"/>
      <c r="J141" s="12"/>
      <c r="K141" s="12"/>
      <c r="L141" s="12"/>
      <c r="M141" s="44">
        <f t="shared" si="1"/>
        <v>1</v>
      </c>
      <c r="N141" s="44">
        <f t="shared" si="2"/>
        <v>0</v>
      </c>
      <c r="O141" s="44">
        <f>IFERROR(__xludf.DUMMYFUNCTION("INT(FILTER(GT(F141,0),ISNUMBER(F141)))"),1.0)</f>
        <v>1</v>
      </c>
      <c r="P141" s="44">
        <f t="shared" si="3"/>
        <v>1</v>
      </c>
      <c r="Q141" s="44">
        <f>IFERROR(__xludf.DUMMYFUNCTION("INT(FILTER(EQ(E141,F141),ISNUMBER(E141),ISNUMBER(F141)))"),1.0)</f>
        <v>1</v>
      </c>
    </row>
    <row r="142">
      <c r="A142" s="38" t="s">
        <v>567</v>
      </c>
      <c r="B142" s="39" t="s">
        <v>568</v>
      </c>
      <c r="C142" s="40" t="s">
        <v>569</v>
      </c>
      <c r="D142" s="41" t="s">
        <v>570</v>
      </c>
      <c r="E142" s="47">
        <v>1.0</v>
      </c>
      <c r="F142" s="47">
        <v>1.0</v>
      </c>
      <c r="G142" s="47">
        <v>0.0</v>
      </c>
      <c r="H142" s="12"/>
      <c r="I142" s="12"/>
      <c r="J142" s="12"/>
      <c r="K142" s="12"/>
      <c r="L142" s="12"/>
      <c r="M142" s="44">
        <f t="shared" si="1"/>
        <v>1</v>
      </c>
      <c r="N142" s="44">
        <f t="shared" si="2"/>
        <v>0</v>
      </c>
      <c r="O142" s="44">
        <f>IFERROR(__xludf.DUMMYFUNCTION("INT(FILTER(GT(F142,0),ISNUMBER(F142)))"),1.0)</f>
        <v>1</v>
      </c>
      <c r="P142" s="44">
        <f t="shared" si="3"/>
        <v>1</v>
      </c>
      <c r="Q142" s="44">
        <f>IFERROR(__xludf.DUMMYFUNCTION("INT(FILTER(EQ(E142,F142),ISNUMBER(E142),ISNUMBER(F142)))"),1.0)</f>
        <v>1</v>
      </c>
    </row>
    <row r="143">
      <c r="A143" s="38" t="s">
        <v>571</v>
      </c>
      <c r="B143" s="39" t="s">
        <v>572</v>
      </c>
      <c r="C143" s="40" t="s">
        <v>4756</v>
      </c>
      <c r="D143" s="42" t="s">
        <v>4757</v>
      </c>
      <c r="E143" s="47">
        <v>2.0</v>
      </c>
      <c r="F143" s="47">
        <v>2.0</v>
      </c>
      <c r="G143" s="47">
        <v>0.0</v>
      </c>
      <c r="H143" s="12"/>
      <c r="I143" s="12"/>
      <c r="J143" s="12"/>
      <c r="K143" s="12"/>
      <c r="L143" s="12"/>
      <c r="M143" s="44">
        <f t="shared" si="1"/>
        <v>1</v>
      </c>
      <c r="N143" s="44">
        <f t="shared" si="2"/>
        <v>0</v>
      </c>
      <c r="O143" s="44">
        <f>IFERROR(__xludf.DUMMYFUNCTION("INT(FILTER(GT(F143,0),ISNUMBER(F143)))"),1.0)</f>
        <v>1</v>
      </c>
      <c r="P143" s="44">
        <f t="shared" si="3"/>
        <v>1</v>
      </c>
      <c r="Q143" s="44">
        <f>IFERROR(__xludf.DUMMYFUNCTION("INT(FILTER(EQ(E143,F143),ISNUMBER(E143),ISNUMBER(F143)))"),1.0)</f>
        <v>1</v>
      </c>
    </row>
    <row r="144">
      <c r="A144" s="38" t="s">
        <v>575</v>
      </c>
      <c r="B144" s="39" t="s">
        <v>576</v>
      </c>
      <c r="C144" s="40" t="s">
        <v>577</v>
      </c>
      <c r="D144" s="41" t="s">
        <v>296</v>
      </c>
      <c r="E144" s="47">
        <v>1.0</v>
      </c>
      <c r="F144" s="47">
        <v>1.0</v>
      </c>
      <c r="G144" s="47">
        <v>0.0</v>
      </c>
      <c r="H144" s="12"/>
      <c r="I144" s="12"/>
      <c r="J144" s="12"/>
      <c r="K144" s="12"/>
      <c r="L144" s="12"/>
      <c r="M144" s="44">
        <f t="shared" si="1"/>
        <v>1</v>
      </c>
      <c r="N144" s="44">
        <f t="shared" si="2"/>
        <v>0</v>
      </c>
      <c r="O144" s="44">
        <f>IFERROR(__xludf.DUMMYFUNCTION("INT(FILTER(GT(F144,0),ISNUMBER(F144)))"),1.0)</f>
        <v>1</v>
      </c>
      <c r="P144" s="44">
        <f t="shared" si="3"/>
        <v>1</v>
      </c>
      <c r="Q144" s="44">
        <f>IFERROR(__xludf.DUMMYFUNCTION("INT(FILTER(EQ(E144,F144),ISNUMBER(E144),ISNUMBER(F144)))"),1.0)</f>
        <v>1</v>
      </c>
    </row>
    <row r="145">
      <c r="A145" s="38" t="s">
        <v>578</v>
      </c>
      <c r="B145" s="39" t="s">
        <v>579</v>
      </c>
      <c r="C145" s="40" t="s">
        <v>580</v>
      </c>
      <c r="D145" s="42" t="s">
        <v>4758</v>
      </c>
      <c r="E145" s="47">
        <v>3.0</v>
      </c>
      <c r="F145" s="47">
        <v>3.0</v>
      </c>
      <c r="G145" s="47">
        <v>0.0</v>
      </c>
      <c r="H145" s="12"/>
      <c r="I145" s="12"/>
      <c r="J145" s="12"/>
      <c r="K145" s="12"/>
      <c r="L145" s="12"/>
      <c r="M145" s="44">
        <f t="shared" si="1"/>
        <v>1</v>
      </c>
      <c r="N145" s="44">
        <f t="shared" si="2"/>
        <v>0</v>
      </c>
      <c r="O145" s="44">
        <f>IFERROR(__xludf.DUMMYFUNCTION("INT(FILTER(GT(F145,0),ISNUMBER(F145)))"),1.0)</f>
        <v>1</v>
      </c>
      <c r="P145" s="44">
        <f t="shared" si="3"/>
        <v>1</v>
      </c>
      <c r="Q145" s="44">
        <f>IFERROR(__xludf.DUMMYFUNCTION("INT(FILTER(EQ(E145,F145),ISNUMBER(E145),ISNUMBER(F145)))"),1.0)</f>
        <v>1</v>
      </c>
    </row>
    <row r="146">
      <c r="A146" s="38" t="s">
        <v>582</v>
      </c>
      <c r="B146" s="39" t="s">
        <v>583</v>
      </c>
      <c r="C146" s="40" t="s">
        <v>584</v>
      </c>
      <c r="D146" s="41" t="s">
        <v>585</v>
      </c>
      <c r="E146" s="47">
        <v>1.0</v>
      </c>
      <c r="F146" s="47">
        <v>1.0</v>
      </c>
      <c r="G146" s="47">
        <v>0.0</v>
      </c>
      <c r="H146" s="12"/>
      <c r="I146" s="12"/>
      <c r="J146" s="12"/>
      <c r="K146" s="12"/>
      <c r="L146" s="12"/>
      <c r="M146" s="44">
        <f t="shared" si="1"/>
        <v>1</v>
      </c>
      <c r="N146" s="44">
        <f t="shared" si="2"/>
        <v>0</v>
      </c>
      <c r="O146" s="44">
        <f>IFERROR(__xludf.DUMMYFUNCTION("INT(FILTER(GT(F146,0),ISNUMBER(F146)))"),1.0)</f>
        <v>1</v>
      </c>
      <c r="P146" s="44">
        <f t="shared" si="3"/>
        <v>1</v>
      </c>
      <c r="Q146" s="44">
        <f>IFERROR(__xludf.DUMMYFUNCTION("INT(FILTER(EQ(E146,F146),ISNUMBER(E146),ISNUMBER(F146)))"),1.0)</f>
        <v>1</v>
      </c>
    </row>
    <row r="147">
      <c r="A147" s="38" t="s">
        <v>586</v>
      </c>
      <c r="B147" s="39" t="s">
        <v>587</v>
      </c>
      <c r="C147" s="40" t="s">
        <v>268</v>
      </c>
      <c r="D147" s="41" t="s">
        <v>137</v>
      </c>
      <c r="E147" s="47">
        <v>3.0</v>
      </c>
      <c r="F147" s="47">
        <v>2.0</v>
      </c>
      <c r="G147" s="47">
        <v>0.0</v>
      </c>
      <c r="H147" s="12"/>
      <c r="I147" s="12"/>
      <c r="J147" s="12"/>
      <c r="K147" s="12"/>
      <c r="L147" s="12"/>
      <c r="M147" s="44">
        <f t="shared" si="1"/>
        <v>0.6666666667</v>
      </c>
      <c r="N147" s="44">
        <f t="shared" si="2"/>
        <v>0</v>
      </c>
      <c r="O147" s="44">
        <f>IFERROR(__xludf.DUMMYFUNCTION("INT(FILTER(GT(F147,0),ISNUMBER(F147)))"),1.0)</f>
        <v>1</v>
      </c>
      <c r="P147" s="44">
        <f t="shared" si="3"/>
        <v>1</v>
      </c>
      <c r="Q147" s="44">
        <f>IFERROR(__xludf.DUMMYFUNCTION("INT(FILTER(EQ(E147,F147),ISNUMBER(E147),ISNUMBER(F147)))"),0.0)</f>
        <v>0</v>
      </c>
    </row>
    <row r="148">
      <c r="A148" s="38" t="s">
        <v>588</v>
      </c>
      <c r="B148" s="39" t="s">
        <v>589</v>
      </c>
      <c r="C148" s="40" t="s">
        <v>4759</v>
      </c>
      <c r="D148" s="42" t="s">
        <v>4760</v>
      </c>
      <c r="E148" s="47">
        <v>4.0</v>
      </c>
      <c r="F148" s="47">
        <v>2.0</v>
      </c>
      <c r="G148" s="47">
        <v>0.0</v>
      </c>
      <c r="H148" s="12"/>
      <c r="I148" s="12"/>
      <c r="J148" s="12"/>
      <c r="K148" s="12"/>
      <c r="L148" s="12"/>
      <c r="M148" s="44">
        <f t="shared" si="1"/>
        <v>0.5</v>
      </c>
      <c r="N148" s="44">
        <f t="shared" si="2"/>
        <v>0</v>
      </c>
      <c r="O148" s="44">
        <f>IFERROR(__xludf.DUMMYFUNCTION("INT(FILTER(GT(F148,0),ISNUMBER(F148)))"),1.0)</f>
        <v>1</v>
      </c>
      <c r="P148" s="44">
        <f t="shared" si="3"/>
        <v>1</v>
      </c>
      <c r="Q148" s="44">
        <f>IFERROR(__xludf.DUMMYFUNCTION("INT(FILTER(EQ(E148,F148),ISNUMBER(E148),ISNUMBER(F148)))"),0.0)</f>
        <v>0</v>
      </c>
    </row>
    <row r="149">
      <c r="A149" s="38" t="s">
        <v>592</v>
      </c>
      <c r="B149" s="39" t="s">
        <v>593</v>
      </c>
      <c r="C149" s="40" t="s">
        <v>565</v>
      </c>
      <c r="D149" s="41" t="s">
        <v>566</v>
      </c>
      <c r="E149" s="47">
        <v>1.0</v>
      </c>
      <c r="F149" s="47">
        <v>1.0</v>
      </c>
      <c r="G149" s="47">
        <v>0.0</v>
      </c>
      <c r="H149" s="12"/>
      <c r="I149" s="12"/>
      <c r="J149" s="12"/>
      <c r="K149" s="12"/>
      <c r="L149" s="12"/>
      <c r="M149" s="44">
        <f t="shared" si="1"/>
        <v>1</v>
      </c>
      <c r="N149" s="44">
        <f t="shared" si="2"/>
        <v>0</v>
      </c>
      <c r="O149" s="44">
        <f>IFERROR(__xludf.DUMMYFUNCTION("INT(FILTER(GT(F149,0),ISNUMBER(F149)))"),1.0)</f>
        <v>1</v>
      </c>
      <c r="P149" s="44">
        <f t="shared" si="3"/>
        <v>1</v>
      </c>
      <c r="Q149" s="44">
        <f>IFERROR(__xludf.DUMMYFUNCTION("INT(FILTER(EQ(E149,F149),ISNUMBER(E149),ISNUMBER(F149)))"),1.0)</f>
        <v>1</v>
      </c>
    </row>
    <row r="150">
      <c r="A150" s="38" t="s">
        <v>594</v>
      </c>
      <c r="B150" s="39" t="s">
        <v>595</v>
      </c>
      <c r="C150" s="40" t="s">
        <v>596</v>
      </c>
      <c r="D150" s="42" t="s">
        <v>4761</v>
      </c>
      <c r="E150" s="47">
        <v>2.0</v>
      </c>
      <c r="F150" s="47">
        <v>2.0</v>
      </c>
      <c r="G150" s="47">
        <v>0.0</v>
      </c>
      <c r="H150" s="12"/>
      <c r="I150" s="12"/>
      <c r="J150" s="12"/>
      <c r="K150" s="12"/>
      <c r="L150" s="12"/>
      <c r="M150" s="44">
        <f t="shared" si="1"/>
        <v>1</v>
      </c>
      <c r="N150" s="44">
        <f t="shared" si="2"/>
        <v>0</v>
      </c>
      <c r="O150" s="44">
        <f>IFERROR(__xludf.DUMMYFUNCTION("INT(FILTER(GT(F150,0),ISNUMBER(F150)))"),1.0)</f>
        <v>1</v>
      </c>
      <c r="P150" s="44">
        <f t="shared" si="3"/>
        <v>1</v>
      </c>
      <c r="Q150" s="44">
        <f>IFERROR(__xludf.DUMMYFUNCTION("INT(FILTER(EQ(E150,F150),ISNUMBER(E150),ISNUMBER(F150)))"),1.0)</f>
        <v>1</v>
      </c>
    </row>
    <row r="151">
      <c r="A151" s="38" t="s">
        <v>598</v>
      </c>
      <c r="B151" s="39" t="s">
        <v>599</v>
      </c>
      <c r="C151" s="40" t="s">
        <v>4762</v>
      </c>
      <c r="D151" s="42" t="s">
        <v>4763</v>
      </c>
      <c r="E151" s="47">
        <v>4.0</v>
      </c>
      <c r="F151" s="47">
        <v>3.0</v>
      </c>
      <c r="G151" s="47">
        <v>0.0</v>
      </c>
      <c r="H151" s="12"/>
      <c r="I151" s="12"/>
      <c r="J151" s="12"/>
      <c r="K151" s="12"/>
      <c r="L151" s="12"/>
      <c r="M151" s="44">
        <f t="shared" si="1"/>
        <v>0.75</v>
      </c>
      <c r="N151" s="44">
        <f t="shared" si="2"/>
        <v>0</v>
      </c>
      <c r="O151" s="44">
        <f>IFERROR(__xludf.DUMMYFUNCTION("INT(FILTER(GT(F151,0),ISNUMBER(F151)))"),1.0)</f>
        <v>1</v>
      </c>
      <c r="P151" s="44">
        <f t="shared" si="3"/>
        <v>1</v>
      </c>
      <c r="Q151" s="44">
        <f>IFERROR(__xludf.DUMMYFUNCTION("INT(FILTER(EQ(E151,F151),ISNUMBER(E151),ISNUMBER(F151)))"),0.0)</f>
        <v>0</v>
      </c>
    </row>
    <row r="152">
      <c r="A152" s="38" t="s">
        <v>602</v>
      </c>
      <c r="B152" s="39" t="s">
        <v>603</v>
      </c>
      <c r="C152" s="40" t="s">
        <v>4764</v>
      </c>
      <c r="D152" s="42" t="s">
        <v>4765</v>
      </c>
      <c r="E152" s="47">
        <v>3.0</v>
      </c>
      <c r="F152" s="47">
        <v>3.0</v>
      </c>
      <c r="G152" s="47">
        <v>0.0</v>
      </c>
      <c r="H152" s="12"/>
      <c r="I152" s="12"/>
      <c r="J152" s="12"/>
      <c r="K152" s="12"/>
      <c r="L152" s="12"/>
      <c r="M152" s="44">
        <f t="shared" si="1"/>
        <v>1</v>
      </c>
      <c r="N152" s="44">
        <f t="shared" si="2"/>
        <v>0</v>
      </c>
      <c r="O152" s="44">
        <f>IFERROR(__xludf.DUMMYFUNCTION("INT(FILTER(GT(F152,0),ISNUMBER(F152)))"),1.0)</f>
        <v>1</v>
      </c>
      <c r="P152" s="44">
        <f t="shared" si="3"/>
        <v>1</v>
      </c>
      <c r="Q152" s="44">
        <f>IFERROR(__xludf.DUMMYFUNCTION("INT(FILTER(EQ(E152,F152),ISNUMBER(E152),ISNUMBER(F152)))"),1.0)</f>
        <v>1</v>
      </c>
    </row>
    <row r="153">
      <c r="A153" s="38" t="s">
        <v>606</v>
      </c>
      <c r="B153" s="39" t="s">
        <v>607</v>
      </c>
      <c r="C153" s="40" t="s">
        <v>4766</v>
      </c>
      <c r="D153" s="42" t="s">
        <v>65</v>
      </c>
      <c r="E153" s="47">
        <v>3.0</v>
      </c>
      <c r="F153" s="47">
        <v>2.0</v>
      </c>
      <c r="G153" s="47">
        <v>0.0</v>
      </c>
      <c r="H153" s="12"/>
      <c r="I153" s="12"/>
      <c r="J153" s="12"/>
      <c r="K153" s="12"/>
      <c r="L153" s="12"/>
      <c r="M153" s="44">
        <f t="shared" si="1"/>
        <v>0.6666666667</v>
      </c>
      <c r="N153" s="44">
        <f t="shared" si="2"/>
        <v>0</v>
      </c>
      <c r="O153" s="44">
        <f>IFERROR(__xludf.DUMMYFUNCTION("INT(FILTER(GT(F153,0),ISNUMBER(F153)))"),1.0)</f>
        <v>1</v>
      </c>
      <c r="P153" s="44">
        <f t="shared" si="3"/>
        <v>1</v>
      </c>
      <c r="Q153" s="44">
        <f>IFERROR(__xludf.DUMMYFUNCTION("INT(FILTER(EQ(E153,F153),ISNUMBER(E153),ISNUMBER(F153)))"),0.0)</f>
        <v>0</v>
      </c>
    </row>
    <row r="154">
      <c r="A154" s="38" t="s">
        <v>609</v>
      </c>
      <c r="B154" s="39" t="s">
        <v>610</v>
      </c>
      <c r="C154" s="40" t="s">
        <v>268</v>
      </c>
      <c r="D154" s="41" t="s">
        <v>137</v>
      </c>
      <c r="E154" s="47">
        <v>2.0</v>
      </c>
      <c r="F154" s="47">
        <v>1.0</v>
      </c>
      <c r="G154" s="47">
        <v>0.0</v>
      </c>
      <c r="H154" s="12"/>
      <c r="I154" s="12"/>
      <c r="J154" s="12"/>
      <c r="K154" s="12"/>
      <c r="L154" s="12"/>
      <c r="M154" s="44">
        <f t="shared" si="1"/>
        <v>0.5</v>
      </c>
      <c r="N154" s="44">
        <f t="shared" si="2"/>
        <v>0</v>
      </c>
      <c r="O154" s="44">
        <f>IFERROR(__xludf.DUMMYFUNCTION("INT(FILTER(GT(F154,0),ISNUMBER(F154)))"),1.0)</f>
        <v>1</v>
      </c>
      <c r="P154" s="44">
        <f t="shared" si="3"/>
        <v>1</v>
      </c>
      <c r="Q154" s="44">
        <f>IFERROR(__xludf.DUMMYFUNCTION("INT(FILTER(EQ(E154,F154),ISNUMBER(E154),ISNUMBER(F154)))"),0.0)</f>
        <v>0</v>
      </c>
    </row>
    <row r="155">
      <c r="A155" s="38" t="s">
        <v>611</v>
      </c>
      <c r="B155" s="39" t="s">
        <v>612</v>
      </c>
      <c r="C155" s="40" t="s">
        <v>4767</v>
      </c>
      <c r="D155" s="41" t="s">
        <v>4768</v>
      </c>
      <c r="E155" s="47">
        <v>2.0</v>
      </c>
      <c r="F155" s="47">
        <v>1.0</v>
      </c>
      <c r="G155" s="47">
        <v>0.0</v>
      </c>
      <c r="H155" s="12"/>
      <c r="I155" s="12"/>
      <c r="J155" s="12"/>
      <c r="K155" s="12"/>
      <c r="L155" s="12"/>
      <c r="M155" s="44">
        <f t="shared" si="1"/>
        <v>0.5</v>
      </c>
      <c r="N155" s="44">
        <f t="shared" si="2"/>
        <v>0</v>
      </c>
      <c r="O155" s="44">
        <f>IFERROR(__xludf.DUMMYFUNCTION("INT(FILTER(GT(F155,0),ISNUMBER(F155)))"),1.0)</f>
        <v>1</v>
      </c>
      <c r="P155" s="44">
        <f t="shared" si="3"/>
        <v>1</v>
      </c>
      <c r="Q155" s="44">
        <f>IFERROR(__xludf.DUMMYFUNCTION("INT(FILTER(EQ(E155,F155),ISNUMBER(E155),ISNUMBER(F155)))"),0.0)</f>
        <v>0</v>
      </c>
    </row>
    <row r="156">
      <c r="A156" s="38" t="s">
        <v>615</v>
      </c>
      <c r="B156" s="39" t="s">
        <v>616</v>
      </c>
      <c r="C156" s="40" t="s">
        <v>4769</v>
      </c>
      <c r="D156" s="41" t="s">
        <v>618</v>
      </c>
      <c r="E156" s="47">
        <v>2.0</v>
      </c>
      <c r="F156" s="47">
        <v>2.0</v>
      </c>
      <c r="G156" s="47">
        <v>0.0</v>
      </c>
      <c r="H156" s="12"/>
      <c r="I156" s="12"/>
      <c r="J156" s="12"/>
      <c r="K156" s="12"/>
      <c r="L156" s="12"/>
      <c r="M156" s="44">
        <f t="shared" si="1"/>
        <v>1</v>
      </c>
      <c r="N156" s="44">
        <f t="shared" si="2"/>
        <v>0</v>
      </c>
      <c r="O156" s="44">
        <f>IFERROR(__xludf.DUMMYFUNCTION("INT(FILTER(GT(F156,0),ISNUMBER(F156)))"),1.0)</f>
        <v>1</v>
      </c>
      <c r="P156" s="44">
        <f t="shared" si="3"/>
        <v>1</v>
      </c>
      <c r="Q156" s="44">
        <f>IFERROR(__xludf.DUMMYFUNCTION("INT(FILTER(EQ(E156,F156),ISNUMBER(E156),ISNUMBER(F156)))"),1.0)</f>
        <v>1</v>
      </c>
    </row>
    <row r="157">
      <c r="A157" s="38" t="s">
        <v>619</v>
      </c>
      <c r="B157" s="39" t="s">
        <v>620</v>
      </c>
      <c r="C157" s="40" t="s">
        <v>268</v>
      </c>
      <c r="D157" s="41" t="s">
        <v>137</v>
      </c>
      <c r="E157" s="47">
        <v>2.0</v>
      </c>
      <c r="F157" s="47">
        <v>1.0</v>
      </c>
      <c r="G157" s="47">
        <v>0.0</v>
      </c>
      <c r="H157" s="12"/>
      <c r="I157" s="12"/>
      <c r="J157" s="12"/>
      <c r="K157" s="12"/>
      <c r="L157" s="12"/>
      <c r="M157" s="44">
        <f t="shared" si="1"/>
        <v>0.5</v>
      </c>
      <c r="N157" s="44">
        <f t="shared" si="2"/>
        <v>0</v>
      </c>
      <c r="O157" s="44">
        <f>IFERROR(__xludf.DUMMYFUNCTION("INT(FILTER(GT(F157,0),ISNUMBER(F157)))"),1.0)</f>
        <v>1</v>
      </c>
      <c r="P157" s="44">
        <f t="shared" si="3"/>
        <v>1</v>
      </c>
      <c r="Q157" s="44">
        <f>IFERROR(__xludf.DUMMYFUNCTION("INT(FILTER(EQ(E157,F157),ISNUMBER(E157),ISNUMBER(F157)))"),0.0)</f>
        <v>0</v>
      </c>
    </row>
    <row r="158">
      <c r="A158" s="38" t="s">
        <v>621</v>
      </c>
      <c r="B158" s="39" t="s">
        <v>622</v>
      </c>
      <c r="C158" s="40" t="s">
        <v>623</v>
      </c>
      <c r="D158" s="42" t="s">
        <v>4770</v>
      </c>
      <c r="E158" s="47">
        <v>1.0</v>
      </c>
      <c r="F158" s="47">
        <v>1.0</v>
      </c>
      <c r="G158" s="47">
        <v>0.0</v>
      </c>
      <c r="H158" s="12"/>
      <c r="I158" s="12"/>
      <c r="J158" s="12"/>
      <c r="K158" s="12"/>
      <c r="L158" s="12"/>
      <c r="M158" s="44">
        <f t="shared" si="1"/>
        <v>1</v>
      </c>
      <c r="N158" s="44">
        <f t="shared" si="2"/>
        <v>0</v>
      </c>
      <c r="O158" s="44">
        <f>IFERROR(__xludf.DUMMYFUNCTION("INT(FILTER(GT(F158,0),ISNUMBER(F158)))"),1.0)</f>
        <v>1</v>
      </c>
      <c r="P158" s="44">
        <f t="shared" si="3"/>
        <v>1</v>
      </c>
      <c r="Q158" s="44">
        <f>IFERROR(__xludf.DUMMYFUNCTION("INT(FILTER(EQ(E158,F158),ISNUMBER(E158),ISNUMBER(F158)))"),1.0)</f>
        <v>1</v>
      </c>
    </row>
    <row r="159">
      <c r="A159" s="38" t="s">
        <v>625</v>
      </c>
      <c r="B159" s="39" t="s">
        <v>626</v>
      </c>
      <c r="C159" s="40" t="s">
        <v>4771</v>
      </c>
      <c r="D159" s="41" t="s">
        <v>4772</v>
      </c>
      <c r="E159" s="47">
        <v>2.0</v>
      </c>
      <c r="F159" s="47">
        <v>1.0</v>
      </c>
      <c r="G159" s="47">
        <v>0.0</v>
      </c>
      <c r="H159" s="12"/>
      <c r="I159" s="12"/>
      <c r="J159" s="12"/>
      <c r="K159" s="12"/>
      <c r="L159" s="12"/>
      <c r="M159" s="44">
        <f t="shared" si="1"/>
        <v>0.5</v>
      </c>
      <c r="N159" s="44">
        <f t="shared" si="2"/>
        <v>0</v>
      </c>
      <c r="O159" s="44">
        <f>IFERROR(__xludf.DUMMYFUNCTION("INT(FILTER(GT(F159,0),ISNUMBER(F159)))"),1.0)</f>
        <v>1</v>
      </c>
      <c r="P159" s="44">
        <f t="shared" si="3"/>
        <v>1</v>
      </c>
      <c r="Q159" s="44">
        <f>IFERROR(__xludf.DUMMYFUNCTION("INT(FILTER(EQ(E159,F159),ISNUMBER(E159),ISNUMBER(F159)))"),0.0)</f>
        <v>0</v>
      </c>
    </row>
    <row r="160">
      <c r="A160" s="38" t="s">
        <v>629</v>
      </c>
      <c r="B160" s="39" t="s">
        <v>630</v>
      </c>
      <c r="C160" s="40" t="s">
        <v>40</v>
      </c>
      <c r="D160" s="41" t="s">
        <v>41</v>
      </c>
      <c r="E160" s="47">
        <v>2.0</v>
      </c>
      <c r="F160" s="47">
        <v>1.0</v>
      </c>
      <c r="G160" s="47">
        <v>0.0</v>
      </c>
      <c r="H160" s="12"/>
      <c r="I160" s="12"/>
      <c r="J160" s="12"/>
      <c r="K160" s="12"/>
      <c r="L160" s="12"/>
      <c r="M160" s="44">
        <f t="shared" si="1"/>
        <v>0.5</v>
      </c>
      <c r="N160" s="44">
        <f t="shared" si="2"/>
        <v>0</v>
      </c>
      <c r="O160" s="44">
        <f>IFERROR(__xludf.DUMMYFUNCTION("INT(FILTER(GT(F160,0),ISNUMBER(F160)))"),1.0)</f>
        <v>1</v>
      </c>
      <c r="P160" s="44">
        <f t="shared" si="3"/>
        <v>1</v>
      </c>
      <c r="Q160" s="44">
        <f>IFERROR(__xludf.DUMMYFUNCTION("INT(FILTER(EQ(E160,F160),ISNUMBER(E160),ISNUMBER(F160)))"),0.0)</f>
        <v>0</v>
      </c>
    </row>
    <row r="161">
      <c r="A161" s="38" t="s">
        <v>631</v>
      </c>
      <c r="B161" s="39" t="s">
        <v>632</v>
      </c>
      <c r="C161" s="40" t="s">
        <v>4773</v>
      </c>
      <c r="D161" s="42" t="s">
        <v>4774</v>
      </c>
      <c r="E161" s="47">
        <v>5.0</v>
      </c>
      <c r="F161" s="47">
        <v>4.0</v>
      </c>
      <c r="G161" s="47">
        <v>0.0</v>
      </c>
      <c r="H161" s="12"/>
      <c r="I161" s="12"/>
      <c r="J161" s="12"/>
      <c r="K161" s="12"/>
      <c r="L161" s="12"/>
      <c r="M161" s="44">
        <f t="shared" si="1"/>
        <v>0.8</v>
      </c>
      <c r="N161" s="44">
        <f t="shared" si="2"/>
        <v>0</v>
      </c>
      <c r="O161" s="44">
        <f>IFERROR(__xludf.DUMMYFUNCTION("INT(FILTER(GT(F161,0),ISNUMBER(F161)))"),1.0)</f>
        <v>1</v>
      </c>
      <c r="P161" s="44">
        <f t="shared" si="3"/>
        <v>1</v>
      </c>
      <c r="Q161" s="44">
        <f>IFERROR(__xludf.DUMMYFUNCTION("INT(FILTER(EQ(E161,F161),ISNUMBER(E161),ISNUMBER(F161)))"),0.0)</f>
        <v>0</v>
      </c>
    </row>
    <row r="162">
      <c r="A162" s="38" t="s">
        <v>635</v>
      </c>
      <c r="B162" s="39" t="s">
        <v>636</v>
      </c>
      <c r="C162" s="40" t="s">
        <v>268</v>
      </c>
      <c r="D162" s="41" t="s">
        <v>137</v>
      </c>
      <c r="E162" s="47">
        <v>1.0</v>
      </c>
      <c r="F162" s="47">
        <v>1.0</v>
      </c>
      <c r="G162" s="47">
        <v>0.0</v>
      </c>
      <c r="H162" s="12"/>
      <c r="I162" s="12"/>
      <c r="J162" s="12"/>
      <c r="K162" s="12"/>
      <c r="L162" s="12"/>
      <c r="M162" s="44">
        <f t="shared" si="1"/>
        <v>1</v>
      </c>
      <c r="N162" s="44">
        <f t="shared" si="2"/>
        <v>0</v>
      </c>
      <c r="O162" s="44">
        <f>IFERROR(__xludf.DUMMYFUNCTION("INT(FILTER(GT(F162,0),ISNUMBER(F162)))"),1.0)</f>
        <v>1</v>
      </c>
      <c r="P162" s="44">
        <f t="shared" si="3"/>
        <v>1</v>
      </c>
      <c r="Q162" s="44">
        <f>IFERROR(__xludf.DUMMYFUNCTION("INT(FILTER(EQ(E162,F162),ISNUMBER(E162),ISNUMBER(F162)))"),1.0)</f>
        <v>1</v>
      </c>
    </row>
    <row r="163">
      <c r="A163" s="38" t="s">
        <v>637</v>
      </c>
      <c r="B163" s="39" t="s">
        <v>638</v>
      </c>
      <c r="C163" s="40" t="s">
        <v>639</v>
      </c>
      <c r="D163" s="41" t="s">
        <v>640</v>
      </c>
      <c r="E163" s="47">
        <v>1.0</v>
      </c>
      <c r="F163" s="47">
        <v>0.0</v>
      </c>
      <c r="G163" s="47">
        <v>1.0</v>
      </c>
      <c r="H163" s="12"/>
      <c r="I163" s="12"/>
      <c r="J163" s="12"/>
      <c r="K163" s="12"/>
      <c r="L163" s="12"/>
      <c r="M163" s="44">
        <f t="shared" si="1"/>
        <v>0</v>
      </c>
      <c r="N163" s="44">
        <f t="shared" si="2"/>
        <v>1</v>
      </c>
      <c r="O163" s="44">
        <f>IFERROR(__xludf.DUMMYFUNCTION("INT(FILTER(GT(F163,0),ISNUMBER(F163)))"),0.0)</f>
        <v>0</v>
      </c>
      <c r="P163" s="44">
        <f t="shared" si="3"/>
        <v>0</v>
      </c>
      <c r="Q163" s="44">
        <f>IFERROR(__xludf.DUMMYFUNCTION("INT(FILTER(EQ(E163,F163),ISNUMBER(E163),ISNUMBER(F163)))"),0.0)</f>
        <v>0</v>
      </c>
    </row>
    <row r="164">
      <c r="A164" s="38" t="s">
        <v>641</v>
      </c>
      <c r="B164" s="39" t="s">
        <v>642</v>
      </c>
      <c r="C164" s="40" t="s">
        <v>643</v>
      </c>
      <c r="D164" s="41" t="s">
        <v>644</v>
      </c>
      <c r="E164" s="47">
        <v>1.0</v>
      </c>
      <c r="F164" s="47">
        <v>1.0</v>
      </c>
      <c r="G164" s="47">
        <v>0.0</v>
      </c>
      <c r="H164" s="12"/>
      <c r="I164" s="12"/>
      <c r="J164" s="12"/>
      <c r="K164" s="12"/>
      <c r="L164" s="12"/>
      <c r="M164" s="44">
        <f t="shared" si="1"/>
        <v>1</v>
      </c>
      <c r="N164" s="44">
        <f t="shared" si="2"/>
        <v>0</v>
      </c>
      <c r="O164" s="44">
        <f>IFERROR(__xludf.DUMMYFUNCTION("INT(FILTER(GT(F164,0),ISNUMBER(F164)))"),1.0)</f>
        <v>1</v>
      </c>
      <c r="P164" s="44">
        <f t="shared" si="3"/>
        <v>1</v>
      </c>
      <c r="Q164" s="44">
        <f>IFERROR(__xludf.DUMMYFUNCTION("INT(FILTER(EQ(E164,F164),ISNUMBER(E164),ISNUMBER(F164)))"),1.0)</f>
        <v>1</v>
      </c>
    </row>
    <row r="165">
      <c r="A165" s="38" t="s">
        <v>645</v>
      </c>
      <c r="B165" s="39" t="s">
        <v>646</v>
      </c>
      <c r="C165" s="40" t="s">
        <v>647</v>
      </c>
      <c r="D165" s="41" t="s">
        <v>648</v>
      </c>
      <c r="E165" s="47">
        <v>1.0</v>
      </c>
      <c r="F165" s="47">
        <v>1.0</v>
      </c>
      <c r="G165" s="47">
        <v>0.0</v>
      </c>
      <c r="H165" s="12"/>
      <c r="I165" s="12"/>
      <c r="J165" s="12"/>
      <c r="K165" s="12"/>
      <c r="L165" s="12"/>
      <c r="M165" s="44">
        <f t="shared" si="1"/>
        <v>1</v>
      </c>
      <c r="N165" s="44">
        <f t="shared" si="2"/>
        <v>0</v>
      </c>
      <c r="O165" s="44">
        <f>IFERROR(__xludf.DUMMYFUNCTION("INT(FILTER(GT(F165,0),ISNUMBER(F165)))"),1.0)</f>
        <v>1</v>
      </c>
      <c r="P165" s="44">
        <f t="shared" si="3"/>
        <v>1</v>
      </c>
      <c r="Q165" s="44">
        <f>IFERROR(__xludf.DUMMYFUNCTION("INT(FILTER(EQ(E165,F165),ISNUMBER(E165),ISNUMBER(F165)))"),1.0)</f>
        <v>1</v>
      </c>
    </row>
    <row r="166">
      <c r="A166" s="38" t="s">
        <v>649</v>
      </c>
      <c r="B166" s="39" t="s">
        <v>650</v>
      </c>
      <c r="C166" s="40" t="s">
        <v>651</v>
      </c>
      <c r="D166" s="41" t="s">
        <v>652</v>
      </c>
      <c r="E166" s="47">
        <v>1.0</v>
      </c>
      <c r="F166" s="47">
        <v>1.0</v>
      </c>
      <c r="G166" s="47">
        <v>0.0</v>
      </c>
      <c r="H166" s="12"/>
      <c r="I166" s="12"/>
      <c r="J166" s="12"/>
      <c r="K166" s="12"/>
      <c r="L166" s="12"/>
      <c r="M166" s="44">
        <f t="shared" si="1"/>
        <v>1</v>
      </c>
      <c r="N166" s="44">
        <f t="shared" si="2"/>
        <v>0</v>
      </c>
      <c r="O166" s="44">
        <f>IFERROR(__xludf.DUMMYFUNCTION("INT(FILTER(GT(F166,0),ISNUMBER(F166)))"),1.0)</f>
        <v>1</v>
      </c>
      <c r="P166" s="44">
        <f t="shared" si="3"/>
        <v>1</v>
      </c>
      <c r="Q166" s="44">
        <f>IFERROR(__xludf.DUMMYFUNCTION("INT(FILTER(EQ(E166,F166),ISNUMBER(E166),ISNUMBER(F166)))"),1.0)</f>
        <v>1</v>
      </c>
    </row>
    <row r="167">
      <c r="A167" s="38" t="s">
        <v>653</v>
      </c>
      <c r="B167" s="39" t="s">
        <v>654</v>
      </c>
      <c r="C167" s="40" t="s">
        <v>4775</v>
      </c>
      <c r="D167" s="42" t="s">
        <v>4776</v>
      </c>
      <c r="E167" s="47">
        <v>4.0</v>
      </c>
      <c r="F167" s="47">
        <v>2.0</v>
      </c>
      <c r="G167" s="47">
        <v>0.0</v>
      </c>
      <c r="H167" s="12"/>
      <c r="I167" s="12"/>
      <c r="J167" s="12"/>
      <c r="K167" s="12"/>
      <c r="L167" s="12"/>
      <c r="M167" s="44">
        <f t="shared" si="1"/>
        <v>0.5</v>
      </c>
      <c r="N167" s="44">
        <f t="shared" si="2"/>
        <v>0</v>
      </c>
      <c r="O167" s="44">
        <f>IFERROR(__xludf.DUMMYFUNCTION("INT(FILTER(GT(F167,0),ISNUMBER(F167)))"),1.0)</f>
        <v>1</v>
      </c>
      <c r="P167" s="44">
        <f t="shared" si="3"/>
        <v>1</v>
      </c>
      <c r="Q167" s="44">
        <f>IFERROR(__xludf.DUMMYFUNCTION("INT(FILTER(EQ(E167,F167),ISNUMBER(E167),ISNUMBER(F167)))"),0.0)</f>
        <v>0</v>
      </c>
    </row>
    <row r="168">
      <c r="A168" s="38" t="s">
        <v>657</v>
      </c>
      <c r="B168" s="39" t="s">
        <v>658</v>
      </c>
      <c r="C168" s="40" t="s">
        <v>4777</v>
      </c>
      <c r="D168" s="42" t="s">
        <v>4778</v>
      </c>
      <c r="E168" s="47">
        <v>4.0</v>
      </c>
      <c r="F168" s="47">
        <v>3.0</v>
      </c>
      <c r="G168" s="47">
        <v>1.0</v>
      </c>
      <c r="H168" s="12"/>
      <c r="I168" s="12"/>
      <c r="J168" s="12"/>
      <c r="K168" s="12"/>
      <c r="L168" s="12"/>
      <c r="M168" s="44">
        <f t="shared" si="1"/>
        <v>0.75</v>
      </c>
      <c r="N168" s="44">
        <f t="shared" si="2"/>
        <v>0.25</v>
      </c>
      <c r="O168" s="44">
        <f>IFERROR(__xludf.DUMMYFUNCTION("INT(FILTER(GT(F168,0),ISNUMBER(F168)))"),1.0)</f>
        <v>1</v>
      </c>
      <c r="P168" s="44">
        <f t="shared" si="3"/>
        <v>0.75</v>
      </c>
      <c r="Q168" s="44">
        <f>IFERROR(__xludf.DUMMYFUNCTION("INT(FILTER(EQ(E168,F168),ISNUMBER(E168),ISNUMBER(F168)))"),0.0)</f>
        <v>0</v>
      </c>
    </row>
    <row r="169">
      <c r="A169" s="38" t="s">
        <v>661</v>
      </c>
      <c r="B169" s="39" t="s">
        <v>662</v>
      </c>
      <c r="C169" s="40" t="s">
        <v>4779</v>
      </c>
      <c r="D169" s="42" t="s">
        <v>4780</v>
      </c>
      <c r="E169" s="47">
        <v>4.0</v>
      </c>
      <c r="F169" s="47">
        <v>3.0</v>
      </c>
      <c r="G169" s="47">
        <v>1.0</v>
      </c>
      <c r="H169" s="10">
        <v>0.0</v>
      </c>
      <c r="I169" s="12"/>
      <c r="J169" s="12"/>
      <c r="K169" s="12"/>
      <c r="L169" s="12"/>
      <c r="M169" s="44">
        <f t="shared" si="1"/>
        <v>0.75</v>
      </c>
      <c r="N169" s="44">
        <f t="shared" si="2"/>
        <v>0.25</v>
      </c>
      <c r="O169" s="44">
        <f>IFERROR(__xludf.DUMMYFUNCTION("INT(FILTER(GT(F169,0),ISNUMBER(F169)))"),1.0)</f>
        <v>1</v>
      </c>
      <c r="P169" s="44">
        <f t="shared" si="3"/>
        <v>0.75</v>
      </c>
      <c r="Q169" s="44">
        <f>IFERROR(__xludf.DUMMYFUNCTION("INT(FILTER(EQ(E169,F169),ISNUMBER(E169),ISNUMBER(F169)))"),0.0)</f>
        <v>0</v>
      </c>
    </row>
    <row r="170">
      <c r="A170" s="38" t="s">
        <v>665</v>
      </c>
      <c r="B170" s="39" t="s">
        <v>666</v>
      </c>
      <c r="C170" s="40" t="s">
        <v>667</v>
      </c>
      <c r="D170" s="41" t="s">
        <v>668</v>
      </c>
      <c r="E170" s="47">
        <v>1.0</v>
      </c>
      <c r="F170" s="47">
        <v>1.0</v>
      </c>
      <c r="G170" s="47">
        <v>0.0</v>
      </c>
      <c r="H170" s="12"/>
      <c r="I170" s="12"/>
      <c r="J170" s="12"/>
      <c r="K170" s="12"/>
      <c r="L170" s="12"/>
      <c r="M170" s="44">
        <f t="shared" si="1"/>
        <v>1</v>
      </c>
      <c r="N170" s="44">
        <f t="shared" si="2"/>
        <v>0</v>
      </c>
      <c r="O170" s="44">
        <f>IFERROR(__xludf.DUMMYFUNCTION("INT(FILTER(GT(F170,0),ISNUMBER(F170)))"),1.0)</f>
        <v>1</v>
      </c>
      <c r="P170" s="44">
        <f t="shared" si="3"/>
        <v>1</v>
      </c>
      <c r="Q170" s="44">
        <f>IFERROR(__xludf.DUMMYFUNCTION("INT(FILTER(EQ(E170,F170),ISNUMBER(E170),ISNUMBER(F170)))"),1.0)</f>
        <v>1</v>
      </c>
    </row>
    <row r="171">
      <c r="A171" s="38" t="s">
        <v>669</v>
      </c>
      <c r="B171" s="39" t="s">
        <v>670</v>
      </c>
      <c r="C171" s="40" t="s">
        <v>4781</v>
      </c>
      <c r="D171" s="42" t="s">
        <v>672</v>
      </c>
      <c r="E171" s="47">
        <v>2.0</v>
      </c>
      <c r="F171" s="47">
        <v>2.0</v>
      </c>
      <c r="G171" s="47">
        <v>0.0</v>
      </c>
      <c r="H171" s="12"/>
      <c r="I171" s="12"/>
      <c r="J171" s="12"/>
      <c r="K171" s="12"/>
      <c r="L171" s="12"/>
      <c r="M171" s="44">
        <f t="shared" si="1"/>
        <v>1</v>
      </c>
      <c r="N171" s="44">
        <f t="shared" si="2"/>
        <v>0</v>
      </c>
      <c r="O171" s="44">
        <f>IFERROR(__xludf.DUMMYFUNCTION("INT(FILTER(GT(F171,0),ISNUMBER(F171)))"),1.0)</f>
        <v>1</v>
      </c>
      <c r="P171" s="44">
        <f t="shared" si="3"/>
        <v>1</v>
      </c>
      <c r="Q171" s="44">
        <f>IFERROR(__xludf.DUMMYFUNCTION("INT(FILTER(EQ(E171,F171),ISNUMBER(E171),ISNUMBER(F171)))"),1.0)</f>
        <v>1</v>
      </c>
    </row>
    <row r="172">
      <c r="A172" s="38" t="s">
        <v>673</v>
      </c>
      <c r="B172" s="39" t="s">
        <v>674</v>
      </c>
      <c r="C172" s="40" t="s">
        <v>4782</v>
      </c>
      <c r="D172" s="42" t="s">
        <v>4783</v>
      </c>
      <c r="E172" s="47">
        <v>22.0</v>
      </c>
      <c r="F172" s="47">
        <v>11.0</v>
      </c>
      <c r="G172" s="47">
        <v>3.0</v>
      </c>
      <c r="H172" s="12"/>
      <c r="I172" s="12"/>
      <c r="J172" s="12"/>
      <c r="K172" s="12"/>
      <c r="L172" s="12"/>
      <c r="M172" s="44">
        <f t="shared" si="1"/>
        <v>0.5</v>
      </c>
      <c r="N172" s="44">
        <f t="shared" si="2"/>
        <v>0.1363636364</v>
      </c>
      <c r="O172" s="44">
        <f>IFERROR(__xludf.DUMMYFUNCTION("INT(FILTER(GT(F172,0),ISNUMBER(F172)))"),1.0)</f>
        <v>1</v>
      </c>
      <c r="P172" s="44">
        <f t="shared" si="3"/>
        <v>0.7857142857</v>
      </c>
      <c r="Q172" s="44">
        <f>IFERROR(__xludf.DUMMYFUNCTION("INT(FILTER(EQ(E172,F172),ISNUMBER(E172),ISNUMBER(F172)))"),0.0)</f>
        <v>0</v>
      </c>
    </row>
    <row r="173">
      <c r="A173" s="38" t="s">
        <v>677</v>
      </c>
      <c r="B173" s="39" t="s">
        <v>678</v>
      </c>
      <c r="C173" s="40" t="s">
        <v>4784</v>
      </c>
      <c r="D173" s="41" t="s">
        <v>4785</v>
      </c>
      <c r="E173" s="47">
        <v>1.0</v>
      </c>
      <c r="F173" s="47">
        <v>1.0</v>
      </c>
      <c r="G173" s="47">
        <v>0.0</v>
      </c>
      <c r="H173" s="12"/>
      <c r="I173" s="12"/>
      <c r="J173" s="12"/>
      <c r="K173" s="12"/>
      <c r="L173" s="12"/>
      <c r="M173" s="44">
        <f t="shared" si="1"/>
        <v>1</v>
      </c>
      <c r="N173" s="44">
        <f t="shared" si="2"/>
        <v>0</v>
      </c>
      <c r="O173" s="44">
        <f>IFERROR(__xludf.DUMMYFUNCTION("INT(FILTER(GT(F173,0),ISNUMBER(F173)))"),1.0)</f>
        <v>1</v>
      </c>
      <c r="P173" s="44">
        <f t="shared" si="3"/>
        <v>1</v>
      </c>
      <c r="Q173" s="44">
        <f>IFERROR(__xludf.DUMMYFUNCTION("INT(FILTER(EQ(E173,F173),ISNUMBER(E173),ISNUMBER(F173)))"),1.0)</f>
        <v>1</v>
      </c>
    </row>
    <row r="174">
      <c r="A174" s="38" t="s">
        <v>679</v>
      </c>
      <c r="B174" s="39" t="s">
        <v>680</v>
      </c>
      <c r="C174" s="40" t="s">
        <v>681</v>
      </c>
      <c r="D174" s="41" t="s">
        <v>445</v>
      </c>
      <c r="E174" s="47">
        <v>1.0</v>
      </c>
      <c r="F174" s="47">
        <v>1.0</v>
      </c>
      <c r="G174" s="47">
        <v>0.0</v>
      </c>
      <c r="H174" s="12"/>
      <c r="I174" s="12"/>
      <c r="J174" s="12"/>
      <c r="K174" s="12"/>
      <c r="L174" s="12"/>
      <c r="M174" s="44">
        <f t="shared" si="1"/>
        <v>1</v>
      </c>
      <c r="N174" s="44">
        <f t="shared" si="2"/>
        <v>0</v>
      </c>
      <c r="O174" s="44">
        <f>IFERROR(__xludf.DUMMYFUNCTION("INT(FILTER(GT(F174,0),ISNUMBER(F174)))"),1.0)</f>
        <v>1</v>
      </c>
      <c r="P174" s="44">
        <f t="shared" si="3"/>
        <v>1</v>
      </c>
      <c r="Q174" s="44">
        <f>IFERROR(__xludf.DUMMYFUNCTION("INT(FILTER(EQ(E174,F174),ISNUMBER(E174),ISNUMBER(F174)))"),1.0)</f>
        <v>1</v>
      </c>
    </row>
    <row r="175">
      <c r="A175" s="38" t="s">
        <v>682</v>
      </c>
      <c r="B175" s="39" t="s">
        <v>683</v>
      </c>
      <c r="C175" s="40" t="s">
        <v>4786</v>
      </c>
      <c r="D175" s="42" t="s">
        <v>4787</v>
      </c>
      <c r="E175" s="47">
        <v>3.0</v>
      </c>
      <c r="F175" s="47">
        <v>3.0</v>
      </c>
      <c r="G175" s="47">
        <v>0.0</v>
      </c>
      <c r="H175" s="12"/>
      <c r="I175" s="12"/>
      <c r="J175" s="12"/>
      <c r="K175" s="12"/>
      <c r="L175" s="12"/>
      <c r="M175" s="44">
        <f t="shared" si="1"/>
        <v>1</v>
      </c>
      <c r="N175" s="44">
        <f t="shared" si="2"/>
        <v>0</v>
      </c>
      <c r="O175" s="44">
        <f>IFERROR(__xludf.DUMMYFUNCTION("INT(FILTER(GT(F175,0),ISNUMBER(F175)))"),1.0)</f>
        <v>1</v>
      </c>
      <c r="P175" s="44">
        <f t="shared" si="3"/>
        <v>1</v>
      </c>
      <c r="Q175" s="44">
        <f>IFERROR(__xludf.DUMMYFUNCTION("INT(FILTER(EQ(E175,F175),ISNUMBER(E175),ISNUMBER(F175)))"),1.0)</f>
        <v>1</v>
      </c>
    </row>
    <row r="176">
      <c r="A176" s="38" t="s">
        <v>687</v>
      </c>
      <c r="B176" s="39" t="s">
        <v>688</v>
      </c>
      <c r="C176" s="40" t="s">
        <v>4788</v>
      </c>
      <c r="D176" s="42" t="s">
        <v>4789</v>
      </c>
      <c r="E176" s="47">
        <v>10.0</v>
      </c>
      <c r="F176" s="47">
        <v>7.0</v>
      </c>
      <c r="G176" s="47">
        <v>1.0</v>
      </c>
      <c r="H176" s="12"/>
      <c r="I176" s="12"/>
      <c r="J176" s="12"/>
      <c r="K176" s="12"/>
      <c r="L176" s="12"/>
      <c r="M176" s="44">
        <f t="shared" si="1"/>
        <v>0.7</v>
      </c>
      <c r="N176" s="44">
        <f t="shared" si="2"/>
        <v>0.1</v>
      </c>
      <c r="O176" s="44">
        <f>IFERROR(__xludf.DUMMYFUNCTION("INT(FILTER(GT(F176,0),ISNUMBER(F176)))"),1.0)</f>
        <v>1</v>
      </c>
      <c r="P176" s="44">
        <f t="shared" si="3"/>
        <v>0.875</v>
      </c>
      <c r="Q176" s="44">
        <f>IFERROR(__xludf.DUMMYFUNCTION("INT(FILTER(EQ(E176,F176),ISNUMBER(E176),ISNUMBER(F176)))"),0.0)</f>
        <v>0</v>
      </c>
    </row>
    <row r="177">
      <c r="A177" s="38" t="s">
        <v>691</v>
      </c>
      <c r="B177" s="39" t="s">
        <v>692</v>
      </c>
      <c r="C177" s="40" t="s">
        <v>4790</v>
      </c>
      <c r="D177" s="42" t="s">
        <v>4791</v>
      </c>
      <c r="E177" s="47">
        <v>2.0</v>
      </c>
      <c r="F177" s="47">
        <v>2.0</v>
      </c>
      <c r="G177" s="47">
        <v>0.0</v>
      </c>
      <c r="H177" s="12"/>
      <c r="I177" s="12"/>
      <c r="J177" s="12"/>
      <c r="K177" s="12"/>
      <c r="L177" s="12"/>
      <c r="M177" s="44">
        <f t="shared" si="1"/>
        <v>1</v>
      </c>
      <c r="N177" s="44">
        <f t="shared" si="2"/>
        <v>0</v>
      </c>
      <c r="O177" s="44">
        <f>IFERROR(__xludf.DUMMYFUNCTION("INT(FILTER(GT(F177,0),ISNUMBER(F177)))"),1.0)</f>
        <v>1</v>
      </c>
      <c r="P177" s="44">
        <f t="shared" si="3"/>
        <v>1</v>
      </c>
      <c r="Q177" s="44">
        <f>IFERROR(__xludf.DUMMYFUNCTION("INT(FILTER(EQ(E177,F177),ISNUMBER(E177),ISNUMBER(F177)))"),1.0)</f>
        <v>1</v>
      </c>
    </row>
    <row r="178">
      <c r="A178" s="38" t="s">
        <v>695</v>
      </c>
      <c r="B178" s="39" t="s">
        <v>696</v>
      </c>
      <c r="C178" s="40" t="s">
        <v>697</v>
      </c>
      <c r="D178" s="41" t="s">
        <v>698</v>
      </c>
      <c r="E178" s="47">
        <v>1.0</v>
      </c>
      <c r="F178" s="47">
        <v>1.0</v>
      </c>
      <c r="G178" s="47">
        <v>0.0</v>
      </c>
      <c r="H178" s="12"/>
      <c r="I178" s="12"/>
      <c r="J178" s="12"/>
      <c r="K178" s="12"/>
      <c r="L178" s="12"/>
      <c r="M178" s="44">
        <f t="shared" si="1"/>
        <v>1</v>
      </c>
      <c r="N178" s="44">
        <f t="shared" si="2"/>
        <v>0</v>
      </c>
      <c r="O178" s="44">
        <f>IFERROR(__xludf.DUMMYFUNCTION("INT(FILTER(GT(F178,0),ISNUMBER(F178)))"),1.0)</f>
        <v>1</v>
      </c>
      <c r="P178" s="44">
        <f t="shared" si="3"/>
        <v>1</v>
      </c>
      <c r="Q178" s="44">
        <f>IFERROR(__xludf.DUMMYFUNCTION("INT(FILTER(EQ(E178,F178),ISNUMBER(E178),ISNUMBER(F178)))"),1.0)</f>
        <v>1</v>
      </c>
    </row>
    <row r="179">
      <c r="A179" s="38" t="s">
        <v>699</v>
      </c>
      <c r="B179" s="39" t="s">
        <v>700</v>
      </c>
      <c r="C179" s="40" t="s">
        <v>701</v>
      </c>
      <c r="D179" s="42" t="s">
        <v>4792</v>
      </c>
      <c r="E179" s="47">
        <v>3.0</v>
      </c>
      <c r="F179" s="47">
        <v>1.0</v>
      </c>
      <c r="G179" s="47">
        <v>0.0</v>
      </c>
      <c r="H179" s="12"/>
      <c r="I179" s="12"/>
      <c r="J179" s="12"/>
      <c r="K179" s="12"/>
      <c r="L179" s="12"/>
      <c r="M179" s="44">
        <f t="shared" si="1"/>
        <v>0.3333333333</v>
      </c>
      <c r="N179" s="44">
        <f t="shared" si="2"/>
        <v>0</v>
      </c>
      <c r="O179" s="44">
        <f>IFERROR(__xludf.DUMMYFUNCTION("INT(FILTER(GT(F179,0),ISNUMBER(F179)))"),1.0)</f>
        <v>1</v>
      </c>
      <c r="P179" s="44">
        <f t="shared" si="3"/>
        <v>1</v>
      </c>
      <c r="Q179" s="44">
        <f>IFERROR(__xludf.DUMMYFUNCTION("INT(FILTER(EQ(E179,F179),ISNUMBER(E179),ISNUMBER(F179)))"),0.0)</f>
        <v>0</v>
      </c>
    </row>
    <row r="180">
      <c r="A180" s="38" t="s">
        <v>703</v>
      </c>
      <c r="B180" s="39" t="s">
        <v>704</v>
      </c>
      <c r="C180" s="40" t="s">
        <v>584</v>
      </c>
      <c r="D180" s="41" t="s">
        <v>585</v>
      </c>
      <c r="E180" s="47">
        <v>1.0</v>
      </c>
      <c r="F180" s="47">
        <v>1.0</v>
      </c>
      <c r="G180" s="47">
        <v>0.0</v>
      </c>
      <c r="H180" s="12"/>
      <c r="I180" s="12"/>
      <c r="J180" s="12"/>
      <c r="K180" s="12"/>
      <c r="L180" s="12"/>
      <c r="M180" s="44">
        <f t="shared" si="1"/>
        <v>1</v>
      </c>
      <c r="N180" s="44">
        <f t="shared" si="2"/>
        <v>0</v>
      </c>
      <c r="O180" s="44">
        <f>IFERROR(__xludf.DUMMYFUNCTION("INT(FILTER(GT(F180,0),ISNUMBER(F180)))"),1.0)</f>
        <v>1</v>
      </c>
      <c r="P180" s="44">
        <f t="shared" si="3"/>
        <v>1</v>
      </c>
      <c r="Q180" s="44">
        <f>IFERROR(__xludf.DUMMYFUNCTION("INT(FILTER(EQ(E180,F180),ISNUMBER(E180),ISNUMBER(F180)))"),1.0)</f>
        <v>1</v>
      </c>
    </row>
    <row r="181">
      <c r="A181" s="38" t="s">
        <v>705</v>
      </c>
      <c r="B181" s="39" t="s">
        <v>706</v>
      </c>
      <c r="C181" s="40" t="s">
        <v>707</v>
      </c>
      <c r="D181" s="42" t="s">
        <v>4793</v>
      </c>
      <c r="E181" s="47">
        <v>5.0</v>
      </c>
      <c r="F181" s="47">
        <v>5.0</v>
      </c>
      <c r="G181" s="47">
        <v>0.0</v>
      </c>
      <c r="H181" s="12"/>
      <c r="I181" s="12"/>
      <c r="J181" s="12"/>
      <c r="K181" s="12"/>
      <c r="L181" s="12"/>
      <c r="M181" s="44">
        <f t="shared" si="1"/>
        <v>1</v>
      </c>
      <c r="N181" s="44">
        <f t="shared" si="2"/>
        <v>0</v>
      </c>
      <c r="O181" s="44">
        <f>IFERROR(__xludf.DUMMYFUNCTION("INT(FILTER(GT(F181,0),ISNUMBER(F181)))"),1.0)</f>
        <v>1</v>
      </c>
      <c r="P181" s="44">
        <f t="shared" si="3"/>
        <v>1</v>
      </c>
      <c r="Q181" s="44">
        <f>IFERROR(__xludf.DUMMYFUNCTION("INT(FILTER(EQ(E181,F181),ISNUMBER(E181),ISNUMBER(F181)))"),1.0)</f>
        <v>1</v>
      </c>
    </row>
    <row r="182">
      <c r="A182" s="38" t="s">
        <v>709</v>
      </c>
      <c r="B182" s="39" t="s">
        <v>710</v>
      </c>
      <c r="C182" s="40" t="s">
        <v>4794</v>
      </c>
      <c r="D182" s="42" t="s">
        <v>4795</v>
      </c>
      <c r="E182" s="47">
        <v>6.0</v>
      </c>
      <c r="F182" s="47">
        <v>4.0</v>
      </c>
      <c r="G182" s="47">
        <v>0.0</v>
      </c>
      <c r="H182" s="12"/>
      <c r="I182" s="12"/>
      <c r="J182" s="12"/>
      <c r="K182" s="12"/>
      <c r="L182" s="12"/>
      <c r="M182" s="44">
        <f t="shared" si="1"/>
        <v>0.6666666667</v>
      </c>
      <c r="N182" s="44">
        <f t="shared" si="2"/>
        <v>0</v>
      </c>
      <c r="O182" s="44">
        <f>IFERROR(__xludf.DUMMYFUNCTION("INT(FILTER(GT(F182,0),ISNUMBER(F182)))"),1.0)</f>
        <v>1</v>
      </c>
      <c r="P182" s="44">
        <f t="shared" si="3"/>
        <v>1</v>
      </c>
      <c r="Q182" s="44">
        <f>IFERROR(__xludf.DUMMYFUNCTION("INT(FILTER(EQ(E182,F182),ISNUMBER(E182),ISNUMBER(F182)))"),0.0)</f>
        <v>0</v>
      </c>
    </row>
    <row r="183">
      <c r="A183" s="38" t="s">
        <v>713</v>
      </c>
      <c r="B183" s="39" t="s">
        <v>714</v>
      </c>
      <c r="C183" s="40" t="s">
        <v>4796</v>
      </c>
      <c r="D183" s="41" t="s">
        <v>4797</v>
      </c>
      <c r="E183" s="47">
        <v>1.0</v>
      </c>
      <c r="F183" s="47">
        <v>1.0</v>
      </c>
      <c r="G183" s="47">
        <v>0.0</v>
      </c>
      <c r="H183" s="12"/>
      <c r="I183" s="12"/>
      <c r="J183" s="12"/>
      <c r="K183" s="12"/>
      <c r="L183" s="12"/>
      <c r="M183" s="44">
        <f t="shared" si="1"/>
        <v>1</v>
      </c>
      <c r="N183" s="44">
        <f t="shared" si="2"/>
        <v>0</v>
      </c>
      <c r="O183" s="44">
        <f>IFERROR(__xludf.DUMMYFUNCTION("INT(FILTER(GT(F183,0),ISNUMBER(F183)))"),1.0)</f>
        <v>1</v>
      </c>
      <c r="P183" s="44">
        <f t="shared" si="3"/>
        <v>1</v>
      </c>
      <c r="Q183" s="44">
        <f>IFERROR(__xludf.DUMMYFUNCTION("INT(FILTER(EQ(E183,F183),ISNUMBER(E183),ISNUMBER(F183)))"),1.0)</f>
        <v>1</v>
      </c>
    </row>
    <row r="184">
      <c r="A184" s="38" t="s">
        <v>717</v>
      </c>
      <c r="B184" s="39" t="s">
        <v>718</v>
      </c>
      <c r="C184" s="40" t="s">
        <v>719</v>
      </c>
      <c r="D184" s="42" t="s">
        <v>4798</v>
      </c>
      <c r="E184" s="47">
        <v>4.0</v>
      </c>
      <c r="F184" s="47">
        <v>4.0</v>
      </c>
      <c r="G184" s="47">
        <v>0.0</v>
      </c>
      <c r="H184" s="12"/>
      <c r="I184" s="12"/>
      <c r="J184" s="12"/>
      <c r="K184" s="12"/>
      <c r="L184" s="12"/>
      <c r="M184" s="44">
        <f t="shared" si="1"/>
        <v>1</v>
      </c>
      <c r="N184" s="44">
        <f t="shared" si="2"/>
        <v>0</v>
      </c>
      <c r="O184" s="44">
        <f>IFERROR(__xludf.DUMMYFUNCTION("INT(FILTER(GT(F184,0),ISNUMBER(F184)))"),1.0)</f>
        <v>1</v>
      </c>
      <c r="P184" s="44">
        <f t="shared" si="3"/>
        <v>1</v>
      </c>
      <c r="Q184" s="44">
        <f>IFERROR(__xludf.DUMMYFUNCTION("INT(FILTER(EQ(E184,F184),ISNUMBER(E184),ISNUMBER(F184)))"),1.0)</f>
        <v>1</v>
      </c>
    </row>
    <row r="185">
      <c r="A185" s="38" t="s">
        <v>721</v>
      </c>
      <c r="B185" s="39" t="s">
        <v>722</v>
      </c>
      <c r="C185" s="40" t="s">
        <v>4799</v>
      </c>
      <c r="D185" s="42" t="s">
        <v>724</v>
      </c>
      <c r="E185" s="47">
        <v>4.0</v>
      </c>
      <c r="F185" s="47">
        <v>2.0</v>
      </c>
      <c r="G185" s="47">
        <v>0.0</v>
      </c>
      <c r="H185" s="12"/>
      <c r="I185" s="12"/>
      <c r="J185" s="12"/>
      <c r="K185" s="12"/>
      <c r="L185" s="12"/>
      <c r="M185" s="44">
        <f t="shared" si="1"/>
        <v>0.5</v>
      </c>
      <c r="N185" s="44">
        <f t="shared" si="2"/>
        <v>0</v>
      </c>
      <c r="O185" s="44">
        <f>IFERROR(__xludf.DUMMYFUNCTION("INT(FILTER(GT(F185,0),ISNUMBER(F185)))"),1.0)</f>
        <v>1</v>
      </c>
      <c r="P185" s="44">
        <f t="shared" si="3"/>
        <v>1</v>
      </c>
      <c r="Q185" s="44">
        <f>IFERROR(__xludf.DUMMYFUNCTION("INT(FILTER(EQ(E185,F185),ISNUMBER(E185),ISNUMBER(F185)))"),0.0)</f>
        <v>0</v>
      </c>
    </row>
    <row r="186">
      <c r="A186" s="38" t="s">
        <v>725</v>
      </c>
      <c r="B186" s="39" t="s">
        <v>726</v>
      </c>
      <c r="C186" s="40" t="s">
        <v>727</v>
      </c>
      <c r="D186" s="41" t="s">
        <v>728</v>
      </c>
      <c r="E186" s="47">
        <v>1.0</v>
      </c>
      <c r="F186" s="47">
        <v>1.0</v>
      </c>
      <c r="G186" s="47">
        <v>0.0</v>
      </c>
      <c r="H186" s="12"/>
      <c r="I186" s="12"/>
      <c r="J186" s="12"/>
      <c r="K186" s="12"/>
      <c r="L186" s="12"/>
      <c r="M186" s="44">
        <f t="shared" si="1"/>
        <v>1</v>
      </c>
      <c r="N186" s="44">
        <f t="shared" si="2"/>
        <v>0</v>
      </c>
      <c r="O186" s="44">
        <f>IFERROR(__xludf.DUMMYFUNCTION("INT(FILTER(GT(F186,0),ISNUMBER(F186)))"),1.0)</f>
        <v>1</v>
      </c>
      <c r="P186" s="44">
        <f t="shared" si="3"/>
        <v>1</v>
      </c>
      <c r="Q186" s="44">
        <f>IFERROR(__xludf.DUMMYFUNCTION("INT(FILTER(EQ(E186,F186),ISNUMBER(E186),ISNUMBER(F186)))"),1.0)</f>
        <v>1</v>
      </c>
    </row>
    <row r="187">
      <c r="A187" s="38" t="s">
        <v>729</v>
      </c>
      <c r="B187" s="39" t="s">
        <v>730</v>
      </c>
      <c r="C187" s="40" t="s">
        <v>4800</v>
      </c>
      <c r="D187" s="42" t="s">
        <v>4801</v>
      </c>
      <c r="E187" s="47">
        <v>3.0</v>
      </c>
      <c r="F187" s="47">
        <v>1.0</v>
      </c>
      <c r="G187" s="47">
        <v>1.0</v>
      </c>
      <c r="H187" s="12"/>
      <c r="I187" s="12"/>
      <c r="J187" s="12"/>
      <c r="K187" s="12"/>
      <c r="L187" s="12"/>
      <c r="M187" s="44">
        <f t="shared" si="1"/>
        <v>0.3333333333</v>
      </c>
      <c r="N187" s="44">
        <f t="shared" si="2"/>
        <v>0.3333333333</v>
      </c>
      <c r="O187" s="44">
        <f>IFERROR(__xludf.DUMMYFUNCTION("INT(FILTER(GT(F187,0),ISNUMBER(F187)))"),1.0)</f>
        <v>1</v>
      </c>
      <c r="P187" s="44">
        <f t="shared" si="3"/>
        <v>0.5</v>
      </c>
      <c r="Q187" s="44">
        <f>IFERROR(__xludf.DUMMYFUNCTION("INT(FILTER(EQ(E187,F187),ISNUMBER(E187),ISNUMBER(F187)))"),0.0)</f>
        <v>0</v>
      </c>
    </row>
    <row r="188">
      <c r="A188" s="38" t="s">
        <v>733</v>
      </c>
      <c r="B188" s="39" t="s">
        <v>734</v>
      </c>
      <c r="C188" s="40" t="s">
        <v>735</v>
      </c>
      <c r="D188" s="42" t="s">
        <v>4802</v>
      </c>
      <c r="E188" s="47">
        <v>2.0</v>
      </c>
      <c r="F188" s="47">
        <v>2.0</v>
      </c>
      <c r="G188" s="47">
        <v>0.0</v>
      </c>
      <c r="H188" s="12"/>
      <c r="I188" s="12"/>
      <c r="J188" s="12"/>
      <c r="K188" s="12"/>
      <c r="L188" s="12"/>
      <c r="M188" s="44">
        <f t="shared" si="1"/>
        <v>1</v>
      </c>
      <c r="N188" s="44">
        <f t="shared" si="2"/>
        <v>0</v>
      </c>
      <c r="O188" s="44">
        <f>IFERROR(__xludf.DUMMYFUNCTION("INT(FILTER(GT(F188,0),ISNUMBER(F188)))"),1.0)</f>
        <v>1</v>
      </c>
      <c r="P188" s="44">
        <f t="shared" si="3"/>
        <v>1</v>
      </c>
      <c r="Q188" s="44">
        <f>IFERROR(__xludf.DUMMYFUNCTION("INT(FILTER(EQ(E188,F188),ISNUMBER(E188),ISNUMBER(F188)))"),1.0)</f>
        <v>1</v>
      </c>
    </row>
    <row r="189">
      <c r="A189" s="38" t="s">
        <v>737</v>
      </c>
      <c r="B189" s="39" t="s">
        <v>738</v>
      </c>
      <c r="C189" s="40" t="s">
        <v>739</v>
      </c>
      <c r="D189" s="41" t="s">
        <v>740</v>
      </c>
      <c r="E189" s="47">
        <v>2.0</v>
      </c>
      <c r="F189" s="47">
        <v>1.0</v>
      </c>
      <c r="G189" s="47">
        <v>0.0</v>
      </c>
      <c r="H189" s="12"/>
      <c r="I189" s="12"/>
      <c r="J189" s="12"/>
      <c r="K189" s="12"/>
      <c r="L189" s="12"/>
      <c r="M189" s="44">
        <f t="shared" si="1"/>
        <v>0.5</v>
      </c>
      <c r="N189" s="44">
        <f t="shared" si="2"/>
        <v>0</v>
      </c>
      <c r="O189" s="44">
        <f>IFERROR(__xludf.DUMMYFUNCTION("INT(FILTER(GT(F189,0),ISNUMBER(F189)))"),1.0)</f>
        <v>1</v>
      </c>
      <c r="P189" s="44">
        <f t="shared" si="3"/>
        <v>1</v>
      </c>
      <c r="Q189" s="44">
        <f>IFERROR(__xludf.DUMMYFUNCTION("INT(FILTER(EQ(E189,F189),ISNUMBER(E189),ISNUMBER(F189)))"),0.0)</f>
        <v>0</v>
      </c>
    </row>
    <row r="190">
      <c r="A190" s="38" t="s">
        <v>741</v>
      </c>
      <c r="B190" s="39" t="s">
        <v>742</v>
      </c>
      <c r="C190" s="40" t="s">
        <v>743</v>
      </c>
      <c r="D190" s="42" t="s">
        <v>4803</v>
      </c>
      <c r="E190" s="47">
        <v>2.0</v>
      </c>
      <c r="F190" s="47">
        <v>2.0</v>
      </c>
      <c r="G190" s="47">
        <v>1.0</v>
      </c>
      <c r="H190" s="12"/>
      <c r="I190" s="12"/>
      <c r="J190" s="12"/>
      <c r="K190" s="12"/>
      <c r="L190" s="12"/>
      <c r="M190" s="44">
        <f t="shared" si="1"/>
        <v>1</v>
      </c>
      <c r="N190" s="44">
        <f t="shared" si="2"/>
        <v>0.5</v>
      </c>
      <c r="O190" s="44">
        <f>IFERROR(__xludf.DUMMYFUNCTION("INT(FILTER(GT(F190,0),ISNUMBER(F190)))"),1.0)</f>
        <v>1</v>
      </c>
      <c r="P190" s="44">
        <f t="shared" si="3"/>
        <v>0.6666666667</v>
      </c>
      <c r="Q190" s="44">
        <f>IFERROR(__xludf.DUMMYFUNCTION("INT(FILTER(EQ(E190,F190),ISNUMBER(E190),ISNUMBER(F190)))"),1.0)</f>
        <v>1</v>
      </c>
    </row>
    <row r="191">
      <c r="A191" s="38" t="s">
        <v>745</v>
      </c>
      <c r="B191" s="39" t="s">
        <v>746</v>
      </c>
      <c r="C191" s="40" t="s">
        <v>747</v>
      </c>
      <c r="D191" s="42" t="s">
        <v>4804</v>
      </c>
      <c r="E191" s="47">
        <v>4.0</v>
      </c>
      <c r="F191" s="47">
        <v>4.0</v>
      </c>
      <c r="G191" s="47">
        <v>0.0</v>
      </c>
      <c r="H191" s="12"/>
      <c r="I191" s="12"/>
      <c r="J191" s="12"/>
      <c r="K191" s="12"/>
      <c r="L191" s="12"/>
      <c r="M191" s="44">
        <f t="shared" si="1"/>
        <v>1</v>
      </c>
      <c r="N191" s="44">
        <f t="shared" si="2"/>
        <v>0</v>
      </c>
      <c r="O191" s="44">
        <f>IFERROR(__xludf.DUMMYFUNCTION("INT(FILTER(GT(F191,0),ISNUMBER(F191)))"),1.0)</f>
        <v>1</v>
      </c>
      <c r="P191" s="44">
        <f t="shared" si="3"/>
        <v>1</v>
      </c>
      <c r="Q191" s="44">
        <f>IFERROR(__xludf.DUMMYFUNCTION("INT(FILTER(EQ(E191,F191),ISNUMBER(E191),ISNUMBER(F191)))"),1.0)</f>
        <v>1</v>
      </c>
    </row>
    <row r="192">
      <c r="A192" s="38" t="s">
        <v>749</v>
      </c>
      <c r="B192" s="39" t="s">
        <v>750</v>
      </c>
      <c r="C192" s="40" t="s">
        <v>4805</v>
      </c>
      <c r="D192" s="42" t="s">
        <v>4806</v>
      </c>
      <c r="E192" s="47">
        <v>6.0</v>
      </c>
      <c r="F192" s="47">
        <v>3.0</v>
      </c>
      <c r="G192" s="47">
        <v>0.0</v>
      </c>
      <c r="H192" s="12"/>
      <c r="I192" s="12"/>
      <c r="J192" s="12"/>
      <c r="K192" s="12"/>
      <c r="L192" s="12"/>
      <c r="M192" s="44">
        <f t="shared" si="1"/>
        <v>0.5</v>
      </c>
      <c r="N192" s="44">
        <f t="shared" si="2"/>
        <v>0</v>
      </c>
      <c r="O192" s="44">
        <f>IFERROR(__xludf.DUMMYFUNCTION("INT(FILTER(GT(F192,0),ISNUMBER(F192)))"),1.0)</f>
        <v>1</v>
      </c>
      <c r="P192" s="44">
        <f t="shared" si="3"/>
        <v>1</v>
      </c>
      <c r="Q192" s="44">
        <f>IFERROR(__xludf.DUMMYFUNCTION("INT(FILTER(EQ(E192,F192),ISNUMBER(E192),ISNUMBER(F192)))"),0.0)</f>
        <v>0</v>
      </c>
    </row>
    <row r="193">
      <c r="A193" s="38" t="s">
        <v>753</v>
      </c>
      <c r="B193" s="39" t="s">
        <v>754</v>
      </c>
      <c r="C193" s="40" t="s">
        <v>4807</v>
      </c>
      <c r="D193" s="41" t="s">
        <v>756</v>
      </c>
      <c r="E193" s="47">
        <v>2.0</v>
      </c>
      <c r="F193" s="47">
        <v>1.0</v>
      </c>
      <c r="G193" s="47">
        <v>0.0</v>
      </c>
      <c r="H193" s="12"/>
      <c r="I193" s="12"/>
      <c r="J193" s="12"/>
      <c r="K193" s="12"/>
      <c r="L193" s="12"/>
      <c r="M193" s="44">
        <f t="shared" si="1"/>
        <v>0.5</v>
      </c>
      <c r="N193" s="44">
        <f t="shared" si="2"/>
        <v>0</v>
      </c>
      <c r="O193" s="44">
        <f>IFERROR(__xludf.DUMMYFUNCTION("INT(FILTER(GT(F193,0),ISNUMBER(F193)))"),1.0)</f>
        <v>1</v>
      </c>
      <c r="P193" s="44">
        <f t="shared" si="3"/>
        <v>1</v>
      </c>
      <c r="Q193" s="44">
        <f>IFERROR(__xludf.DUMMYFUNCTION("INT(FILTER(EQ(E193,F193),ISNUMBER(E193),ISNUMBER(F193)))"),0.0)</f>
        <v>0</v>
      </c>
    </row>
    <row r="194">
      <c r="A194" s="38" t="s">
        <v>757</v>
      </c>
      <c r="B194" s="39" t="s">
        <v>758</v>
      </c>
      <c r="C194" s="40" t="s">
        <v>4808</v>
      </c>
      <c r="D194" s="41" t="s">
        <v>4809</v>
      </c>
      <c r="E194" s="47">
        <v>1.0</v>
      </c>
      <c r="F194" s="47">
        <v>0.0</v>
      </c>
      <c r="G194" s="47">
        <v>1.0</v>
      </c>
      <c r="H194" s="12"/>
      <c r="I194" s="12"/>
      <c r="J194" s="12"/>
      <c r="K194" s="12"/>
      <c r="L194" s="12"/>
      <c r="M194" s="44">
        <f t="shared" si="1"/>
        <v>0</v>
      </c>
      <c r="N194" s="44">
        <f t="shared" si="2"/>
        <v>1</v>
      </c>
      <c r="O194" s="44">
        <f>IFERROR(__xludf.DUMMYFUNCTION("INT(FILTER(GT(F194,0),ISNUMBER(F194)))"),0.0)</f>
        <v>0</v>
      </c>
      <c r="P194" s="44">
        <f t="shared" si="3"/>
        <v>0</v>
      </c>
      <c r="Q194" s="44">
        <f>IFERROR(__xludf.DUMMYFUNCTION("INT(FILTER(EQ(E194,F194),ISNUMBER(E194),ISNUMBER(F194)))"),0.0)</f>
        <v>0</v>
      </c>
    </row>
    <row r="195">
      <c r="A195" s="38" t="s">
        <v>759</v>
      </c>
      <c r="B195" s="39" t="s">
        <v>760</v>
      </c>
      <c r="C195" s="40" t="s">
        <v>4810</v>
      </c>
      <c r="D195" s="42" t="s">
        <v>4811</v>
      </c>
      <c r="E195" s="47">
        <v>7.0</v>
      </c>
      <c r="F195" s="47">
        <v>6.0</v>
      </c>
      <c r="G195" s="47">
        <v>0.0</v>
      </c>
      <c r="H195" s="12"/>
      <c r="I195" s="12"/>
      <c r="J195" s="12"/>
      <c r="K195" s="12"/>
      <c r="L195" s="12"/>
      <c r="M195" s="44">
        <f t="shared" si="1"/>
        <v>0.8571428571</v>
      </c>
      <c r="N195" s="44">
        <f t="shared" si="2"/>
        <v>0</v>
      </c>
      <c r="O195" s="44">
        <f>IFERROR(__xludf.DUMMYFUNCTION("INT(FILTER(GT(F195,0),ISNUMBER(F195)))"),1.0)</f>
        <v>1</v>
      </c>
      <c r="P195" s="44">
        <f t="shared" si="3"/>
        <v>1</v>
      </c>
      <c r="Q195" s="44">
        <f>IFERROR(__xludf.DUMMYFUNCTION("INT(FILTER(EQ(E195,F195),ISNUMBER(E195),ISNUMBER(F195)))"),0.0)</f>
        <v>0</v>
      </c>
    </row>
    <row r="196">
      <c r="A196" s="38" t="s">
        <v>763</v>
      </c>
      <c r="B196" s="39" t="s">
        <v>764</v>
      </c>
      <c r="C196" s="40" t="s">
        <v>765</v>
      </c>
      <c r="D196" s="42" t="s">
        <v>4812</v>
      </c>
      <c r="E196" s="47">
        <v>3.0</v>
      </c>
      <c r="F196" s="47">
        <v>3.0</v>
      </c>
      <c r="G196" s="47">
        <v>0.0</v>
      </c>
      <c r="H196" s="12"/>
      <c r="I196" s="12"/>
      <c r="J196" s="12"/>
      <c r="K196" s="12"/>
      <c r="L196" s="12"/>
      <c r="M196" s="44">
        <f t="shared" si="1"/>
        <v>1</v>
      </c>
      <c r="N196" s="44">
        <f t="shared" si="2"/>
        <v>0</v>
      </c>
      <c r="O196" s="44">
        <f>IFERROR(__xludf.DUMMYFUNCTION("INT(FILTER(GT(F196,0),ISNUMBER(F196)))"),1.0)</f>
        <v>1</v>
      </c>
      <c r="P196" s="44">
        <f t="shared" si="3"/>
        <v>1</v>
      </c>
      <c r="Q196" s="44">
        <f>IFERROR(__xludf.DUMMYFUNCTION("INT(FILTER(EQ(E196,F196),ISNUMBER(E196),ISNUMBER(F196)))"),1.0)</f>
        <v>1</v>
      </c>
    </row>
    <row r="197">
      <c r="A197" s="38" t="s">
        <v>767</v>
      </c>
      <c r="B197" s="39" t="s">
        <v>768</v>
      </c>
      <c r="C197" s="40" t="s">
        <v>769</v>
      </c>
      <c r="D197" s="41" t="s">
        <v>770</v>
      </c>
      <c r="E197" s="47">
        <v>1.0</v>
      </c>
      <c r="F197" s="47">
        <v>1.0</v>
      </c>
      <c r="G197" s="47">
        <v>0.0</v>
      </c>
      <c r="H197" s="12"/>
      <c r="I197" s="12"/>
      <c r="J197" s="12"/>
      <c r="K197" s="12"/>
      <c r="L197" s="12"/>
      <c r="M197" s="44">
        <f t="shared" si="1"/>
        <v>1</v>
      </c>
      <c r="N197" s="44">
        <f t="shared" si="2"/>
        <v>0</v>
      </c>
      <c r="O197" s="44">
        <f>IFERROR(__xludf.DUMMYFUNCTION("INT(FILTER(GT(F197,0),ISNUMBER(F197)))"),1.0)</f>
        <v>1</v>
      </c>
      <c r="P197" s="44">
        <f t="shared" si="3"/>
        <v>1</v>
      </c>
      <c r="Q197" s="44">
        <f>IFERROR(__xludf.DUMMYFUNCTION("INT(FILTER(EQ(E197,F197),ISNUMBER(E197),ISNUMBER(F197)))"),1.0)</f>
        <v>1</v>
      </c>
    </row>
    <row r="198">
      <c r="A198" s="38" t="s">
        <v>771</v>
      </c>
      <c r="B198" s="39" t="s">
        <v>772</v>
      </c>
      <c r="C198" s="40" t="s">
        <v>773</v>
      </c>
      <c r="D198" s="42" t="s">
        <v>4813</v>
      </c>
      <c r="E198" s="47">
        <v>2.0</v>
      </c>
      <c r="F198" s="47">
        <v>2.0</v>
      </c>
      <c r="G198" s="47">
        <v>0.0</v>
      </c>
      <c r="H198" s="12"/>
      <c r="I198" s="12"/>
      <c r="J198" s="12"/>
      <c r="K198" s="12"/>
      <c r="L198" s="12"/>
      <c r="M198" s="44">
        <f t="shared" si="1"/>
        <v>1</v>
      </c>
      <c r="N198" s="44">
        <f t="shared" si="2"/>
        <v>0</v>
      </c>
      <c r="O198" s="44">
        <f>IFERROR(__xludf.DUMMYFUNCTION("INT(FILTER(GT(F198,0),ISNUMBER(F198)))"),1.0)</f>
        <v>1</v>
      </c>
      <c r="P198" s="44">
        <f t="shared" si="3"/>
        <v>1</v>
      </c>
      <c r="Q198" s="44">
        <f>IFERROR(__xludf.DUMMYFUNCTION("INT(FILTER(EQ(E198,F198),ISNUMBER(E198),ISNUMBER(F198)))"),1.0)</f>
        <v>1</v>
      </c>
    </row>
    <row r="199">
      <c r="A199" s="38" t="s">
        <v>775</v>
      </c>
      <c r="B199" s="39" t="s">
        <v>776</v>
      </c>
      <c r="C199" s="40" t="s">
        <v>777</v>
      </c>
      <c r="D199" s="41" t="s">
        <v>778</v>
      </c>
      <c r="E199" s="47">
        <v>1.0</v>
      </c>
      <c r="F199" s="47">
        <v>1.0</v>
      </c>
      <c r="G199" s="47">
        <v>0.0</v>
      </c>
      <c r="H199" s="12"/>
      <c r="I199" s="12"/>
      <c r="J199" s="12"/>
      <c r="K199" s="12"/>
      <c r="L199" s="12"/>
      <c r="M199" s="44">
        <f t="shared" si="1"/>
        <v>1</v>
      </c>
      <c r="N199" s="44">
        <f t="shared" si="2"/>
        <v>0</v>
      </c>
      <c r="O199" s="44">
        <f>IFERROR(__xludf.DUMMYFUNCTION("INT(FILTER(GT(F199,0),ISNUMBER(F199)))"),1.0)</f>
        <v>1</v>
      </c>
      <c r="P199" s="44">
        <f t="shared" si="3"/>
        <v>1</v>
      </c>
      <c r="Q199" s="44">
        <f>IFERROR(__xludf.DUMMYFUNCTION("INT(FILTER(EQ(E199,F199),ISNUMBER(E199),ISNUMBER(F199)))"),1.0)</f>
        <v>1</v>
      </c>
    </row>
    <row r="200">
      <c r="A200" s="49" t="s">
        <v>779</v>
      </c>
      <c r="B200" s="50" t="s">
        <v>780</v>
      </c>
      <c r="C200" s="40" t="s">
        <v>781</v>
      </c>
      <c r="D200" s="42" t="s">
        <v>4814</v>
      </c>
      <c r="E200" s="42">
        <v>2.0</v>
      </c>
      <c r="F200" s="42">
        <v>2.0</v>
      </c>
      <c r="G200" s="42">
        <v>0.0</v>
      </c>
      <c r="H200" s="43" t="s">
        <v>4815</v>
      </c>
      <c r="I200" s="12"/>
      <c r="J200" s="12"/>
      <c r="K200" s="12"/>
      <c r="L200" s="12"/>
      <c r="M200" s="44">
        <f t="shared" si="1"/>
        <v>1</v>
      </c>
      <c r="N200" s="44">
        <f t="shared" si="2"/>
        <v>0</v>
      </c>
      <c r="O200" s="44">
        <f>IFERROR(__xludf.DUMMYFUNCTION("INT(FILTER(GT(F200,0),ISNUMBER(F200)))"),1.0)</f>
        <v>1</v>
      </c>
      <c r="P200" s="44">
        <f t="shared" si="3"/>
        <v>1</v>
      </c>
      <c r="Q200" s="44">
        <f>IFERROR(__xludf.DUMMYFUNCTION("INT(FILTER(EQ(E200,F200),ISNUMBER(E200),ISNUMBER(F200)))"),1.0)</f>
        <v>1</v>
      </c>
    </row>
    <row r="201">
      <c r="A201" s="38" t="s">
        <v>783</v>
      </c>
      <c r="B201" s="39" t="s">
        <v>784</v>
      </c>
      <c r="C201" s="40" t="s">
        <v>785</v>
      </c>
      <c r="D201" s="41" t="s">
        <v>786</v>
      </c>
      <c r="E201" s="42">
        <v>1.0</v>
      </c>
      <c r="F201" s="42">
        <v>1.0</v>
      </c>
      <c r="G201" s="42">
        <v>0.0</v>
      </c>
      <c r="H201" s="43" t="s">
        <v>4815</v>
      </c>
      <c r="I201" s="44"/>
      <c r="J201" s="44"/>
      <c r="K201" s="44"/>
      <c r="L201" s="44"/>
      <c r="M201" s="44">
        <f t="shared" si="1"/>
        <v>1</v>
      </c>
      <c r="N201" s="44">
        <f t="shared" si="2"/>
        <v>0</v>
      </c>
      <c r="O201" s="44">
        <f>IFERROR(__xludf.DUMMYFUNCTION("INT(FILTER(GT(F201,0),ISNUMBER(F201)))"),1.0)</f>
        <v>1</v>
      </c>
      <c r="P201" s="44">
        <f t="shared" si="3"/>
        <v>1</v>
      </c>
      <c r="Q201" s="44">
        <f>IFERROR(__xludf.DUMMYFUNCTION("INT(FILTER(EQ(E201,F201),ISNUMBER(E201),ISNUMBER(F201)))"),1.0)</f>
        <v>1</v>
      </c>
    </row>
    <row r="202">
      <c r="A202" s="38" t="s">
        <v>787</v>
      </c>
      <c r="B202" s="39" t="s">
        <v>788</v>
      </c>
      <c r="C202" s="40" t="s">
        <v>789</v>
      </c>
      <c r="D202" s="42" t="s">
        <v>4816</v>
      </c>
      <c r="E202" s="42">
        <v>3.0</v>
      </c>
      <c r="F202" s="42">
        <v>3.0</v>
      </c>
      <c r="G202" s="42">
        <v>0.0</v>
      </c>
      <c r="H202" s="43" t="s">
        <v>4815</v>
      </c>
      <c r="I202" s="44"/>
      <c r="J202" s="44"/>
      <c r="K202" s="44"/>
      <c r="L202" s="44"/>
      <c r="M202" s="44">
        <f t="shared" si="1"/>
        <v>1</v>
      </c>
      <c r="N202" s="44">
        <f t="shared" si="2"/>
        <v>0</v>
      </c>
      <c r="O202" s="44">
        <f>IFERROR(__xludf.DUMMYFUNCTION("INT(FILTER(GT(F202,0),ISNUMBER(F202)))"),1.0)</f>
        <v>1</v>
      </c>
      <c r="P202" s="44">
        <f t="shared" si="3"/>
        <v>1</v>
      </c>
      <c r="Q202" s="44">
        <f>IFERROR(__xludf.DUMMYFUNCTION("INT(FILTER(EQ(E202,F202),ISNUMBER(E202),ISNUMBER(F202)))"),1.0)</f>
        <v>1</v>
      </c>
    </row>
    <row r="203">
      <c r="A203" s="38" t="s">
        <v>791</v>
      </c>
      <c r="B203" s="39" t="s">
        <v>792</v>
      </c>
      <c r="C203" s="40" t="s">
        <v>793</v>
      </c>
      <c r="D203" s="42" t="s">
        <v>4817</v>
      </c>
      <c r="E203" s="42">
        <v>2.0</v>
      </c>
      <c r="F203" s="42">
        <v>2.0</v>
      </c>
      <c r="G203" s="42">
        <v>0.0</v>
      </c>
      <c r="H203" s="43" t="s">
        <v>4815</v>
      </c>
      <c r="I203" s="44"/>
      <c r="J203" s="44"/>
      <c r="K203" s="44"/>
      <c r="L203" s="44"/>
      <c r="M203" s="44">
        <f t="shared" si="1"/>
        <v>1</v>
      </c>
      <c r="N203" s="44">
        <f t="shared" si="2"/>
        <v>0</v>
      </c>
      <c r="O203" s="44">
        <f>IFERROR(__xludf.DUMMYFUNCTION("INT(FILTER(GT(F203,0),ISNUMBER(F203)))"),1.0)</f>
        <v>1</v>
      </c>
      <c r="P203" s="44">
        <f t="shared" si="3"/>
        <v>1</v>
      </c>
      <c r="Q203" s="44">
        <f>IFERROR(__xludf.DUMMYFUNCTION("INT(FILTER(EQ(E203,F203),ISNUMBER(E203),ISNUMBER(F203)))"),1.0)</f>
        <v>1</v>
      </c>
    </row>
    <row r="204">
      <c r="A204" s="38" t="s">
        <v>795</v>
      </c>
      <c r="B204" s="39" t="s">
        <v>796</v>
      </c>
      <c r="C204" s="40" t="s">
        <v>4818</v>
      </c>
      <c r="D204" s="42" t="s">
        <v>4819</v>
      </c>
      <c r="E204" s="42">
        <v>2.0</v>
      </c>
      <c r="F204" s="42">
        <v>2.0</v>
      </c>
      <c r="G204" s="42">
        <v>0.0</v>
      </c>
      <c r="H204" s="43" t="s">
        <v>4815</v>
      </c>
      <c r="I204" s="44"/>
      <c r="J204" s="44"/>
      <c r="K204" s="44"/>
      <c r="L204" s="44"/>
      <c r="M204" s="44">
        <f t="shared" si="1"/>
        <v>1</v>
      </c>
      <c r="N204" s="44">
        <f t="shared" si="2"/>
        <v>0</v>
      </c>
      <c r="O204" s="44">
        <f>IFERROR(__xludf.DUMMYFUNCTION("INT(FILTER(GT(F204,0),ISNUMBER(F204)))"),1.0)</f>
        <v>1</v>
      </c>
      <c r="P204" s="44">
        <f t="shared" si="3"/>
        <v>1</v>
      </c>
      <c r="Q204" s="44">
        <f>IFERROR(__xludf.DUMMYFUNCTION("INT(FILTER(EQ(E204,F204),ISNUMBER(E204),ISNUMBER(F204)))"),1.0)</f>
        <v>1</v>
      </c>
    </row>
    <row r="205">
      <c r="A205" s="38" t="s">
        <v>799</v>
      </c>
      <c r="B205" s="39" t="s">
        <v>800</v>
      </c>
      <c r="C205" s="40" t="s">
        <v>801</v>
      </c>
      <c r="D205" s="42" t="s">
        <v>4820</v>
      </c>
      <c r="E205" s="42">
        <v>3.0</v>
      </c>
      <c r="F205" s="42">
        <v>3.0</v>
      </c>
      <c r="G205" s="42">
        <v>0.0</v>
      </c>
      <c r="H205" s="43" t="s">
        <v>4815</v>
      </c>
      <c r="I205" s="44"/>
      <c r="J205" s="44"/>
      <c r="K205" s="44"/>
      <c r="L205" s="44"/>
      <c r="M205" s="44">
        <f t="shared" si="1"/>
        <v>1</v>
      </c>
      <c r="N205" s="44">
        <f t="shared" si="2"/>
        <v>0</v>
      </c>
      <c r="O205" s="44">
        <f>IFERROR(__xludf.DUMMYFUNCTION("INT(FILTER(GT(F205,0),ISNUMBER(F205)))"),1.0)</f>
        <v>1</v>
      </c>
      <c r="P205" s="44">
        <f t="shared" si="3"/>
        <v>1</v>
      </c>
      <c r="Q205" s="44">
        <f>IFERROR(__xludf.DUMMYFUNCTION("INT(FILTER(EQ(E205,F205),ISNUMBER(E205),ISNUMBER(F205)))"),1.0)</f>
        <v>1</v>
      </c>
    </row>
    <row r="206">
      <c r="A206" s="38" t="s">
        <v>803</v>
      </c>
      <c r="B206" s="39" t="s">
        <v>804</v>
      </c>
      <c r="C206" s="40" t="s">
        <v>268</v>
      </c>
      <c r="D206" s="41" t="s">
        <v>137</v>
      </c>
      <c r="E206" s="42">
        <v>1.0</v>
      </c>
      <c r="F206" s="42">
        <v>1.0</v>
      </c>
      <c r="G206" s="42">
        <v>0.0</v>
      </c>
      <c r="H206" s="43" t="s">
        <v>4815</v>
      </c>
      <c r="I206" s="44"/>
      <c r="J206" s="44"/>
      <c r="K206" s="44"/>
      <c r="L206" s="44"/>
      <c r="M206" s="44">
        <f t="shared" si="1"/>
        <v>1</v>
      </c>
      <c r="N206" s="44">
        <f t="shared" si="2"/>
        <v>0</v>
      </c>
      <c r="O206" s="44">
        <f>IFERROR(__xludf.DUMMYFUNCTION("INT(FILTER(GT(F206,0),ISNUMBER(F206)))"),1.0)</f>
        <v>1</v>
      </c>
      <c r="P206" s="44">
        <f t="shared" si="3"/>
        <v>1</v>
      </c>
      <c r="Q206" s="44">
        <f>IFERROR(__xludf.DUMMYFUNCTION("INT(FILTER(EQ(E206,F206),ISNUMBER(E206),ISNUMBER(F206)))"),1.0)</f>
        <v>1</v>
      </c>
    </row>
    <row r="207">
      <c r="A207" s="38" t="s">
        <v>805</v>
      </c>
      <c r="B207" s="39" t="s">
        <v>806</v>
      </c>
      <c r="C207" s="40" t="s">
        <v>4821</v>
      </c>
      <c r="D207" s="42" t="s">
        <v>4822</v>
      </c>
      <c r="E207" s="42">
        <v>3.0</v>
      </c>
      <c r="F207" s="42">
        <v>3.0</v>
      </c>
      <c r="G207" s="42">
        <v>0.0</v>
      </c>
      <c r="H207" s="43" t="s">
        <v>4815</v>
      </c>
      <c r="I207" s="44"/>
      <c r="J207" s="44"/>
      <c r="K207" s="44"/>
      <c r="L207" s="44"/>
      <c r="M207" s="44">
        <f t="shared" si="1"/>
        <v>1</v>
      </c>
      <c r="N207" s="44">
        <f t="shared" si="2"/>
        <v>0</v>
      </c>
      <c r="O207" s="44">
        <f>IFERROR(__xludf.DUMMYFUNCTION("INT(FILTER(GT(F207,0),ISNUMBER(F207)))"),1.0)</f>
        <v>1</v>
      </c>
      <c r="P207" s="44">
        <f t="shared" si="3"/>
        <v>1</v>
      </c>
      <c r="Q207" s="44">
        <f>IFERROR(__xludf.DUMMYFUNCTION("INT(FILTER(EQ(E207,F207),ISNUMBER(E207),ISNUMBER(F207)))"),1.0)</f>
        <v>1</v>
      </c>
    </row>
    <row r="208">
      <c r="A208" s="38" t="s">
        <v>809</v>
      </c>
      <c r="B208" s="39" t="s">
        <v>810</v>
      </c>
      <c r="C208" s="40" t="s">
        <v>811</v>
      </c>
      <c r="D208" s="41" t="s">
        <v>812</v>
      </c>
      <c r="E208" s="51"/>
      <c r="F208" s="51"/>
      <c r="G208" s="51"/>
      <c r="H208" s="43" t="s">
        <v>4815</v>
      </c>
      <c r="I208" s="44"/>
      <c r="J208" s="44"/>
      <c r="K208" s="44"/>
      <c r="L208" s="44"/>
      <c r="M208" s="44" t="str">
        <f t="shared" si="1"/>
        <v>#DIV/0!</v>
      </c>
      <c r="N208" s="44" t="str">
        <f t="shared" si="2"/>
        <v>#DIV/0!</v>
      </c>
      <c r="O208" s="44" t="str">
        <f>IFERROR(__xludf.DUMMYFUNCTION("INT(FILTER(GT(F208,0),ISNUMBER(F208)))"),"#N/A")</f>
        <v>#N/A</v>
      </c>
      <c r="P208" s="44" t="str">
        <f t="shared" si="3"/>
        <v>#DIV/0!</v>
      </c>
      <c r="Q208" s="44" t="str">
        <f>IFERROR(__xludf.DUMMYFUNCTION("INT(FILTER(EQ(E208,F208),ISNUMBER(E208),ISNUMBER(F208)))"),"#N/A")</f>
        <v>#N/A</v>
      </c>
    </row>
    <row r="209">
      <c r="A209" s="38" t="s">
        <v>813</v>
      </c>
      <c r="B209" s="39" t="s">
        <v>814</v>
      </c>
      <c r="C209" s="40" t="s">
        <v>4823</v>
      </c>
      <c r="D209" s="42" t="s">
        <v>816</v>
      </c>
      <c r="E209" s="42">
        <v>3.0</v>
      </c>
      <c r="F209" s="42">
        <v>2.0</v>
      </c>
      <c r="G209" s="42">
        <v>0.0</v>
      </c>
      <c r="H209" s="43" t="s">
        <v>4815</v>
      </c>
      <c r="I209" s="44"/>
      <c r="J209" s="44"/>
      <c r="K209" s="44"/>
      <c r="L209" s="44"/>
      <c r="M209" s="44">
        <f t="shared" si="1"/>
        <v>0.6666666667</v>
      </c>
      <c r="N209" s="44">
        <f t="shared" si="2"/>
        <v>0</v>
      </c>
      <c r="O209" s="44">
        <f>IFERROR(__xludf.DUMMYFUNCTION("INT(FILTER(GT(F209,0),ISNUMBER(F209)))"),1.0)</f>
        <v>1</v>
      </c>
      <c r="P209" s="44">
        <f t="shared" si="3"/>
        <v>1</v>
      </c>
      <c r="Q209" s="44">
        <f>IFERROR(__xludf.DUMMYFUNCTION("INT(FILTER(EQ(E209,F209),ISNUMBER(E209),ISNUMBER(F209)))"),0.0)</f>
        <v>0</v>
      </c>
    </row>
    <row r="210">
      <c r="A210" s="38" t="s">
        <v>817</v>
      </c>
      <c r="B210" s="39" t="s">
        <v>818</v>
      </c>
      <c r="C210" s="40" t="s">
        <v>819</v>
      </c>
      <c r="D210" s="42" t="s">
        <v>4824</v>
      </c>
      <c r="E210" s="42">
        <v>3.0</v>
      </c>
      <c r="F210" s="42">
        <v>3.0</v>
      </c>
      <c r="G210" s="42">
        <v>0.0</v>
      </c>
      <c r="H210" s="43" t="s">
        <v>4815</v>
      </c>
      <c r="I210" s="44"/>
      <c r="J210" s="44"/>
      <c r="K210" s="44"/>
      <c r="L210" s="44"/>
      <c r="M210" s="44">
        <f t="shared" si="1"/>
        <v>1</v>
      </c>
      <c r="N210" s="44">
        <f t="shared" si="2"/>
        <v>0</v>
      </c>
      <c r="O210" s="44">
        <f>IFERROR(__xludf.DUMMYFUNCTION("INT(FILTER(GT(F210,0),ISNUMBER(F210)))"),1.0)</f>
        <v>1</v>
      </c>
      <c r="P210" s="44">
        <f t="shared" si="3"/>
        <v>1</v>
      </c>
      <c r="Q210" s="44">
        <f>IFERROR(__xludf.DUMMYFUNCTION("INT(FILTER(EQ(E210,F210),ISNUMBER(E210),ISNUMBER(F210)))"),1.0)</f>
        <v>1</v>
      </c>
    </row>
    <row r="211">
      <c r="A211" s="38" t="s">
        <v>821</v>
      </c>
      <c r="B211" s="39" t="s">
        <v>822</v>
      </c>
      <c r="C211" s="40" t="s">
        <v>4825</v>
      </c>
      <c r="D211" s="41" t="s">
        <v>4826</v>
      </c>
      <c r="E211" s="42">
        <v>1.0</v>
      </c>
      <c r="F211" s="42">
        <v>1.0</v>
      </c>
      <c r="G211" s="42">
        <v>0.0</v>
      </c>
      <c r="H211" s="43" t="s">
        <v>4815</v>
      </c>
      <c r="I211" s="44"/>
      <c r="J211" s="44"/>
      <c r="K211" s="44"/>
      <c r="L211" s="44"/>
      <c r="M211" s="44">
        <f t="shared" si="1"/>
        <v>1</v>
      </c>
      <c r="N211" s="44">
        <f t="shared" si="2"/>
        <v>0</v>
      </c>
      <c r="O211" s="44">
        <f>IFERROR(__xludf.DUMMYFUNCTION("INT(FILTER(GT(F211,0),ISNUMBER(F211)))"),1.0)</f>
        <v>1</v>
      </c>
      <c r="P211" s="44">
        <f t="shared" si="3"/>
        <v>1</v>
      </c>
      <c r="Q211" s="44">
        <f>IFERROR(__xludf.DUMMYFUNCTION("INT(FILTER(EQ(E211,F211),ISNUMBER(E211),ISNUMBER(F211)))"),1.0)</f>
        <v>1</v>
      </c>
    </row>
    <row r="212">
      <c r="A212" s="38" t="s">
        <v>825</v>
      </c>
      <c r="B212" s="39" t="s">
        <v>826</v>
      </c>
      <c r="C212" s="40" t="s">
        <v>827</v>
      </c>
      <c r="D212" s="41" t="s">
        <v>828</v>
      </c>
      <c r="E212" s="42">
        <v>1.0</v>
      </c>
      <c r="F212" s="42">
        <v>1.0</v>
      </c>
      <c r="G212" s="42">
        <v>0.0</v>
      </c>
      <c r="H212" s="43" t="s">
        <v>4815</v>
      </c>
      <c r="I212" s="44"/>
      <c r="J212" s="44"/>
      <c r="K212" s="44"/>
      <c r="L212" s="44"/>
      <c r="M212" s="44">
        <f t="shared" si="1"/>
        <v>1</v>
      </c>
      <c r="N212" s="44">
        <f t="shared" si="2"/>
        <v>0</v>
      </c>
      <c r="O212" s="44">
        <f>IFERROR(__xludf.DUMMYFUNCTION("INT(FILTER(GT(F212,0),ISNUMBER(F212)))"),1.0)</f>
        <v>1</v>
      </c>
      <c r="P212" s="44">
        <f t="shared" si="3"/>
        <v>1</v>
      </c>
      <c r="Q212" s="44">
        <f>IFERROR(__xludf.DUMMYFUNCTION("INT(FILTER(EQ(E212,F212),ISNUMBER(E212),ISNUMBER(F212)))"),1.0)</f>
        <v>1</v>
      </c>
    </row>
    <row r="213">
      <c r="A213" s="38" t="s">
        <v>829</v>
      </c>
      <c r="B213" s="39" t="s">
        <v>830</v>
      </c>
      <c r="C213" s="40" t="s">
        <v>831</v>
      </c>
      <c r="D213" s="42" t="s">
        <v>832</v>
      </c>
      <c r="E213" s="42">
        <v>3.0</v>
      </c>
      <c r="F213" s="42">
        <v>3.0</v>
      </c>
      <c r="G213" s="42">
        <v>0.0</v>
      </c>
      <c r="H213" s="43" t="s">
        <v>4815</v>
      </c>
      <c r="I213" s="44"/>
      <c r="J213" s="44"/>
      <c r="K213" s="44"/>
      <c r="L213" s="44"/>
      <c r="M213" s="44">
        <f t="shared" si="1"/>
        <v>1</v>
      </c>
      <c r="N213" s="44">
        <f t="shared" si="2"/>
        <v>0</v>
      </c>
      <c r="O213" s="44">
        <f>IFERROR(__xludf.DUMMYFUNCTION("INT(FILTER(GT(F213,0),ISNUMBER(F213)))"),1.0)</f>
        <v>1</v>
      </c>
      <c r="P213" s="44">
        <f t="shared" si="3"/>
        <v>1</v>
      </c>
      <c r="Q213" s="44">
        <f>IFERROR(__xludf.DUMMYFUNCTION("INT(FILTER(EQ(E213,F213),ISNUMBER(E213),ISNUMBER(F213)))"),1.0)</f>
        <v>1</v>
      </c>
    </row>
    <row r="214">
      <c r="A214" s="38" t="s">
        <v>833</v>
      </c>
      <c r="B214" s="39" t="s">
        <v>834</v>
      </c>
      <c r="C214" s="40" t="s">
        <v>4827</v>
      </c>
      <c r="D214" s="42" t="s">
        <v>4828</v>
      </c>
      <c r="E214" s="42">
        <v>3.0</v>
      </c>
      <c r="F214" s="42">
        <v>3.0</v>
      </c>
      <c r="G214" s="42">
        <v>0.0</v>
      </c>
      <c r="H214" s="43" t="s">
        <v>4815</v>
      </c>
      <c r="I214" s="44"/>
      <c r="J214" s="44"/>
      <c r="K214" s="44"/>
      <c r="L214" s="44"/>
      <c r="M214" s="44">
        <f t="shared" si="1"/>
        <v>1</v>
      </c>
      <c r="N214" s="44">
        <f t="shared" si="2"/>
        <v>0</v>
      </c>
      <c r="O214" s="44">
        <f>IFERROR(__xludf.DUMMYFUNCTION("INT(FILTER(GT(F214,0),ISNUMBER(F214)))"),1.0)</f>
        <v>1</v>
      </c>
      <c r="P214" s="44">
        <f t="shared" si="3"/>
        <v>1</v>
      </c>
      <c r="Q214" s="44">
        <f>IFERROR(__xludf.DUMMYFUNCTION("INT(FILTER(EQ(E214,F214),ISNUMBER(E214),ISNUMBER(F214)))"),1.0)</f>
        <v>1</v>
      </c>
    </row>
    <row r="215">
      <c r="A215" s="38" t="s">
        <v>837</v>
      </c>
      <c r="B215" s="39" t="s">
        <v>838</v>
      </c>
      <c r="C215" s="40" t="s">
        <v>4829</v>
      </c>
      <c r="D215" s="42" t="s">
        <v>840</v>
      </c>
      <c r="E215" s="42">
        <v>2.0</v>
      </c>
      <c r="F215" s="42">
        <v>2.0</v>
      </c>
      <c r="G215" s="42">
        <v>0.0</v>
      </c>
      <c r="H215" s="43" t="s">
        <v>4815</v>
      </c>
      <c r="I215" s="44"/>
      <c r="J215" s="44"/>
      <c r="K215" s="44"/>
      <c r="L215" s="44"/>
      <c r="M215" s="44">
        <f t="shared" si="1"/>
        <v>1</v>
      </c>
      <c r="N215" s="44">
        <f t="shared" si="2"/>
        <v>0</v>
      </c>
      <c r="O215" s="44">
        <f>IFERROR(__xludf.DUMMYFUNCTION("INT(FILTER(GT(F215,0),ISNUMBER(F215)))"),1.0)</f>
        <v>1</v>
      </c>
      <c r="P215" s="44">
        <f t="shared" si="3"/>
        <v>1</v>
      </c>
      <c r="Q215" s="44">
        <f>IFERROR(__xludf.DUMMYFUNCTION("INT(FILTER(EQ(E215,F215),ISNUMBER(E215),ISNUMBER(F215)))"),1.0)</f>
        <v>1</v>
      </c>
    </row>
    <row r="216">
      <c r="A216" s="38" t="s">
        <v>841</v>
      </c>
      <c r="B216" s="39" t="s">
        <v>842</v>
      </c>
      <c r="C216" s="40" t="s">
        <v>1174</v>
      </c>
      <c r="D216" s="41" t="s">
        <v>844</v>
      </c>
      <c r="E216" s="42">
        <v>3.0</v>
      </c>
      <c r="F216" s="42">
        <v>2.0</v>
      </c>
      <c r="G216" s="42">
        <v>0.0</v>
      </c>
      <c r="H216" s="43" t="s">
        <v>4815</v>
      </c>
      <c r="I216" s="44"/>
      <c r="J216" s="44"/>
      <c r="K216" s="44"/>
      <c r="L216" s="44"/>
      <c r="M216" s="44">
        <f t="shared" si="1"/>
        <v>0.6666666667</v>
      </c>
      <c r="N216" s="44">
        <f t="shared" si="2"/>
        <v>0</v>
      </c>
      <c r="O216" s="44">
        <f>IFERROR(__xludf.DUMMYFUNCTION("INT(FILTER(GT(F216,0),ISNUMBER(F216)))"),1.0)</f>
        <v>1</v>
      </c>
      <c r="P216" s="44">
        <f t="shared" si="3"/>
        <v>1</v>
      </c>
      <c r="Q216" s="44">
        <f>IFERROR(__xludf.DUMMYFUNCTION("INT(FILTER(EQ(E216,F216),ISNUMBER(E216),ISNUMBER(F216)))"),0.0)</f>
        <v>0</v>
      </c>
    </row>
    <row r="217">
      <c r="A217" s="38" t="s">
        <v>845</v>
      </c>
      <c r="B217" s="39" t="s">
        <v>846</v>
      </c>
      <c r="C217" s="40" t="s">
        <v>847</v>
      </c>
      <c r="D217" s="46" t="s">
        <v>4830</v>
      </c>
      <c r="E217" s="42">
        <v>4.0</v>
      </c>
      <c r="F217" s="42">
        <v>4.0</v>
      </c>
      <c r="G217" s="42">
        <v>0.0</v>
      </c>
      <c r="H217" s="43" t="s">
        <v>4815</v>
      </c>
      <c r="I217" s="44"/>
      <c r="J217" s="44"/>
      <c r="K217" s="44"/>
      <c r="L217" s="44"/>
      <c r="M217" s="44">
        <f t="shared" si="1"/>
        <v>1</v>
      </c>
      <c r="N217" s="44">
        <f t="shared" si="2"/>
        <v>0</v>
      </c>
      <c r="O217" s="44">
        <f>IFERROR(__xludf.DUMMYFUNCTION("INT(FILTER(GT(F217,0),ISNUMBER(F217)))"),1.0)</f>
        <v>1</v>
      </c>
      <c r="P217" s="44">
        <f t="shared" si="3"/>
        <v>1</v>
      </c>
      <c r="Q217" s="44">
        <f>IFERROR(__xludf.DUMMYFUNCTION("INT(FILTER(EQ(E217,F217),ISNUMBER(E217),ISNUMBER(F217)))"),1.0)</f>
        <v>1</v>
      </c>
    </row>
    <row r="218">
      <c r="A218" s="38" t="s">
        <v>849</v>
      </c>
      <c r="B218" s="39" t="s">
        <v>850</v>
      </c>
      <c r="C218" s="40" t="s">
        <v>851</v>
      </c>
      <c r="D218" s="42" t="s">
        <v>4831</v>
      </c>
      <c r="E218" s="42">
        <v>5.0</v>
      </c>
      <c r="F218" s="42">
        <v>5.0</v>
      </c>
      <c r="G218" s="42">
        <v>0.0</v>
      </c>
      <c r="H218" s="43" t="s">
        <v>4815</v>
      </c>
      <c r="I218" s="44"/>
      <c r="J218" s="44"/>
      <c r="K218" s="44"/>
      <c r="L218" s="44"/>
      <c r="M218" s="44">
        <f t="shared" si="1"/>
        <v>1</v>
      </c>
      <c r="N218" s="44">
        <f t="shared" si="2"/>
        <v>0</v>
      </c>
      <c r="O218" s="44">
        <f>IFERROR(__xludf.DUMMYFUNCTION("INT(FILTER(GT(F218,0),ISNUMBER(F218)))"),1.0)</f>
        <v>1</v>
      </c>
      <c r="P218" s="44">
        <f t="shared" si="3"/>
        <v>1</v>
      </c>
      <c r="Q218" s="44">
        <f>IFERROR(__xludf.DUMMYFUNCTION("INT(FILTER(EQ(E218,F218),ISNUMBER(E218),ISNUMBER(F218)))"),1.0)</f>
        <v>1</v>
      </c>
    </row>
    <row r="219">
      <c r="A219" s="38" t="s">
        <v>853</v>
      </c>
      <c r="B219" s="39" t="s">
        <v>854</v>
      </c>
      <c r="C219" s="40" t="s">
        <v>4832</v>
      </c>
      <c r="D219" s="41" t="s">
        <v>4833</v>
      </c>
      <c r="E219" s="42">
        <v>1.0</v>
      </c>
      <c r="F219" s="42">
        <v>1.0</v>
      </c>
      <c r="G219" s="42">
        <v>0.0</v>
      </c>
      <c r="H219" s="43" t="s">
        <v>4815</v>
      </c>
      <c r="I219" s="44"/>
      <c r="J219" s="44"/>
      <c r="K219" s="44"/>
      <c r="L219" s="44"/>
      <c r="M219" s="44">
        <f t="shared" si="1"/>
        <v>1</v>
      </c>
      <c r="N219" s="44">
        <f t="shared" si="2"/>
        <v>0</v>
      </c>
      <c r="O219" s="44">
        <f>IFERROR(__xludf.DUMMYFUNCTION("INT(FILTER(GT(F219,0),ISNUMBER(F219)))"),1.0)</f>
        <v>1</v>
      </c>
      <c r="P219" s="44">
        <f t="shared" si="3"/>
        <v>1</v>
      </c>
      <c r="Q219" s="44">
        <f>IFERROR(__xludf.DUMMYFUNCTION("INT(FILTER(EQ(E219,F219),ISNUMBER(E219),ISNUMBER(F219)))"),1.0)</f>
        <v>1</v>
      </c>
    </row>
    <row r="220">
      <c r="A220" s="38" t="s">
        <v>857</v>
      </c>
      <c r="B220" s="39" t="s">
        <v>858</v>
      </c>
      <c r="C220" s="40" t="s">
        <v>4834</v>
      </c>
      <c r="D220" s="42" t="s">
        <v>4835</v>
      </c>
      <c r="E220" s="51"/>
      <c r="F220" s="51"/>
      <c r="G220" s="51"/>
      <c r="H220" s="43" t="s">
        <v>4815</v>
      </c>
      <c r="I220" s="44"/>
      <c r="J220" s="44"/>
      <c r="K220" s="44"/>
      <c r="L220" s="44"/>
      <c r="M220" s="44" t="str">
        <f t="shared" si="1"/>
        <v>#DIV/0!</v>
      </c>
      <c r="N220" s="44" t="str">
        <f t="shared" si="2"/>
        <v>#DIV/0!</v>
      </c>
      <c r="O220" s="44" t="str">
        <f>IFERROR(__xludf.DUMMYFUNCTION("INT(FILTER(GT(F220,0),ISNUMBER(F220)))"),"#N/A")</f>
        <v>#N/A</v>
      </c>
      <c r="P220" s="44" t="str">
        <f t="shared" si="3"/>
        <v>#DIV/0!</v>
      </c>
      <c r="Q220" s="44" t="str">
        <f>IFERROR(__xludf.DUMMYFUNCTION("INT(FILTER(EQ(E220,F220),ISNUMBER(E220),ISNUMBER(F220)))"),"#N/A")</f>
        <v>#N/A</v>
      </c>
    </row>
    <row r="221">
      <c r="A221" s="38" t="s">
        <v>861</v>
      </c>
      <c r="B221" s="39" t="s">
        <v>862</v>
      </c>
      <c r="C221" s="40" t="s">
        <v>1059</v>
      </c>
      <c r="D221" s="42" t="s">
        <v>864</v>
      </c>
      <c r="E221" s="42">
        <v>3.0</v>
      </c>
      <c r="F221" s="42">
        <v>2.0</v>
      </c>
      <c r="G221" s="42">
        <v>0.0</v>
      </c>
      <c r="H221" s="43" t="s">
        <v>4815</v>
      </c>
      <c r="I221" s="44"/>
      <c r="J221" s="44"/>
      <c r="K221" s="44"/>
      <c r="L221" s="44"/>
      <c r="M221" s="44">
        <f t="shared" si="1"/>
        <v>0.6666666667</v>
      </c>
      <c r="N221" s="44">
        <f t="shared" si="2"/>
        <v>0</v>
      </c>
      <c r="O221" s="44">
        <f>IFERROR(__xludf.DUMMYFUNCTION("INT(FILTER(GT(F221,0),ISNUMBER(F221)))"),1.0)</f>
        <v>1</v>
      </c>
      <c r="P221" s="44">
        <f t="shared" si="3"/>
        <v>1</v>
      </c>
      <c r="Q221" s="44">
        <f>IFERROR(__xludf.DUMMYFUNCTION("INT(FILTER(EQ(E221,F221),ISNUMBER(E221),ISNUMBER(F221)))"),0.0)</f>
        <v>0</v>
      </c>
    </row>
    <row r="222">
      <c r="A222" s="38" t="s">
        <v>865</v>
      </c>
      <c r="B222" s="39" t="s">
        <v>866</v>
      </c>
      <c r="C222" s="40" t="s">
        <v>4836</v>
      </c>
      <c r="D222" s="42" t="s">
        <v>4837</v>
      </c>
      <c r="E222" s="42">
        <v>3.0</v>
      </c>
      <c r="F222" s="42">
        <v>3.0</v>
      </c>
      <c r="G222" s="42">
        <v>0.0</v>
      </c>
      <c r="H222" s="43" t="s">
        <v>4815</v>
      </c>
      <c r="I222" s="44"/>
      <c r="J222" s="44"/>
      <c r="K222" s="44"/>
      <c r="L222" s="44"/>
      <c r="M222" s="44">
        <f t="shared" si="1"/>
        <v>1</v>
      </c>
      <c r="N222" s="44">
        <f t="shared" si="2"/>
        <v>0</v>
      </c>
      <c r="O222" s="44">
        <f>IFERROR(__xludf.DUMMYFUNCTION("INT(FILTER(GT(F222,0),ISNUMBER(F222)))"),1.0)</f>
        <v>1</v>
      </c>
      <c r="P222" s="44">
        <f t="shared" si="3"/>
        <v>1</v>
      </c>
      <c r="Q222" s="44">
        <f>IFERROR(__xludf.DUMMYFUNCTION("INT(FILTER(EQ(E222,F222),ISNUMBER(E222),ISNUMBER(F222)))"),1.0)</f>
        <v>1</v>
      </c>
    </row>
    <row r="223">
      <c r="A223" s="38" t="s">
        <v>869</v>
      </c>
      <c r="B223" s="39" t="s">
        <v>870</v>
      </c>
      <c r="C223" s="40" t="s">
        <v>2214</v>
      </c>
      <c r="D223" s="42" t="s">
        <v>872</v>
      </c>
      <c r="E223" s="42">
        <v>4.0</v>
      </c>
      <c r="F223" s="42">
        <v>3.0</v>
      </c>
      <c r="G223" s="42">
        <v>0.0</v>
      </c>
      <c r="H223" s="43" t="s">
        <v>4815</v>
      </c>
      <c r="I223" s="44"/>
      <c r="J223" s="44"/>
      <c r="K223" s="44"/>
      <c r="L223" s="44"/>
      <c r="M223" s="44">
        <f t="shared" si="1"/>
        <v>0.75</v>
      </c>
      <c r="N223" s="44">
        <f t="shared" si="2"/>
        <v>0</v>
      </c>
      <c r="O223" s="44">
        <f>IFERROR(__xludf.DUMMYFUNCTION("INT(FILTER(GT(F223,0),ISNUMBER(F223)))"),1.0)</f>
        <v>1</v>
      </c>
      <c r="P223" s="44">
        <f t="shared" si="3"/>
        <v>1</v>
      </c>
      <c r="Q223" s="44">
        <f>IFERROR(__xludf.DUMMYFUNCTION("INT(FILTER(EQ(E223,F223),ISNUMBER(E223),ISNUMBER(F223)))"),0.0)</f>
        <v>0</v>
      </c>
    </row>
    <row r="224">
      <c r="A224" s="38" t="s">
        <v>873</v>
      </c>
      <c r="B224" s="39" t="s">
        <v>874</v>
      </c>
      <c r="C224" s="40" t="s">
        <v>4838</v>
      </c>
      <c r="D224" s="42" t="s">
        <v>4839</v>
      </c>
      <c r="E224" s="51"/>
      <c r="F224" s="51"/>
      <c r="G224" s="51"/>
      <c r="H224" s="43" t="s">
        <v>4815</v>
      </c>
      <c r="I224" s="44"/>
      <c r="J224" s="44"/>
      <c r="K224" s="44"/>
      <c r="L224" s="44"/>
      <c r="M224" s="44" t="str">
        <f t="shared" si="1"/>
        <v>#DIV/0!</v>
      </c>
      <c r="N224" s="44" t="str">
        <f t="shared" si="2"/>
        <v>#DIV/0!</v>
      </c>
      <c r="O224" s="44" t="str">
        <f>IFERROR(__xludf.DUMMYFUNCTION("INT(FILTER(GT(F224,0),ISNUMBER(F224)))"),"#N/A")</f>
        <v>#N/A</v>
      </c>
      <c r="P224" s="44" t="str">
        <f t="shared" si="3"/>
        <v>#DIV/0!</v>
      </c>
      <c r="Q224" s="44" t="str">
        <f>IFERROR(__xludf.DUMMYFUNCTION("INT(FILTER(EQ(E224,F224),ISNUMBER(E224),ISNUMBER(F224)))"),"#N/A")</f>
        <v>#N/A</v>
      </c>
    </row>
    <row r="225">
      <c r="A225" s="38" t="s">
        <v>877</v>
      </c>
      <c r="B225" s="39" t="s">
        <v>878</v>
      </c>
      <c r="C225" s="40" t="s">
        <v>4840</v>
      </c>
      <c r="D225" s="42" t="s">
        <v>4841</v>
      </c>
      <c r="E225" s="42">
        <v>3.0</v>
      </c>
      <c r="F225" s="42">
        <v>2.0</v>
      </c>
      <c r="G225" s="42">
        <v>0.0</v>
      </c>
      <c r="H225" s="43" t="s">
        <v>4815</v>
      </c>
      <c r="I225" s="44"/>
      <c r="J225" s="44"/>
      <c r="K225" s="44"/>
      <c r="L225" s="44"/>
      <c r="M225" s="44">
        <f t="shared" si="1"/>
        <v>0.6666666667</v>
      </c>
      <c r="N225" s="44">
        <f t="shared" si="2"/>
        <v>0</v>
      </c>
      <c r="O225" s="44">
        <f>IFERROR(__xludf.DUMMYFUNCTION("INT(FILTER(GT(F225,0),ISNUMBER(F225)))"),1.0)</f>
        <v>1</v>
      </c>
      <c r="P225" s="44">
        <f t="shared" si="3"/>
        <v>1</v>
      </c>
      <c r="Q225" s="44">
        <f>IFERROR(__xludf.DUMMYFUNCTION("INT(FILTER(EQ(E225,F225),ISNUMBER(E225),ISNUMBER(F225)))"),0.0)</f>
        <v>0</v>
      </c>
    </row>
    <row r="226">
      <c r="A226" s="38" t="s">
        <v>881</v>
      </c>
      <c r="B226" s="39" t="s">
        <v>882</v>
      </c>
      <c r="C226" s="40" t="s">
        <v>4842</v>
      </c>
      <c r="D226" s="41" t="s">
        <v>4843</v>
      </c>
      <c r="E226" s="42">
        <v>1.0</v>
      </c>
      <c r="F226" s="42">
        <v>1.0</v>
      </c>
      <c r="G226" s="42">
        <v>0.0</v>
      </c>
      <c r="H226" s="43" t="s">
        <v>4815</v>
      </c>
      <c r="I226" s="44"/>
      <c r="J226" s="44"/>
      <c r="K226" s="44"/>
      <c r="L226" s="44"/>
      <c r="M226" s="44">
        <f t="shared" si="1"/>
        <v>1</v>
      </c>
      <c r="N226" s="44">
        <f t="shared" si="2"/>
        <v>0</v>
      </c>
      <c r="O226" s="44">
        <f>IFERROR(__xludf.DUMMYFUNCTION("INT(FILTER(GT(F226,0),ISNUMBER(F226)))"),1.0)</f>
        <v>1</v>
      </c>
      <c r="P226" s="44">
        <f t="shared" si="3"/>
        <v>1</v>
      </c>
      <c r="Q226" s="44">
        <f>IFERROR(__xludf.DUMMYFUNCTION("INT(FILTER(EQ(E226,F226),ISNUMBER(E226),ISNUMBER(F226)))"),1.0)</f>
        <v>1</v>
      </c>
    </row>
    <row r="227">
      <c r="A227" s="38" t="s">
        <v>885</v>
      </c>
      <c r="B227" s="39" t="s">
        <v>886</v>
      </c>
      <c r="C227" s="40" t="s">
        <v>887</v>
      </c>
      <c r="D227" s="41" t="s">
        <v>888</v>
      </c>
      <c r="E227" s="42">
        <v>1.0</v>
      </c>
      <c r="F227" s="42">
        <v>1.0</v>
      </c>
      <c r="G227" s="42">
        <v>0.0</v>
      </c>
      <c r="H227" s="43" t="s">
        <v>4815</v>
      </c>
      <c r="I227" s="44"/>
      <c r="J227" s="44"/>
      <c r="K227" s="44"/>
      <c r="L227" s="44"/>
      <c r="M227" s="44">
        <f t="shared" si="1"/>
        <v>1</v>
      </c>
      <c r="N227" s="44">
        <f t="shared" si="2"/>
        <v>0</v>
      </c>
      <c r="O227" s="44">
        <f>IFERROR(__xludf.DUMMYFUNCTION("INT(FILTER(GT(F227,0),ISNUMBER(F227)))"),1.0)</f>
        <v>1</v>
      </c>
      <c r="P227" s="44">
        <f t="shared" si="3"/>
        <v>1</v>
      </c>
      <c r="Q227" s="44">
        <f>IFERROR(__xludf.DUMMYFUNCTION("INT(FILTER(EQ(E227,F227),ISNUMBER(E227),ISNUMBER(F227)))"),1.0)</f>
        <v>1</v>
      </c>
    </row>
    <row r="228">
      <c r="A228" s="38" t="s">
        <v>889</v>
      </c>
      <c r="B228" s="39" t="s">
        <v>890</v>
      </c>
      <c r="C228" s="40" t="s">
        <v>4844</v>
      </c>
      <c r="D228" s="42" t="s">
        <v>4845</v>
      </c>
      <c r="E228" s="42">
        <v>3.0</v>
      </c>
      <c r="F228" s="42">
        <v>2.0</v>
      </c>
      <c r="G228" s="42">
        <v>0.0</v>
      </c>
      <c r="H228" s="43" t="s">
        <v>4815</v>
      </c>
      <c r="I228" s="44"/>
      <c r="J228" s="44"/>
      <c r="K228" s="44"/>
      <c r="L228" s="44"/>
      <c r="M228" s="44">
        <f t="shared" si="1"/>
        <v>0.6666666667</v>
      </c>
      <c r="N228" s="44">
        <f t="shared" si="2"/>
        <v>0</v>
      </c>
      <c r="O228" s="44">
        <f>IFERROR(__xludf.DUMMYFUNCTION("INT(FILTER(GT(F228,0),ISNUMBER(F228)))"),1.0)</f>
        <v>1</v>
      </c>
      <c r="P228" s="44">
        <f t="shared" si="3"/>
        <v>1</v>
      </c>
      <c r="Q228" s="44">
        <f>IFERROR(__xludf.DUMMYFUNCTION("INT(FILTER(EQ(E228,F228),ISNUMBER(E228),ISNUMBER(F228)))"),0.0)</f>
        <v>0</v>
      </c>
    </row>
    <row r="229">
      <c r="A229" s="38" t="s">
        <v>893</v>
      </c>
      <c r="B229" s="39" t="s">
        <v>894</v>
      </c>
      <c r="C229" s="40" t="s">
        <v>895</v>
      </c>
      <c r="D229" s="41" t="s">
        <v>896</v>
      </c>
      <c r="E229" s="42">
        <v>2.0</v>
      </c>
      <c r="F229" s="42">
        <v>1.0</v>
      </c>
      <c r="G229" s="42">
        <v>0.0</v>
      </c>
      <c r="H229" s="43" t="s">
        <v>4815</v>
      </c>
      <c r="I229" s="44"/>
      <c r="J229" s="44"/>
      <c r="K229" s="44"/>
      <c r="L229" s="44"/>
      <c r="M229" s="44">
        <f t="shared" si="1"/>
        <v>0.5</v>
      </c>
      <c r="N229" s="44">
        <f t="shared" si="2"/>
        <v>0</v>
      </c>
      <c r="O229" s="44">
        <f>IFERROR(__xludf.DUMMYFUNCTION("INT(FILTER(GT(F229,0),ISNUMBER(F229)))"),1.0)</f>
        <v>1</v>
      </c>
      <c r="P229" s="44">
        <f t="shared" si="3"/>
        <v>1</v>
      </c>
      <c r="Q229" s="44">
        <f>IFERROR(__xludf.DUMMYFUNCTION("INT(FILTER(EQ(E229,F229),ISNUMBER(E229),ISNUMBER(F229)))"),0.0)</f>
        <v>0</v>
      </c>
    </row>
    <row r="230">
      <c r="A230" s="38" t="s">
        <v>897</v>
      </c>
      <c r="B230" s="39" t="s">
        <v>898</v>
      </c>
      <c r="C230" s="40" t="s">
        <v>899</v>
      </c>
      <c r="D230" s="41" t="s">
        <v>900</v>
      </c>
      <c r="E230" s="42">
        <v>1.0</v>
      </c>
      <c r="F230" s="42">
        <v>1.0</v>
      </c>
      <c r="G230" s="42">
        <v>0.0</v>
      </c>
      <c r="H230" s="43" t="s">
        <v>4815</v>
      </c>
      <c r="I230" s="44"/>
      <c r="J230" s="44"/>
      <c r="K230" s="44"/>
      <c r="L230" s="44"/>
      <c r="M230" s="44">
        <f t="shared" si="1"/>
        <v>1</v>
      </c>
      <c r="N230" s="44">
        <f t="shared" si="2"/>
        <v>0</v>
      </c>
      <c r="O230" s="44">
        <f>IFERROR(__xludf.DUMMYFUNCTION("INT(FILTER(GT(F230,0),ISNUMBER(F230)))"),1.0)</f>
        <v>1</v>
      </c>
      <c r="P230" s="44">
        <f t="shared" si="3"/>
        <v>1</v>
      </c>
      <c r="Q230" s="44">
        <f>IFERROR(__xludf.DUMMYFUNCTION("INT(FILTER(EQ(E230,F230),ISNUMBER(E230),ISNUMBER(F230)))"),1.0)</f>
        <v>1</v>
      </c>
    </row>
    <row r="231">
      <c r="A231" s="38" t="s">
        <v>901</v>
      </c>
      <c r="B231" s="39" t="s">
        <v>902</v>
      </c>
      <c r="C231" s="40" t="s">
        <v>4846</v>
      </c>
      <c r="D231" s="41" t="s">
        <v>904</v>
      </c>
      <c r="E231" s="42">
        <v>1.0</v>
      </c>
      <c r="F231" s="42">
        <v>1.0</v>
      </c>
      <c r="G231" s="42">
        <v>0.0</v>
      </c>
      <c r="H231" s="43" t="s">
        <v>4815</v>
      </c>
      <c r="I231" s="44"/>
      <c r="J231" s="44"/>
      <c r="K231" s="44"/>
      <c r="L231" s="44"/>
      <c r="M231" s="44">
        <f t="shared" si="1"/>
        <v>1</v>
      </c>
      <c r="N231" s="44">
        <f t="shared" si="2"/>
        <v>0</v>
      </c>
      <c r="O231" s="44">
        <f>IFERROR(__xludf.DUMMYFUNCTION("INT(FILTER(GT(F231,0),ISNUMBER(F231)))"),1.0)</f>
        <v>1</v>
      </c>
      <c r="P231" s="44">
        <f t="shared" si="3"/>
        <v>1</v>
      </c>
      <c r="Q231" s="44">
        <f>IFERROR(__xludf.DUMMYFUNCTION("INT(FILTER(EQ(E231,F231),ISNUMBER(E231),ISNUMBER(F231)))"),1.0)</f>
        <v>1</v>
      </c>
    </row>
    <row r="232">
      <c r="A232" s="38" t="s">
        <v>905</v>
      </c>
      <c r="B232" s="39" t="s">
        <v>906</v>
      </c>
      <c r="C232" s="40" t="s">
        <v>907</v>
      </c>
      <c r="D232" s="42" t="s">
        <v>4847</v>
      </c>
      <c r="E232" s="42">
        <v>2.0</v>
      </c>
      <c r="F232" s="42">
        <v>2.0</v>
      </c>
      <c r="G232" s="42">
        <v>0.0</v>
      </c>
      <c r="H232" s="43" t="s">
        <v>4815</v>
      </c>
      <c r="I232" s="44"/>
      <c r="J232" s="44"/>
      <c r="K232" s="44"/>
      <c r="L232" s="44"/>
      <c r="M232" s="44">
        <f t="shared" si="1"/>
        <v>1</v>
      </c>
      <c r="N232" s="44">
        <f t="shared" si="2"/>
        <v>0</v>
      </c>
      <c r="O232" s="44">
        <f>IFERROR(__xludf.DUMMYFUNCTION("INT(FILTER(GT(F232,0),ISNUMBER(F232)))"),1.0)</f>
        <v>1</v>
      </c>
      <c r="P232" s="44">
        <f t="shared" si="3"/>
        <v>1</v>
      </c>
      <c r="Q232" s="44">
        <f>IFERROR(__xludf.DUMMYFUNCTION("INT(FILTER(EQ(E232,F232),ISNUMBER(E232),ISNUMBER(F232)))"),1.0)</f>
        <v>1</v>
      </c>
    </row>
    <row r="233">
      <c r="A233" s="38" t="s">
        <v>909</v>
      </c>
      <c r="B233" s="39" t="s">
        <v>910</v>
      </c>
      <c r="C233" s="40" t="s">
        <v>911</v>
      </c>
      <c r="D233" s="42" t="s">
        <v>4848</v>
      </c>
      <c r="E233" s="42">
        <v>2.0</v>
      </c>
      <c r="F233" s="42">
        <v>2.0</v>
      </c>
      <c r="G233" s="42">
        <v>0.0</v>
      </c>
      <c r="H233" s="43" t="s">
        <v>4815</v>
      </c>
      <c r="I233" s="44"/>
      <c r="J233" s="44"/>
      <c r="K233" s="44"/>
      <c r="L233" s="44"/>
      <c r="M233" s="44">
        <f t="shared" si="1"/>
        <v>1</v>
      </c>
      <c r="N233" s="44">
        <f t="shared" si="2"/>
        <v>0</v>
      </c>
      <c r="O233" s="44">
        <f>IFERROR(__xludf.DUMMYFUNCTION("INT(FILTER(GT(F233,0),ISNUMBER(F233)))"),1.0)</f>
        <v>1</v>
      </c>
      <c r="P233" s="44">
        <f t="shared" si="3"/>
        <v>1</v>
      </c>
      <c r="Q233" s="44">
        <f>IFERROR(__xludf.DUMMYFUNCTION("INT(FILTER(EQ(E233,F233),ISNUMBER(E233),ISNUMBER(F233)))"),1.0)</f>
        <v>1</v>
      </c>
    </row>
    <row r="234">
      <c r="A234" s="38" t="s">
        <v>913</v>
      </c>
      <c r="B234" s="39" t="s">
        <v>914</v>
      </c>
      <c r="C234" s="40" t="s">
        <v>508</v>
      </c>
      <c r="D234" s="41" t="s">
        <v>509</v>
      </c>
      <c r="E234" s="42">
        <v>2.0</v>
      </c>
      <c r="F234" s="42">
        <v>1.0</v>
      </c>
      <c r="G234" s="42">
        <v>0.0</v>
      </c>
      <c r="H234" s="43" t="s">
        <v>4815</v>
      </c>
      <c r="I234" s="44"/>
      <c r="J234" s="44"/>
      <c r="K234" s="44"/>
      <c r="L234" s="44"/>
      <c r="M234" s="44">
        <f t="shared" si="1"/>
        <v>0.5</v>
      </c>
      <c r="N234" s="44">
        <f t="shared" si="2"/>
        <v>0</v>
      </c>
      <c r="O234" s="44">
        <f>IFERROR(__xludf.DUMMYFUNCTION("INT(FILTER(GT(F234,0),ISNUMBER(F234)))"),1.0)</f>
        <v>1</v>
      </c>
      <c r="P234" s="44">
        <f t="shared" si="3"/>
        <v>1</v>
      </c>
      <c r="Q234" s="44">
        <f>IFERROR(__xludf.DUMMYFUNCTION("INT(FILTER(EQ(E234,F234),ISNUMBER(E234),ISNUMBER(F234)))"),0.0)</f>
        <v>0</v>
      </c>
    </row>
    <row r="235">
      <c r="A235" s="38" t="s">
        <v>916</v>
      </c>
      <c r="B235" s="39" t="s">
        <v>917</v>
      </c>
      <c r="C235" s="40" t="s">
        <v>918</v>
      </c>
      <c r="D235" s="42" t="s">
        <v>4849</v>
      </c>
      <c r="E235" s="42">
        <v>2.0</v>
      </c>
      <c r="F235" s="42">
        <v>2.0</v>
      </c>
      <c r="G235" s="42">
        <v>0.0</v>
      </c>
      <c r="H235" s="43" t="s">
        <v>4815</v>
      </c>
      <c r="I235" s="44"/>
      <c r="J235" s="44"/>
      <c r="K235" s="44"/>
      <c r="L235" s="44"/>
      <c r="M235" s="44">
        <f t="shared" si="1"/>
        <v>1</v>
      </c>
      <c r="N235" s="44">
        <f t="shared" si="2"/>
        <v>0</v>
      </c>
      <c r="O235" s="44">
        <f>IFERROR(__xludf.DUMMYFUNCTION("INT(FILTER(GT(F235,0),ISNUMBER(F235)))"),1.0)</f>
        <v>1</v>
      </c>
      <c r="P235" s="44">
        <f t="shared" si="3"/>
        <v>1</v>
      </c>
      <c r="Q235" s="44">
        <f>IFERROR(__xludf.DUMMYFUNCTION("INT(FILTER(EQ(E235,F235),ISNUMBER(E235),ISNUMBER(F235)))"),1.0)</f>
        <v>1</v>
      </c>
    </row>
    <row r="236">
      <c r="A236" s="38" t="s">
        <v>920</v>
      </c>
      <c r="B236" s="52" t="s">
        <v>921</v>
      </c>
      <c r="C236" s="40" t="s">
        <v>922</v>
      </c>
      <c r="D236" s="42" t="s">
        <v>4850</v>
      </c>
      <c r="E236" s="42">
        <v>3.0</v>
      </c>
      <c r="F236" s="42">
        <v>2.0</v>
      </c>
      <c r="G236" s="42">
        <v>1.0</v>
      </c>
      <c r="H236" s="43" t="s">
        <v>4815</v>
      </c>
      <c r="I236" s="44"/>
      <c r="J236" s="44"/>
      <c r="K236" s="44"/>
      <c r="L236" s="44"/>
      <c r="M236" s="44">
        <f t="shared" si="1"/>
        <v>0.6666666667</v>
      </c>
      <c r="N236" s="44">
        <f t="shared" si="2"/>
        <v>0.3333333333</v>
      </c>
      <c r="O236" s="44">
        <f>IFERROR(__xludf.DUMMYFUNCTION("INT(FILTER(GT(F236,0),ISNUMBER(F236)))"),1.0)</f>
        <v>1</v>
      </c>
      <c r="P236" s="44">
        <f t="shared" si="3"/>
        <v>0.6666666667</v>
      </c>
      <c r="Q236" s="44">
        <f>IFERROR(__xludf.DUMMYFUNCTION("INT(FILTER(EQ(E236,F236),ISNUMBER(E236),ISNUMBER(F236)))"),0.0)</f>
        <v>0</v>
      </c>
    </row>
    <row r="237">
      <c r="A237" s="38" t="s">
        <v>924</v>
      </c>
      <c r="B237" s="39" t="s">
        <v>925</v>
      </c>
      <c r="C237" s="40" t="s">
        <v>268</v>
      </c>
      <c r="D237" s="41" t="s">
        <v>137</v>
      </c>
      <c r="E237" s="42">
        <v>3.0</v>
      </c>
      <c r="F237" s="42">
        <v>1.0</v>
      </c>
      <c r="G237" s="42">
        <v>0.0</v>
      </c>
      <c r="H237" s="43" t="s">
        <v>4815</v>
      </c>
      <c r="I237" s="44"/>
      <c r="J237" s="44"/>
      <c r="K237" s="44"/>
      <c r="L237" s="44"/>
      <c r="M237" s="44">
        <f t="shared" si="1"/>
        <v>0.3333333333</v>
      </c>
      <c r="N237" s="44">
        <f t="shared" si="2"/>
        <v>0</v>
      </c>
      <c r="O237" s="44">
        <f>IFERROR(__xludf.DUMMYFUNCTION("INT(FILTER(GT(F237,0),ISNUMBER(F237)))"),1.0)</f>
        <v>1</v>
      </c>
      <c r="P237" s="44">
        <f t="shared" si="3"/>
        <v>1</v>
      </c>
      <c r="Q237" s="44">
        <f>IFERROR(__xludf.DUMMYFUNCTION("INT(FILTER(EQ(E237,F237),ISNUMBER(E237),ISNUMBER(F237)))"),0.0)</f>
        <v>0</v>
      </c>
    </row>
    <row r="238">
      <c r="A238" s="38" t="s">
        <v>926</v>
      </c>
      <c r="B238" s="39" t="s">
        <v>927</v>
      </c>
      <c r="C238" s="40" t="s">
        <v>928</v>
      </c>
      <c r="D238" s="42" t="s">
        <v>929</v>
      </c>
      <c r="E238" s="42">
        <v>2.0</v>
      </c>
      <c r="F238" s="42">
        <v>2.0</v>
      </c>
      <c r="G238" s="42">
        <v>0.0</v>
      </c>
      <c r="H238" s="43" t="s">
        <v>4815</v>
      </c>
      <c r="I238" s="44"/>
      <c r="J238" s="44"/>
      <c r="K238" s="44"/>
      <c r="L238" s="44"/>
      <c r="M238" s="44">
        <f t="shared" si="1"/>
        <v>1</v>
      </c>
      <c r="N238" s="44">
        <f t="shared" si="2"/>
        <v>0</v>
      </c>
      <c r="O238" s="44">
        <f>IFERROR(__xludf.DUMMYFUNCTION("INT(FILTER(GT(F238,0),ISNUMBER(F238)))"),1.0)</f>
        <v>1</v>
      </c>
      <c r="P238" s="44">
        <f t="shared" si="3"/>
        <v>1</v>
      </c>
      <c r="Q238" s="44">
        <f>IFERROR(__xludf.DUMMYFUNCTION("INT(FILTER(EQ(E238,F238),ISNUMBER(E238),ISNUMBER(F238)))"),1.0)</f>
        <v>1</v>
      </c>
    </row>
    <row r="239">
      <c r="A239" s="38" t="s">
        <v>930</v>
      </c>
      <c r="B239" s="39" t="s">
        <v>931</v>
      </c>
      <c r="C239" s="40" t="s">
        <v>4851</v>
      </c>
      <c r="D239" s="42" t="s">
        <v>933</v>
      </c>
      <c r="E239" s="42">
        <v>5.0</v>
      </c>
      <c r="F239" s="42">
        <v>3.0</v>
      </c>
      <c r="G239" s="42">
        <v>0.0</v>
      </c>
      <c r="H239" s="43" t="s">
        <v>4815</v>
      </c>
      <c r="I239" s="44"/>
      <c r="J239" s="44"/>
      <c r="K239" s="44"/>
      <c r="L239" s="44"/>
      <c r="M239" s="44">
        <f t="shared" si="1"/>
        <v>0.6</v>
      </c>
      <c r="N239" s="44">
        <f t="shared" si="2"/>
        <v>0</v>
      </c>
      <c r="O239" s="44">
        <f>IFERROR(__xludf.DUMMYFUNCTION("INT(FILTER(GT(F239,0),ISNUMBER(F239)))"),1.0)</f>
        <v>1</v>
      </c>
      <c r="P239" s="44">
        <f t="shared" si="3"/>
        <v>1</v>
      </c>
      <c r="Q239" s="44">
        <f>IFERROR(__xludf.DUMMYFUNCTION("INT(FILTER(EQ(E239,F239),ISNUMBER(E239),ISNUMBER(F239)))"),0.0)</f>
        <v>0</v>
      </c>
    </row>
    <row r="240">
      <c r="A240" s="38" t="s">
        <v>934</v>
      </c>
      <c r="B240" s="39" t="s">
        <v>935</v>
      </c>
      <c r="C240" s="40" t="s">
        <v>936</v>
      </c>
      <c r="D240" s="41" t="s">
        <v>937</v>
      </c>
      <c r="E240" s="42">
        <v>1.0</v>
      </c>
      <c r="F240" s="42">
        <v>1.0</v>
      </c>
      <c r="G240" s="42">
        <v>0.0</v>
      </c>
      <c r="H240" s="43" t="s">
        <v>4815</v>
      </c>
      <c r="I240" s="44"/>
      <c r="J240" s="44"/>
      <c r="K240" s="44"/>
      <c r="L240" s="44"/>
      <c r="M240" s="44">
        <f t="shared" si="1"/>
        <v>1</v>
      </c>
      <c r="N240" s="44">
        <f t="shared" si="2"/>
        <v>0</v>
      </c>
      <c r="O240" s="44">
        <f>IFERROR(__xludf.DUMMYFUNCTION("INT(FILTER(GT(F240,0),ISNUMBER(F240)))"),1.0)</f>
        <v>1</v>
      </c>
      <c r="P240" s="44">
        <f t="shared" si="3"/>
        <v>1</v>
      </c>
      <c r="Q240" s="44">
        <f>IFERROR(__xludf.DUMMYFUNCTION("INT(FILTER(EQ(E240,F240),ISNUMBER(E240),ISNUMBER(F240)))"),1.0)</f>
        <v>1</v>
      </c>
    </row>
    <row r="241">
      <c r="A241" s="38" t="s">
        <v>938</v>
      </c>
      <c r="B241" s="39" t="s">
        <v>939</v>
      </c>
      <c r="C241" s="40" t="s">
        <v>577</v>
      </c>
      <c r="D241" s="41" t="s">
        <v>296</v>
      </c>
      <c r="E241" s="42">
        <v>1.0</v>
      </c>
      <c r="F241" s="42">
        <v>1.0</v>
      </c>
      <c r="G241" s="42">
        <v>0.0</v>
      </c>
      <c r="H241" s="43" t="s">
        <v>4815</v>
      </c>
      <c r="I241" s="44"/>
      <c r="J241" s="44"/>
      <c r="K241" s="44"/>
      <c r="L241" s="44"/>
      <c r="M241" s="44">
        <f t="shared" si="1"/>
        <v>1</v>
      </c>
      <c r="N241" s="44">
        <f t="shared" si="2"/>
        <v>0</v>
      </c>
      <c r="O241" s="44">
        <f>IFERROR(__xludf.DUMMYFUNCTION("INT(FILTER(GT(F241,0),ISNUMBER(F241)))"),1.0)</f>
        <v>1</v>
      </c>
      <c r="P241" s="44">
        <f t="shared" si="3"/>
        <v>1</v>
      </c>
      <c r="Q241" s="44">
        <f>IFERROR(__xludf.DUMMYFUNCTION("INT(FILTER(EQ(E241,F241),ISNUMBER(E241),ISNUMBER(F241)))"),1.0)</f>
        <v>1</v>
      </c>
    </row>
    <row r="242">
      <c r="A242" s="38" t="s">
        <v>940</v>
      </c>
      <c r="B242" s="39" t="s">
        <v>941</v>
      </c>
      <c r="C242" s="40" t="s">
        <v>4852</v>
      </c>
      <c r="D242" s="42" t="s">
        <v>4853</v>
      </c>
      <c r="E242" s="42">
        <v>2.0</v>
      </c>
      <c r="F242" s="42">
        <v>2.0</v>
      </c>
      <c r="G242" s="42">
        <v>0.0</v>
      </c>
      <c r="H242" s="43" t="s">
        <v>4815</v>
      </c>
      <c r="I242" s="44"/>
      <c r="J242" s="44"/>
      <c r="K242" s="44"/>
      <c r="L242" s="44"/>
      <c r="M242" s="44">
        <f t="shared" si="1"/>
        <v>1</v>
      </c>
      <c r="N242" s="44">
        <f t="shared" si="2"/>
        <v>0</v>
      </c>
      <c r="O242" s="44">
        <f>IFERROR(__xludf.DUMMYFUNCTION("INT(FILTER(GT(F242,0),ISNUMBER(F242)))"),1.0)</f>
        <v>1</v>
      </c>
      <c r="P242" s="44">
        <f t="shared" si="3"/>
        <v>1</v>
      </c>
      <c r="Q242" s="44">
        <f>IFERROR(__xludf.DUMMYFUNCTION("INT(FILTER(EQ(E242,F242),ISNUMBER(E242),ISNUMBER(F242)))"),1.0)</f>
        <v>1</v>
      </c>
    </row>
    <row r="243">
      <c r="A243" s="38" t="s">
        <v>944</v>
      </c>
      <c r="B243" s="39" t="s">
        <v>945</v>
      </c>
      <c r="C243" s="40" t="s">
        <v>946</v>
      </c>
      <c r="D243" s="46" t="s">
        <v>4854</v>
      </c>
      <c r="E243" s="42">
        <v>7.0</v>
      </c>
      <c r="F243" s="42">
        <v>6.0</v>
      </c>
      <c r="G243" s="42">
        <v>0.0</v>
      </c>
      <c r="H243" s="43" t="s">
        <v>4815</v>
      </c>
      <c r="I243" s="44"/>
      <c r="J243" s="44"/>
      <c r="K243" s="44"/>
      <c r="L243" s="44"/>
      <c r="M243" s="44">
        <f t="shared" si="1"/>
        <v>0.8571428571</v>
      </c>
      <c r="N243" s="44">
        <f t="shared" si="2"/>
        <v>0</v>
      </c>
      <c r="O243" s="44">
        <f>IFERROR(__xludf.DUMMYFUNCTION("INT(FILTER(GT(F243,0),ISNUMBER(F243)))"),1.0)</f>
        <v>1</v>
      </c>
      <c r="P243" s="44">
        <f t="shared" si="3"/>
        <v>1</v>
      </c>
      <c r="Q243" s="44">
        <f>IFERROR(__xludf.DUMMYFUNCTION("INT(FILTER(EQ(E243,F243),ISNUMBER(E243),ISNUMBER(F243)))"),0.0)</f>
        <v>0</v>
      </c>
    </row>
    <row r="244">
      <c r="A244" s="38" t="s">
        <v>948</v>
      </c>
      <c r="B244" s="39" t="s">
        <v>949</v>
      </c>
      <c r="C244" s="40" t="s">
        <v>950</v>
      </c>
      <c r="D244" s="42" t="s">
        <v>4855</v>
      </c>
      <c r="E244" s="42">
        <v>2.0</v>
      </c>
      <c r="F244" s="42">
        <v>2.0</v>
      </c>
      <c r="G244" s="42">
        <v>0.0</v>
      </c>
      <c r="H244" s="43" t="s">
        <v>4815</v>
      </c>
      <c r="I244" s="44"/>
      <c r="J244" s="44"/>
      <c r="K244" s="44"/>
      <c r="L244" s="44"/>
      <c r="M244" s="44">
        <f t="shared" si="1"/>
        <v>1</v>
      </c>
      <c r="N244" s="44">
        <f t="shared" si="2"/>
        <v>0</v>
      </c>
      <c r="O244" s="44">
        <f>IFERROR(__xludf.DUMMYFUNCTION("INT(FILTER(GT(F244,0),ISNUMBER(F244)))"),1.0)</f>
        <v>1</v>
      </c>
      <c r="P244" s="44">
        <f t="shared" si="3"/>
        <v>1</v>
      </c>
      <c r="Q244" s="44">
        <f>IFERROR(__xludf.DUMMYFUNCTION("INT(FILTER(EQ(E244,F244),ISNUMBER(E244),ISNUMBER(F244)))"),1.0)</f>
        <v>1</v>
      </c>
    </row>
    <row r="245">
      <c r="A245" s="38" t="s">
        <v>952</v>
      </c>
      <c r="B245" s="39" t="s">
        <v>953</v>
      </c>
      <c r="C245" s="40" t="s">
        <v>4856</v>
      </c>
      <c r="D245" s="41" t="s">
        <v>955</v>
      </c>
      <c r="E245" s="42">
        <v>2.0</v>
      </c>
      <c r="F245" s="42">
        <v>1.0</v>
      </c>
      <c r="G245" s="42">
        <v>0.0</v>
      </c>
      <c r="H245" s="43" t="s">
        <v>4815</v>
      </c>
      <c r="I245" s="44"/>
      <c r="J245" s="44"/>
      <c r="K245" s="44"/>
      <c r="L245" s="44"/>
      <c r="M245" s="44">
        <f t="shared" si="1"/>
        <v>0.5</v>
      </c>
      <c r="N245" s="44">
        <f t="shared" si="2"/>
        <v>0</v>
      </c>
      <c r="O245" s="44">
        <f>IFERROR(__xludf.DUMMYFUNCTION("INT(FILTER(GT(F245,0),ISNUMBER(F245)))"),1.0)</f>
        <v>1</v>
      </c>
      <c r="P245" s="44">
        <f t="shared" si="3"/>
        <v>1</v>
      </c>
      <c r="Q245" s="44">
        <f>IFERROR(__xludf.DUMMYFUNCTION("INT(FILTER(EQ(E245,F245),ISNUMBER(E245),ISNUMBER(F245)))"),0.0)</f>
        <v>0</v>
      </c>
    </row>
    <row r="246">
      <c r="A246" s="38" t="s">
        <v>956</v>
      </c>
      <c r="B246" s="39" t="s">
        <v>957</v>
      </c>
      <c r="C246" s="40" t="s">
        <v>4857</v>
      </c>
      <c r="D246" s="42" t="s">
        <v>4858</v>
      </c>
      <c r="E246" s="51"/>
      <c r="F246" s="51"/>
      <c r="G246" s="51"/>
      <c r="H246" s="43" t="s">
        <v>4815</v>
      </c>
      <c r="I246" s="44"/>
      <c r="J246" s="44"/>
      <c r="K246" s="44"/>
      <c r="L246" s="44"/>
      <c r="M246" s="44" t="str">
        <f t="shared" si="1"/>
        <v>#DIV/0!</v>
      </c>
      <c r="N246" s="44" t="str">
        <f t="shared" si="2"/>
        <v>#DIV/0!</v>
      </c>
      <c r="O246" s="44" t="str">
        <f>IFERROR(__xludf.DUMMYFUNCTION("INT(FILTER(GT(F246,0),ISNUMBER(F246)))"),"#N/A")</f>
        <v>#N/A</v>
      </c>
      <c r="P246" s="44" t="str">
        <f t="shared" si="3"/>
        <v>#DIV/0!</v>
      </c>
      <c r="Q246" s="44" t="str">
        <f>IFERROR(__xludf.DUMMYFUNCTION("INT(FILTER(EQ(E246,F246),ISNUMBER(E246),ISNUMBER(F246)))"),"#N/A")</f>
        <v>#N/A</v>
      </c>
    </row>
    <row r="247">
      <c r="A247" s="38" t="s">
        <v>960</v>
      </c>
      <c r="B247" s="39" t="s">
        <v>961</v>
      </c>
      <c r="C247" s="40" t="s">
        <v>4859</v>
      </c>
      <c r="D247" s="42" t="s">
        <v>4860</v>
      </c>
      <c r="E247" s="42">
        <v>3.0</v>
      </c>
      <c r="F247" s="42">
        <v>2.0</v>
      </c>
      <c r="G247" s="42">
        <v>1.0</v>
      </c>
      <c r="H247" s="43" t="s">
        <v>4815</v>
      </c>
      <c r="I247" s="44"/>
      <c r="J247" s="44"/>
      <c r="K247" s="44"/>
      <c r="L247" s="44"/>
      <c r="M247" s="44">
        <f t="shared" si="1"/>
        <v>0.6666666667</v>
      </c>
      <c r="N247" s="44">
        <f t="shared" si="2"/>
        <v>0.3333333333</v>
      </c>
      <c r="O247" s="44">
        <f>IFERROR(__xludf.DUMMYFUNCTION("INT(FILTER(GT(F247,0),ISNUMBER(F247)))"),1.0)</f>
        <v>1</v>
      </c>
      <c r="P247" s="44">
        <f t="shared" si="3"/>
        <v>0.6666666667</v>
      </c>
      <c r="Q247" s="44">
        <f>IFERROR(__xludf.DUMMYFUNCTION("INT(FILTER(EQ(E247,F247),ISNUMBER(E247),ISNUMBER(F247)))"),0.0)</f>
        <v>0</v>
      </c>
    </row>
    <row r="248">
      <c r="A248" s="38" t="s">
        <v>964</v>
      </c>
      <c r="B248" s="39" t="s">
        <v>965</v>
      </c>
      <c r="C248" s="40" t="s">
        <v>966</v>
      </c>
      <c r="D248" s="42" t="s">
        <v>4861</v>
      </c>
      <c r="E248" s="42">
        <v>2.0</v>
      </c>
      <c r="F248" s="42">
        <v>1.0</v>
      </c>
      <c r="G248" s="42">
        <v>1.0</v>
      </c>
      <c r="H248" s="43" t="s">
        <v>4815</v>
      </c>
      <c r="I248" s="44"/>
      <c r="J248" s="44"/>
      <c r="K248" s="44"/>
      <c r="L248" s="44"/>
      <c r="M248" s="44">
        <f t="shared" si="1"/>
        <v>0.5</v>
      </c>
      <c r="N248" s="44">
        <f t="shared" si="2"/>
        <v>0.5</v>
      </c>
      <c r="O248" s="44">
        <f>IFERROR(__xludf.DUMMYFUNCTION("INT(FILTER(GT(F248,0),ISNUMBER(F248)))"),1.0)</f>
        <v>1</v>
      </c>
      <c r="P248" s="44">
        <f t="shared" si="3"/>
        <v>0.5</v>
      </c>
      <c r="Q248" s="44">
        <f>IFERROR(__xludf.DUMMYFUNCTION("INT(FILTER(EQ(E248,F248),ISNUMBER(E248),ISNUMBER(F248)))"),0.0)</f>
        <v>0</v>
      </c>
    </row>
    <row r="249">
      <c r="A249" s="38" t="s">
        <v>968</v>
      </c>
      <c r="B249" s="39" t="s">
        <v>969</v>
      </c>
      <c r="C249" s="40" t="s">
        <v>4862</v>
      </c>
      <c r="D249" s="42" t="s">
        <v>4863</v>
      </c>
      <c r="E249" s="42">
        <v>3.0</v>
      </c>
      <c r="F249" s="42">
        <v>3.0</v>
      </c>
      <c r="G249" s="42">
        <v>0.0</v>
      </c>
      <c r="H249" s="43" t="s">
        <v>4815</v>
      </c>
      <c r="I249" s="44"/>
      <c r="J249" s="44"/>
      <c r="K249" s="44"/>
      <c r="L249" s="44"/>
      <c r="M249" s="44">
        <f t="shared" si="1"/>
        <v>1</v>
      </c>
      <c r="N249" s="44">
        <f t="shared" si="2"/>
        <v>0</v>
      </c>
      <c r="O249" s="44">
        <f>IFERROR(__xludf.DUMMYFUNCTION("INT(FILTER(GT(F249,0),ISNUMBER(F249)))"),1.0)</f>
        <v>1</v>
      </c>
      <c r="P249" s="44">
        <f t="shared" si="3"/>
        <v>1</v>
      </c>
      <c r="Q249" s="44">
        <f>IFERROR(__xludf.DUMMYFUNCTION("INT(FILTER(EQ(E249,F249),ISNUMBER(E249),ISNUMBER(F249)))"),1.0)</f>
        <v>1</v>
      </c>
    </row>
    <row r="250">
      <c r="A250" s="38" t="s">
        <v>971</v>
      </c>
      <c r="B250" s="39" t="s">
        <v>972</v>
      </c>
      <c r="C250" s="40" t="s">
        <v>973</v>
      </c>
      <c r="D250" s="42" t="s">
        <v>4864</v>
      </c>
      <c r="E250" s="42">
        <v>2.0</v>
      </c>
      <c r="F250" s="42">
        <v>2.0</v>
      </c>
      <c r="G250" s="42">
        <v>0.0</v>
      </c>
      <c r="H250" s="43" t="s">
        <v>4815</v>
      </c>
      <c r="I250" s="44"/>
      <c r="J250" s="44"/>
      <c r="K250" s="44"/>
      <c r="L250" s="44"/>
      <c r="M250" s="44">
        <f t="shared" si="1"/>
        <v>1</v>
      </c>
      <c r="N250" s="44">
        <f t="shared" si="2"/>
        <v>0</v>
      </c>
      <c r="O250" s="44">
        <f>IFERROR(__xludf.DUMMYFUNCTION("INT(FILTER(GT(F250,0),ISNUMBER(F250)))"),1.0)</f>
        <v>1</v>
      </c>
      <c r="P250" s="44">
        <f t="shared" si="3"/>
        <v>1</v>
      </c>
      <c r="Q250" s="44">
        <f>IFERROR(__xludf.DUMMYFUNCTION("INT(FILTER(EQ(E250,F250),ISNUMBER(E250),ISNUMBER(F250)))"),1.0)</f>
        <v>1</v>
      </c>
    </row>
    <row r="251">
      <c r="A251" s="38" t="s">
        <v>975</v>
      </c>
      <c r="B251" s="39" t="s">
        <v>976</v>
      </c>
      <c r="C251" s="40" t="s">
        <v>4718</v>
      </c>
      <c r="D251" s="41" t="s">
        <v>4719</v>
      </c>
      <c r="E251" s="42">
        <v>2.0</v>
      </c>
      <c r="F251" s="42">
        <v>0.0</v>
      </c>
      <c r="G251" s="42">
        <v>1.0</v>
      </c>
      <c r="H251" s="43" t="s">
        <v>4815</v>
      </c>
      <c r="I251" s="44"/>
      <c r="J251" s="44"/>
      <c r="K251" s="44"/>
      <c r="L251" s="44"/>
      <c r="M251" s="44">
        <f t="shared" si="1"/>
        <v>0</v>
      </c>
      <c r="N251" s="44">
        <f t="shared" si="2"/>
        <v>0.5</v>
      </c>
      <c r="O251" s="44">
        <f>IFERROR(__xludf.DUMMYFUNCTION("INT(FILTER(GT(F251,0),ISNUMBER(F251)))"),0.0)</f>
        <v>0</v>
      </c>
      <c r="P251" s="44">
        <f t="shared" si="3"/>
        <v>0</v>
      </c>
      <c r="Q251" s="44">
        <f>IFERROR(__xludf.DUMMYFUNCTION("INT(FILTER(EQ(E251,F251),ISNUMBER(E251),ISNUMBER(F251)))"),0.0)</f>
        <v>0</v>
      </c>
    </row>
    <row r="252">
      <c r="A252" s="38" t="s">
        <v>977</v>
      </c>
      <c r="B252" s="39" t="s">
        <v>978</v>
      </c>
      <c r="C252" s="40" t="s">
        <v>4865</v>
      </c>
      <c r="D252" s="41" t="s">
        <v>980</v>
      </c>
      <c r="E252" s="51"/>
      <c r="F252" s="51"/>
      <c r="G252" s="51"/>
      <c r="H252" s="43" t="s">
        <v>4815</v>
      </c>
      <c r="I252" s="44"/>
      <c r="J252" s="44"/>
      <c r="K252" s="44"/>
      <c r="L252" s="44"/>
      <c r="M252" s="44" t="str">
        <f t="shared" si="1"/>
        <v>#DIV/0!</v>
      </c>
      <c r="N252" s="44" t="str">
        <f t="shared" si="2"/>
        <v>#DIV/0!</v>
      </c>
      <c r="O252" s="44" t="str">
        <f>IFERROR(__xludf.DUMMYFUNCTION("INT(FILTER(GT(F252,0),ISNUMBER(F252)))"),"#N/A")</f>
        <v>#N/A</v>
      </c>
      <c r="P252" s="44" t="str">
        <f t="shared" si="3"/>
        <v>#DIV/0!</v>
      </c>
      <c r="Q252" s="44" t="str">
        <f>IFERROR(__xludf.DUMMYFUNCTION("INT(FILTER(EQ(E252,F252),ISNUMBER(E252),ISNUMBER(F252)))"),"#N/A")</f>
        <v>#N/A</v>
      </c>
    </row>
    <row r="253">
      <c r="A253" s="38" t="s">
        <v>981</v>
      </c>
      <c r="B253" s="39" t="s">
        <v>982</v>
      </c>
      <c r="C253" s="40" t="s">
        <v>4866</v>
      </c>
      <c r="D253" s="42" t="s">
        <v>4867</v>
      </c>
      <c r="E253" s="42">
        <v>2.0</v>
      </c>
      <c r="F253" s="42">
        <v>2.0</v>
      </c>
      <c r="G253" s="42">
        <v>0.0</v>
      </c>
      <c r="H253" s="43" t="s">
        <v>4815</v>
      </c>
      <c r="I253" s="44"/>
      <c r="J253" s="44"/>
      <c r="K253" s="44"/>
      <c r="L253" s="44"/>
      <c r="M253" s="44">
        <f t="shared" si="1"/>
        <v>1</v>
      </c>
      <c r="N253" s="44">
        <f t="shared" si="2"/>
        <v>0</v>
      </c>
      <c r="O253" s="44">
        <f>IFERROR(__xludf.DUMMYFUNCTION("INT(FILTER(GT(F253,0),ISNUMBER(F253)))"),1.0)</f>
        <v>1</v>
      </c>
      <c r="P253" s="44">
        <f t="shared" si="3"/>
        <v>1</v>
      </c>
      <c r="Q253" s="44">
        <f>IFERROR(__xludf.DUMMYFUNCTION("INT(FILTER(EQ(E253,F253),ISNUMBER(E253),ISNUMBER(F253)))"),1.0)</f>
        <v>1</v>
      </c>
    </row>
    <row r="254">
      <c r="A254" s="38" t="s">
        <v>985</v>
      </c>
      <c r="B254" s="39" t="s">
        <v>986</v>
      </c>
      <c r="C254" s="40" t="s">
        <v>4868</v>
      </c>
      <c r="D254" s="42" t="s">
        <v>4869</v>
      </c>
      <c r="E254" s="42">
        <v>1.0</v>
      </c>
      <c r="F254" s="42">
        <v>1.0</v>
      </c>
      <c r="G254" s="42">
        <v>0.0</v>
      </c>
      <c r="H254" s="43" t="s">
        <v>4815</v>
      </c>
      <c r="I254" s="44"/>
      <c r="J254" s="44"/>
      <c r="K254" s="44"/>
      <c r="L254" s="44"/>
      <c r="M254" s="44">
        <f t="shared" si="1"/>
        <v>1</v>
      </c>
      <c r="N254" s="44">
        <f t="shared" si="2"/>
        <v>0</v>
      </c>
      <c r="O254" s="44">
        <f>IFERROR(__xludf.DUMMYFUNCTION("INT(FILTER(GT(F254,0),ISNUMBER(F254)))"),1.0)</f>
        <v>1</v>
      </c>
      <c r="P254" s="44">
        <f t="shared" si="3"/>
        <v>1</v>
      </c>
      <c r="Q254" s="44">
        <f>IFERROR(__xludf.DUMMYFUNCTION("INT(FILTER(EQ(E254,F254),ISNUMBER(E254),ISNUMBER(F254)))"),1.0)</f>
        <v>1</v>
      </c>
    </row>
    <row r="255">
      <c r="A255" s="38" t="s">
        <v>989</v>
      </c>
      <c r="B255" s="39" t="s">
        <v>990</v>
      </c>
      <c r="C255" s="40" t="s">
        <v>991</v>
      </c>
      <c r="D255" s="41" t="s">
        <v>113</v>
      </c>
      <c r="E255" s="51"/>
      <c r="F255" s="51"/>
      <c r="G255" s="51"/>
      <c r="H255" s="43" t="s">
        <v>4815</v>
      </c>
      <c r="I255" s="44"/>
      <c r="J255" s="44"/>
      <c r="K255" s="44"/>
      <c r="L255" s="44"/>
      <c r="M255" s="44" t="str">
        <f t="shared" si="1"/>
        <v>#DIV/0!</v>
      </c>
      <c r="N255" s="44" t="str">
        <f t="shared" si="2"/>
        <v>#DIV/0!</v>
      </c>
      <c r="O255" s="44" t="str">
        <f>IFERROR(__xludf.DUMMYFUNCTION("INT(FILTER(GT(F255,0),ISNUMBER(F255)))"),"#N/A")</f>
        <v>#N/A</v>
      </c>
      <c r="P255" s="44" t="str">
        <f t="shared" si="3"/>
        <v>#DIV/0!</v>
      </c>
      <c r="Q255" s="44" t="str">
        <f>IFERROR(__xludf.DUMMYFUNCTION("INT(FILTER(EQ(E255,F255),ISNUMBER(E255),ISNUMBER(F255)))"),"#N/A")</f>
        <v>#N/A</v>
      </c>
    </row>
    <row r="256">
      <c r="A256" s="38" t="s">
        <v>992</v>
      </c>
      <c r="B256" s="39" t="s">
        <v>993</v>
      </c>
      <c r="C256" s="40" t="s">
        <v>4870</v>
      </c>
      <c r="D256" s="41" t="s">
        <v>995</v>
      </c>
      <c r="E256" s="51"/>
      <c r="F256" s="51"/>
      <c r="G256" s="51"/>
      <c r="H256" s="43" t="s">
        <v>4815</v>
      </c>
      <c r="I256" s="44"/>
      <c r="J256" s="44"/>
      <c r="K256" s="44"/>
      <c r="L256" s="44"/>
      <c r="M256" s="44" t="str">
        <f t="shared" si="1"/>
        <v>#DIV/0!</v>
      </c>
      <c r="N256" s="44" t="str">
        <f t="shared" si="2"/>
        <v>#DIV/0!</v>
      </c>
      <c r="O256" s="44" t="str">
        <f>IFERROR(__xludf.DUMMYFUNCTION("INT(FILTER(GT(F256,0),ISNUMBER(F256)))"),"#N/A")</f>
        <v>#N/A</v>
      </c>
      <c r="P256" s="44" t="str">
        <f t="shared" si="3"/>
        <v>#DIV/0!</v>
      </c>
      <c r="Q256" s="44" t="str">
        <f>IFERROR(__xludf.DUMMYFUNCTION("INT(FILTER(EQ(E256,F256),ISNUMBER(E256),ISNUMBER(F256)))"),"#N/A")</f>
        <v>#N/A</v>
      </c>
    </row>
    <row r="257">
      <c r="A257" s="38" t="s">
        <v>996</v>
      </c>
      <c r="B257" s="39" t="s">
        <v>997</v>
      </c>
      <c r="C257" s="40" t="s">
        <v>4871</v>
      </c>
      <c r="D257" s="41" t="s">
        <v>999</v>
      </c>
      <c r="E257" s="51"/>
      <c r="F257" s="51"/>
      <c r="G257" s="51"/>
      <c r="H257" s="43" t="s">
        <v>4815</v>
      </c>
      <c r="I257" s="44"/>
      <c r="J257" s="44"/>
      <c r="K257" s="44"/>
      <c r="L257" s="44"/>
      <c r="M257" s="44" t="str">
        <f t="shared" si="1"/>
        <v>#DIV/0!</v>
      </c>
      <c r="N257" s="44" t="str">
        <f t="shared" si="2"/>
        <v>#DIV/0!</v>
      </c>
      <c r="O257" s="44" t="str">
        <f>IFERROR(__xludf.DUMMYFUNCTION("INT(FILTER(GT(F257,0),ISNUMBER(F257)))"),"#N/A")</f>
        <v>#N/A</v>
      </c>
      <c r="P257" s="44" t="str">
        <f t="shared" si="3"/>
        <v>#DIV/0!</v>
      </c>
      <c r="Q257" s="44" t="str">
        <f>IFERROR(__xludf.DUMMYFUNCTION("INT(FILTER(EQ(E257,F257),ISNUMBER(E257),ISNUMBER(F257)))"),"#N/A")</f>
        <v>#N/A</v>
      </c>
    </row>
    <row r="258">
      <c r="A258" s="38" t="s">
        <v>1000</v>
      </c>
      <c r="B258" s="39" t="s">
        <v>1001</v>
      </c>
      <c r="C258" s="40" t="s">
        <v>268</v>
      </c>
      <c r="D258" s="41" t="s">
        <v>137</v>
      </c>
      <c r="E258" s="51"/>
      <c r="F258" s="51"/>
      <c r="G258" s="51"/>
      <c r="H258" s="43" t="s">
        <v>4815</v>
      </c>
      <c r="I258" s="44"/>
      <c r="J258" s="44"/>
      <c r="K258" s="44"/>
      <c r="L258" s="44"/>
      <c r="M258" s="44" t="str">
        <f t="shared" si="1"/>
        <v>#DIV/0!</v>
      </c>
      <c r="N258" s="44" t="str">
        <f t="shared" si="2"/>
        <v>#DIV/0!</v>
      </c>
      <c r="O258" s="44" t="str">
        <f>IFERROR(__xludf.DUMMYFUNCTION("INT(FILTER(GT(F258,0),ISNUMBER(F258)))"),"#N/A")</f>
        <v>#N/A</v>
      </c>
      <c r="P258" s="44" t="str">
        <f t="shared" si="3"/>
        <v>#DIV/0!</v>
      </c>
      <c r="Q258" s="44" t="str">
        <f>IFERROR(__xludf.DUMMYFUNCTION("INT(FILTER(EQ(E258,F258),ISNUMBER(E258),ISNUMBER(F258)))"),"#N/A")</f>
        <v>#N/A</v>
      </c>
    </row>
    <row r="259">
      <c r="A259" s="38" t="s">
        <v>1002</v>
      </c>
      <c r="B259" s="39" t="s">
        <v>1003</v>
      </c>
      <c r="C259" s="40" t="s">
        <v>268</v>
      </c>
      <c r="D259" s="41" t="s">
        <v>137</v>
      </c>
      <c r="E259" s="51"/>
      <c r="F259" s="51"/>
      <c r="G259" s="51"/>
      <c r="H259" s="43" t="s">
        <v>4815</v>
      </c>
      <c r="I259" s="44"/>
      <c r="J259" s="44"/>
      <c r="K259" s="44"/>
      <c r="L259" s="44"/>
      <c r="M259" s="44" t="str">
        <f t="shared" si="1"/>
        <v>#DIV/0!</v>
      </c>
      <c r="N259" s="44" t="str">
        <f t="shared" si="2"/>
        <v>#DIV/0!</v>
      </c>
      <c r="O259" s="44" t="str">
        <f>IFERROR(__xludf.DUMMYFUNCTION("INT(FILTER(GT(F259,0),ISNUMBER(F259)))"),"#N/A")</f>
        <v>#N/A</v>
      </c>
      <c r="P259" s="44" t="str">
        <f t="shared" si="3"/>
        <v>#DIV/0!</v>
      </c>
      <c r="Q259" s="44" t="str">
        <f>IFERROR(__xludf.DUMMYFUNCTION("INT(FILTER(EQ(E259,F259),ISNUMBER(E259),ISNUMBER(F259)))"),"#N/A")</f>
        <v>#N/A</v>
      </c>
    </row>
    <row r="260">
      <c r="A260" s="38" t="s">
        <v>1005</v>
      </c>
      <c r="B260" s="39" t="s">
        <v>1006</v>
      </c>
      <c r="C260" s="40" t="s">
        <v>1007</v>
      </c>
      <c r="D260" s="42" t="s">
        <v>4872</v>
      </c>
      <c r="E260" s="51"/>
      <c r="F260" s="51"/>
      <c r="G260" s="51"/>
      <c r="H260" s="43" t="s">
        <v>4815</v>
      </c>
      <c r="I260" s="44"/>
      <c r="J260" s="44"/>
      <c r="K260" s="44"/>
      <c r="L260" s="44"/>
      <c r="M260" s="44" t="str">
        <f t="shared" si="1"/>
        <v>#DIV/0!</v>
      </c>
      <c r="N260" s="44" t="str">
        <f t="shared" si="2"/>
        <v>#DIV/0!</v>
      </c>
      <c r="O260" s="44" t="str">
        <f>IFERROR(__xludf.DUMMYFUNCTION("INT(FILTER(GT(F260,0),ISNUMBER(F260)))"),"#N/A")</f>
        <v>#N/A</v>
      </c>
      <c r="P260" s="44" t="str">
        <f t="shared" si="3"/>
        <v>#DIV/0!</v>
      </c>
      <c r="Q260" s="44" t="str">
        <f>IFERROR(__xludf.DUMMYFUNCTION("INT(FILTER(EQ(E260,F260),ISNUMBER(E260),ISNUMBER(F260)))"),"#N/A")</f>
        <v>#N/A</v>
      </c>
    </row>
    <row r="261">
      <c r="A261" s="38" t="s">
        <v>1009</v>
      </c>
      <c r="B261" s="39" t="s">
        <v>1010</v>
      </c>
      <c r="C261" s="40" t="s">
        <v>667</v>
      </c>
      <c r="D261" s="41" t="s">
        <v>668</v>
      </c>
      <c r="E261" s="51"/>
      <c r="F261" s="51"/>
      <c r="G261" s="51"/>
      <c r="H261" s="43" t="s">
        <v>4815</v>
      </c>
      <c r="I261" s="44"/>
      <c r="J261" s="44"/>
      <c r="K261" s="44"/>
      <c r="L261" s="44"/>
      <c r="M261" s="44" t="str">
        <f t="shared" si="1"/>
        <v>#DIV/0!</v>
      </c>
      <c r="N261" s="44" t="str">
        <f t="shared" si="2"/>
        <v>#DIV/0!</v>
      </c>
      <c r="O261" s="44" t="str">
        <f>IFERROR(__xludf.DUMMYFUNCTION("INT(FILTER(GT(F261,0),ISNUMBER(F261)))"),"#N/A")</f>
        <v>#N/A</v>
      </c>
      <c r="P261" s="44" t="str">
        <f t="shared" si="3"/>
        <v>#DIV/0!</v>
      </c>
      <c r="Q261" s="44" t="str">
        <f>IFERROR(__xludf.DUMMYFUNCTION("INT(FILTER(EQ(E261,F261),ISNUMBER(E261),ISNUMBER(F261)))"),"#N/A")</f>
        <v>#N/A</v>
      </c>
    </row>
    <row r="262">
      <c r="A262" s="38" t="s">
        <v>1011</v>
      </c>
      <c r="B262" s="39" t="s">
        <v>1012</v>
      </c>
      <c r="C262" s="40" t="s">
        <v>1013</v>
      </c>
      <c r="D262" s="41" t="s">
        <v>1014</v>
      </c>
      <c r="E262" s="51"/>
      <c r="F262" s="51"/>
      <c r="G262" s="51"/>
      <c r="H262" s="43" t="s">
        <v>4815</v>
      </c>
      <c r="I262" s="44"/>
      <c r="J262" s="44"/>
      <c r="K262" s="44"/>
      <c r="L262" s="44"/>
      <c r="M262" s="44" t="str">
        <f t="shared" si="1"/>
        <v>#DIV/0!</v>
      </c>
      <c r="N262" s="44" t="str">
        <f t="shared" si="2"/>
        <v>#DIV/0!</v>
      </c>
      <c r="O262" s="44" t="str">
        <f>IFERROR(__xludf.DUMMYFUNCTION("INT(FILTER(GT(F262,0),ISNUMBER(F262)))"),"#N/A")</f>
        <v>#N/A</v>
      </c>
      <c r="P262" s="44" t="str">
        <f t="shared" si="3"/>
        <v>#DIV/0!</v>
      </c>
      <c r="Q262" s="44" t="str">
        <f>IFERROR(__xludf.DUMMYFUNCTION("INT(FILTER(EQ(E262,F262),ISNUMBER(E262),ISNUMBER(F262)))"),"#N/A")</f>
        <v>#N/A</v>
      </c>
    </row>
    <row r="263">
      <c r="A263" s="38" t="s">
        <v>1015</v>
      </c>
      <c r="B263" s="39" t="s">
        <v>1016</v>
      </c>
      <c r="C263" s="40" t="s">
        <v>4873</v>
      </c>
      <c r="D263" s="42" t="s">
        <v>4874</v>
      </c>
      <c r="E263" s="51"/>
      <c r="F263" s="51"/>
      <c r="G263" s="51"/>
      <c r="H263" s="43" t="s">
        <v>4815</v>
      </c>
      <c r="I263" s="44"/>
      <c r="J263" s="44"/>
      <c r="K263" s="44"/>
      <c r="L263" s="44"/>
      <c r="M263" s="44" t="str">
        <f t="shared" si="1"/>
        <v>#DIV/0!</v>
      </c>
      <c r="N263" s="44" t="str">
        <f t="shared" si="2"/>
        <v>#DIV/0!</v>
      </c>
      <c r="O263" s="44" t="str">
        <f>IFERROR(__xludf.DUMMYFUNCTION("INT(FILTER(GT(F263,0),ISNUMBER(F263)))"),"#N/A")</f>
        <v>#N/A</v>
      </c>
      <c r="P263" s="44" t="str">
        <f t="shared" si="3"/>
        <v>#DIV/0!</v>
      </c>
      <c r="Q263" s="44" t="str">
        <f>IFERROR(__xludf.DUMMYFUNCTION("INT(FILTER(EQ(E263,F263),ISNUMBER(E263),ISNUMBER(F263)))"),"#N/A")</f>
        <v>#N/A</v>
      </c>
    </row>
    <row r="264">
      <c r="A264" s="38" t="s">
        <v>1019</v>
      </c>
      <c r="B264" s="39" t="s">
        <v>1020</v>
      </c>
      <c r="C264" s="40" t="s">
        <v>4875</v>
      </c>
      <c r="D264" s="41" t="s">
        <v>4876</v>
      </c>
      <c r="E264" s="51"/>
      <c r="F264" s="51"/>
      <c r="G264" s="51"/>
      <c r="H264" s="43" t="s">
        <v>4815</v>
      </c>
      <c r="I264" s="44"/>
      <c r="J264" s="44"/>
      <c r="K264" s="44"/>
      <c r="L264" s="44"/>
      <c r="M264" s="44" t="str">
        <f t="shared" si="1"/>
        <v>#DIV/0!</v>
      </c>
      <c r="N264" s="44" t="str">
        <f t="shared" si="2"/>
        <v>#DIV/0!</v>
      </c>
      <c r="O264" s="44" t="str">
        <f>IFERROR(__xludf.DUMMYFUNCTION("INT(FILTER(GT(F264,0),ISNUMBER(F264)))"),"#N/A")</f>
        <v>#N/A</v>
      </c>
      <c r="P264" s="44" t="str">
        <f t="shared" si="3"/>
        <v>#DIV/0!</v>
      </c>
      <c r="Q264" s="44" t="str">
        <f>IFERROR(__xludf.DUMMYFUNCTION("INT(FILTER(EQ(E264,F264),ISNUMBER(E264),ISNUMBER(F264)))"),"#N/A")</f>
        <v>#N/A</v>
      </c>
    </row>
    <row r="265">
      <c r="A265" s="38" t="s">
        <v>1023</v>
      </c>
      <c r="B265" s="39" t="s">
        <v>1024</v>
      </c>
      <c r="C265" s="40" t="s">
        <v>4877</v>
      </c>
      <c r="D265" s="41" t="s">
        <v>4878</v>
      </c>
      <c r="E265" s="51"/>
      <c r="F265" s="51"/>
      <c r="G265" s="51"/>
      <c r="H265" s="43" t="s">
        <v>4815</v>
      </c>
      <c r="I265" s="44"/>
      <c r="J265" s="44"/>
      <c r="K265" s="44"/>
      <c r="L265" s="44"/>
      <c r="M265" s="44" t="str">
        <f t="shared" si="1"/>
        <v>#DIV/0!</v>
      </c>
      <c r="N265" s="44" t="str">
        <f t="shared" si="2"/>
        <v>#DIV/0!</v>
      </c>
      <c r="O265" s="44" t="str">
        <f>IFERROR(__xludf.DUMMYFUNCTION("INT(FILTER(GT(F265,0),ISNUMBER(F265)))"),"#N/A")</f>
        <v>#N/A</v>
      </c>
      <c r="P265" s="44" t="str">
        <f t="shared" si="3"/>
        <v>#DIV/0!</v>
      </c>
      <c r="Q265" s="44" t="str">
        <f>IFERROR(__xludf.DUMMYFUNCTION("INT(FILTER(EQ(E265,F265),ISNUMBER(E265),ISNUMBER(F265)))"),"#N/A")</f>
        <v>#N/A</v>
      </c>
    </row>
    <row r="266">
      <c r="A266" s="38" t="s">
        <v>1027</v>
      </c>
      <c r="B266" s="39" t="s">
        <v>1028</v>
      </c>
      <c r="C266" s="40" t="s">
        <v>4879</v>
      </c>
      <c r="D266" s="42" t="s">
        <v>4880</v>
      </c>
      <c r="E266" s="51"/>
      <c r="F266" s="51"/>
      <c r="G266" s="51"/>
      <c r="H266" s="43" t="s">
        <v>4815</v>
      </c>
      <c r="I266" s="44"/>
      <c r="J266" s="44"/>
      <c r="K266" s="44"/>
      <c r="L266" s="44"/>
      <c r="M266" s="44" t="str">
        <f t="shared" si="1"/>
        <v>#DIV/0!</v>
      </c>
      <c r="N266" s="44" t="str">
        <f t="shared" si="2"/>
        <v>#DIV/0!</v>
      </c>
      <c r="O266" s="44" t="str">
        <f>IFERROR(__xludf.DUMMYFUNCTION("INT(FILTER(GT(F266,0),ISNUMBER(F266)))"),"#N/A")</f>
        <v>#N/A</v>
      </c>
      <c r="P266" s="44" t="str">
        <f t="shared" si="3"/>
        <v>#DIV/0!</v>
      </c>
      <c r="Q266" s="44" t="str">
        <f>IFERROR(__xludf.DUMMYFUNCTION("INT(FILTER(EQ(E266,F266),ISNUMBER(E266),ISNUMBER(F266)))"),"#N/A")</f>
        <v>#N/A</v>
      </c>
    </row>
    <row r="267">
      <c r="A267" s="38" t="s">
        <v>1031</v>
      </c>
      <c r="B267" s="39" t="s">
        <v>1032</v>
      </c>
      <c r="C267" s="40" t="s">
        <v>1033</v>
      </c>
      <c r="D267" s="41" t="s">
        <v>1034</v>
      </c>
      <c r="E267" s="51"/>
      <c r="F267" s="51"/>
      <c r="G267" s="51"/>
      <c r="H267" s="43" t="s">
        <v>4815</v>
      </c>
      <c r="I267" s="44"/>
      <c r="J267" s="44"/>
      <c r="K267" s="44"/>
      <c r="L267" s="44"/>
      <c r="M267" s="44" t="str">
        <f t="shared" si="1"/>
        <v>#DIV/0!</v>
      </c>
      <c r="N267" s="44" t="str">
        <f t="shared" si="2"/>
        <v>#DIV/0!</v>
      </c>
      <c r="O267" s="44" t="str">
        <f>IFERROR(__xludf.DUMMYFUNCTION("INT(FILTER(GT(F267,0),ISNUMBER(F267)))"),"#N/A")</f>
        <v>#N/A</v>
      </c>
      <c r="P267" s="44" t="str">
        <f t="shared" si="3"/>
        <v>#DIV/0!</v>
      </c>
      <c r="Q267" s="44" t="str">
        <f>IFERROR(__xludf.DUMMYFUNCTION("INT(FILTER(EQ(E267,F267),ISNUMBER(E267),ISNUMBER(F267)))"),"#N/A")</f>
        <v>#N/A</v>
      </c>
    </row>
    <row r="268">
      <c r="A268" s="38" t="s">
        <v>1035</v>
      </c>
      <c r="B268" s="39" t="s">
        <v>1036</v>
      </c>
      <c r="C268" s="40" t="s">
        <v>4881</v>
      </c>
      <c r="D268" s="42" t="s">
        <v>4882</v>
      </c>
      <c r="E268" s="51"/>
      <c r="F268" s="51"/>
      <c r="G268" s="51"/>
      <c r="H268" s="43" t="s">
        <v>4815</v>
      </c>
      <c r="I268" s="44"/>
      <c r="J268" s="44"/>
      <c r="K268" s="44"/>
      <c r="L268" s="44"/>
      <c r="M268" s="44" t="str">
        <f t="shared" si="1"/>
        <v>#DIV/0!</v>
      </c>
      <c r="N268" s="44" t="str">
        <f t="shared" si="2"/>
        <v>#DIV/0!</v>
      </c>
      <c r="O268" s="44" t="str">
        <f>IFERROR(__xludf.DUMMYFUNCTION("INT(FILTER(GT(F268,0),ISNUMBER(F268)))"),"#N/A")</f>
        <v>#N/A</v>
      </c>
      <c r="P268" s="44" t="str">
        <f t="shared" si="3"/>
        <v>#DIV/0!</v>
      </c>
      <c r="Q268" s="44" t="str">
        <f>IFERROR(__xludf.DUMMYFUNCTION("INT(FILTER(EQ(E268,F268),ISNUMBER(E268),ISNUMBER(F268)))"),"#N/A")</f>
        <v>#N/A</v>
      </c>
    </row>
    <row r="269">
      <c r="A269" s="38" t="s">
        <v>1039</v>
      </c>
      <c r="B269" s="39" t="s">
        <v>1040</v>
      </c>
      <c r="C269" s="40" t="s">
        <v>681</v>
      </c>
      <c r="D269" s="41" t="s">
        <v>445</v>
      </c>
      <c r="E269" s="51"/>
      <c r="F269" s="51"/>
      <c r="G269" s="51"/>
      <c r="H269" s="43" t="s">
        <v>4815</v>
      </c>
      <c r="I269" s="44"/>
      <c r="J269" s="44"/>
      <c r="K269" s="44"/>
      <c r="L269" s="44"/>
      <c r="M269" s="44" t="str">
        <f t="shared" si="1"/>
        <v>#DIV/0!</v>
      </c>
      <c r="N269" s="44" t="str">
        <f t="shared" si="2"/>
        <v>#DIV/0!</v>
      </c>
      <c r="O269" s="44" t="str">
        <f>IFERROR(__xludf.DUMMYFUNCTION("INT(FILTER(GT(F269,0),ISNUMBER(F269)))"),"#N/A")</f>
        <v>#N/A</v>
      </c>
      <c r="P269" s="44" t="str">
        <f t="shared" si="3"/>
        <v>#DIV/0!</v>
      </c>
      <c r="Q269" s="44" t="str">
        <f>IFERROR(__xludf.DUMMYFUNCTION("INT(FILTER(EQ(E269,F269),ISNUMBER(E269),ISNUMBER(F269)))"),"#N/A")</f>
        <v>#N/A</v>
      </c>
    </row>
    <row r="270">
      <c r="A270" s="38" t="s">
        <v>1042</v>
      </c>
      <c r="B270" s="39" t="s">
        <v>1043</v>
      </c>
      <c r="C270" s="40" t="s">
        <v>1044</v>
      </c>
      <c r="D270" s="41" t="s">
        <v>1045</v>
      </c>
      <c r="E270" s="51"/>
      <c r="F270" s="51"/>
      <c r="G270" s="51"/>
      <c r="H270" s="43" t="s">
        <v>4815</v>
      </c>
      <c r="I270" s="44"/>
      <c r="J270" s="44"/>
      <c r="K270" s="44"/>
      <c r="L270" s="44"/>
      <c r="M270" s="44" t="str">
        <f t="shared" si="1"/>
        <v>#DIV/0!</v>
      </c>
      <c r="N270" s="44" t="str">
        <f t="shared" si="2"/>
        <v>#DIV/0!</v>
      </c>
      <c r="O270" s="44" t="str">
        <f>IFERROR(__xludf.DUMMYFUNCTION("INT(FILTER(GT(F270,0),ISNUMBER(F270)))"),"#N/A")</f>
        <v>#N/A</v>
      </c>
      <c r="P270" s="44" t="str">
        <f t="shared" si="3"/>
        <v>#DIV/0!</v>
      </c>
      <c r="Q270" s="44" t="str">
        <f>IFERROR(__xludf.DUMMYFUNCTION("INT(FILTER(EQ(E270,F270),ISNUMBER(E270),ISNUMBER(F270)))"),"#N/A")</f>
        <v>#N/A</v>
      </c>
    </row>
    <row r="271">
      <c r="A271" s="38" t="s">
        <v>1046</v>
      </c>
      <c r="B271" s="39" t="s">
        <v>1047</v>
      </c>
      <c r="C271" s="40" t="s">
        <v>1048</v>
      </c>
      <c r="D271" s="41" t="s">
        <v>117</v>
      </c>
      <c r="E271" s="51"/>
      <c r="F271" s="51"/>
      <c r="G271" s="51"/>
      <c r="H271" s="43" t="s">
        <v>4815</v>
      </c>
      <c r="I271" s="44"/>
      <c r="J271" s="44"/>
      <c r="K271" s="44"/>
      <c r="L271" s="44"/>
      <c r="M271" s="44" t="str">
        <f t="shared" si="1"/>
        <v>#DIV/0!</v>
      </c>
      <c r="N271" s="44" t="str">
        <f t="shared" si="2"/>
        <v>#DIV/0!</v>
      </c>
      <c r="O271" s="44" t="str">
        <f>IFERROR(__xludf.DUMMYFUNCTION("INT(FILTER(GT(F271,0),ISNUMBER(F271)))"),"#N/A")</f>
        <v>#N/A</v>
      </c>
      <c r="P271" s="44" t="str">
        <f t="shared" si="3"/>
        <v>#DIV/0!</v>
      </c>
      <c r="Q271" s="44" t="str">
        <f>IFERROR(__xludf.DUMMYFUNCTION("INT(FILTER(EQ(E271,F271),ISNUMBER(E271),ISNUMBER(F271)))"),"#N/A")</f>
        <v>#N/A</v>
      </c>
    </row>
    <row r="272">
      <c r="A272" s="38" t="s">
        <v>1049</v>
      </c>
      <c r="B272" s="39" t="s">
        <v>1050</v>
      </c>
      <c r="C272" s="40" t="s">
        <v>4883</v>
      </c>
      <c r="D272" s="41" t="s">
        <v>1052</v>
      </c>
      <c r="E272" s="51"/>
      <c r="F272" s="51"/>
      <c r="G272" s="51"/>
      <c r="H272" s="43" t="s">
        <v>4815</v>
      </c>
      <c r="I272" s="44"/>
      <c r="J272" s="44"/>
      <c r="K272" s="44"/>
      <c r="L272" s="44"/>
      <c r="M272" s="44" t="str">
        <f t="shared" si="1"/>
        <v>#DIV/0!</v>
      </c>
      <c r="N272" s="44" t="str">
        <f t="shared" si="2"/>
        <v>#DIV/0!</v>
      </c>
      <c r="O272" s="44" t="str">
        <f>IFERROR(__xludf.DUMMYFUNCTION("INT(FILTER(GT(F272,0),ISNUMBER(F272)))"),"#N/A")</f>
        <v>#N/A</v>
      </c>
      <c r="P272" s="44" t="str">
        <f t="shared" si="3"/>
        <v>#DIV/0!</v>
      </c>
      <c r="Q272" s="44" t="str">
        <f>IFERROR(__xludf.DUMMYFUNCTION("INT(FILTER(EQ(E272,F272),ISNUMBER(E272),ISNUMBER(F272)))"),"#N/A")</f>
        <v>#N/A</v>
      </c>
    </row>
    <row r="273">
      <c r="A273" s="38" t="s">
        <v>1053</v>
      </c>
      <c r="B273" s="39" t="s">
        <v>1054</v>
      </c>
      <c r="C273" s="40" t="s">
        <v>1055</v>
      </c>
      <c r="D273" s="41" t="s">
        <v>1056</v>
      </c>
      <c r="E273" s="51"/>
      <c r="F273" s="51"/>
      <c r="G273" s="51"/>
      <c r="H273" s="43" t="s">
        <v>4815</v>
      </c>
      <c r="I273" s="44"/>
      <c r="J273" s="44"/>
      <c r="K273" s="44"/>
      <c r="L273" s="44"/>
      <c r="M273" s="44" t="str">
        <f t="shared" si="1"/>
        <v>#DIV/0!</v>
      </c>
      <c r="N273" s="44" t="str">
        <f t="shared" si="2"/>
        <v>#DIV/0!</v>
      </c>
      <c r="O273" s="44" t="str">
        <f>IFERROR(__xludf.DUMMYFUNCTION("INT(FILTER(GT(F273,0),ISNUMBER(F273)))"),"#N/A")</f>
        <v>#N/A</v>
      </c>
      <c r="P273" s="44" t="str">
        <f t="shared" si="3"/>
        <v>#DIV/0!</v>
      </c>
      <c r="Q273" s="44" t="str">
        <f>IFERROR(__xludf.DUMMYFUNCTION("INT(FILTER(EQ(E273,F273),ISNUMBER(E273),ISNUMBER(F273)))"),"#N/A")</f>
        <v>#N/A</v>
      </c>
    </row>
    <row r="274">
      <c r="A274" s="38" t="s">
        <v>1057</v>
      </c>
      <c r="B274" s="39" t="s">
        <v>1058</v>
      </c>
      <c r="C274" s="40" t="s">
        <v>1059</v>
      </c>
      <c r="D274" s="42" t="s">
        <v>864</v>
      </c>
      <c r="E274" s="51"/>
      <c r="F274" s="51"/>
      <c r="G274" s="51"/>
      <c r="H274" s="43" t="s">
        <v>4815</v>
      </c>
      <c r="I274" s="44"/>
      <c r="J274" s="44"/>
      <c r="K274" s="44"/>
      <c r="L274" s="44"/>
      <c r="M274" s="44" t="str">
        <f t="shared" si="1"/>
        <v>#DIV/0!</v>
      </c>
      <c r="N274" s="44" t="str">
        <f t="shared" si="2"/>
        <v>#DIV/0!</v>
      </c>
      <c r="O274" s="44" t="str">
        <f>IFERROR(__xludf.DUMMYFUNCTION("INT(FILTER(GT(F274,0),ISNUMBER(F274)))"),"#N/A")</f>
        <v>#N/A</v>
      </c>
      <c r="P274" s="44" t="str">
        <f t="shared" si="3"/>
        <v>#DIV/0!</v>
      </c>
      <c r="Q274" s="44" t="str">
        <f>IFERROR(__xludf.DUMMYFUNCTION("INT(FILTER(EQ(E274,F274),ISNUMBER(E274),ISNUMBER(F274)))"),"#N/A")</f>
        <v>#N/A</v>
      </c>
    </row>
    <row r="275">
      <c r="A275" s="38" t="s">
        <v>1060</v>
      </c>
      <c r="B275" s="39" t="s">
        <v>1061</v>
      </c>
      <c r="C275" s="40" t="s">
        <v>1062</v>
      </c>
      <c r="D275" s="42" t="s">
        <v>4884</v>
      </c>
      <c r="E275" s="51"/>
      <c r="F275" s="51"/>
      <c r="G275" s="51"/>
      <c r="H275" s="43" t="s">
        <v>4815</v>
      </c>
      <c r="I275" s="44"/>
      <c r="J275" s="44"/>
      <c r="K275" s="44"/>
      <c r="L275" s="44"/>
      <c r="M275" s="44" t="str">
        <f t="shared" si="1"/>
        <v>#DIV/0!</v>
      </c>
      <c r="N275" s="44" t="str">
        <f t="shared" si="2"/>
        <v>#DIV/0!</v>
      </c>
      <c r="O275" s="44" t="str">
        <f>IFERROR(__xludf.DUMMYFUNCTION("INT(FILTER(GT(F275,0),ISNUMBER(F275)))"),"#N/A")</f>
        <v>#N/A</v>
      </c>
      <c r="P275" s="44" t="str">
        <f t="shared" si="3"/>
        <v>#DIV/0!</v>
      </c>
      <c r="Q275" s="44" t="str">
        <f>IFERROR(__xludf.DUMMYFUNCTION("INT(FILTER(EQ(E275,F275),ISNUMBER(E275),ISNUMBER(F275)))"),"#N/A")</f>
        <v>#N/A</v>
      </c>
    </row>
    <row r="276">
      <c r="A276" s="38" t="s">
        <v>1064</v>
      </c>
      <c r="B276" s="39" t="s">
        <v>1065</v>
      </c>
      <c r="C276" s="40" t="s">
        <v>1066</v>
      </c>
      <c r="D276" s="42" t="s">
        <v>4885</v>
      </c>
      <c r="E276" s="51"/>
      <c r="F276" s="51"/>
      <c r="G276" s="51"/>
      <c r="H276" s="43" t="s">
        <v>4815</v>
      </c>
      <c r="I276" s="44"/>
      <c r="J276" s="44"/>
      <c r="K276" s="44"/>
      <c r="L276" s="44"/>
      <c r="M276" s="44" t="str">
        <f t="shared" si="1"/>
        <v>#DIV/0!</v>
      </c>
      <c r="N276" s="44" t="str">
        <f t="shared" si="2"/>
        <v>#DIV/0!</v>
      </c>
      <c r="O276" s="44" t="str">
        <f>IFERROR(__xludf.DUMMYFUNCTION("INT(FILTER(GT(F276,0),ISNUMBER(F276)))"),"#N/A")</f>
        <v>#N/A</v>
      </c>
      <c r="P276" s="44" t="str">
        <f t="shared" si="3"/>
        <v>#DIV/0!</v>
      </c>
      <c r="Q276" s="44" t="str">
        <f>IFERROR(__xludf.DUMMYFUNCTION("INT(FILTER(EQ(E276,F276),ISNUMBER(E276),ISNUMBER(F276)))"),"#N/A")</f>
        <v>#N/A</v>
      </c>
    </row>
    <row r="277">
      <c r="A277" s="38" t="s">
        <v>1068</v>
      </c>
      <c r="B277" s="39" t="s">
        <v>1069</v>
      </c>
      <c r="C277" s="40" t="s">
        <v>4886</v>
      </c>
      <c r="D277" s="42" t="s">
        <v>1071</v>
      </c>
      <c r="E277" s="51"/>
      <c r="F277" s="51"/>
      <c r="G277" s="51"/>
      <c r="H277" s="43" t="s">
        <v>4815</v>
      </c>
      <c r="I277" s="44"/>
      <c r="J277" s="44"/>
      <c r="K277" s="44"/>
      <c r="L277" s="44"/>
      <c r="M277" s="44" t="str">
        <f t="shared" si="1"/>
        <v>#DIV/0!</v>
      </c>
      <c r="N277" s="44" t="str">
        <f t="shared" si="2"/>
        <v>#DIV/0!</v>
      </c>
      <c r="O277" s="44" t="str">
        <f>IFERROR(__xludf.DUMMYFUNCTION("INT(FILTER(GT(F277,0),ISNUMBER(F277)))"),"#N/A")</f>
        <v>#N/A</v>
      </c>
      <c r="P277" s="44" t="str">
        <f t="shared" si="3"/>
        <v>#DIV/0!</v>
      </c>
      <c r="Q277" s="44" t="str">
        <f>IFERROR(__xludf.DUMMYFUNCTION("INT(FILTER(EQ(E277,F277),ISNUMBER(E277),ISNUMBER(F277)))"),"#N/A")</f>
        <v>#N/A</v>
      </c>
    </row>
    <row r="278">
      <c r="A278" s="38" t="s">
        <v>1072</v>
      </c>
      <c r="B278" s="39" t="s">
        <v>1073</v>
      </c>
      <c r="C278" s="40" t="s">
        <v>1074</v>
      </c>
      <c r="D278" s="41" t="s">
        <v>1075</v>
      </c>
      <c r="E278" s="51"/>
      <c r="F278" s="51"/>
      <c r="G278" s="51"/>
      <c r="H278" s="43" t="s">
        <v>4815</v>
      </c>
      <c r="I278" s="44"/>
      <c r="J278" s="44"/>
      <c r="K278" s="44"/>
      <c r="L278" s="44"/>
      <c r="M278" s="44" t="str">
        <f t="shared" si="1"/>
        <v>#DIV/0!</v>
      </c>
      <c r="N278" s="44" t="str">
        <f t="shared" si="2"/>
        <v>#DIV/0!</v>
      </c>
      <c r="O278" s="44" t="str">
        <f>IFERROR(__xludf.DUMMYFUNCTION("INT(FILTER(GT(F278,0),ISNUMBER(F278)))"),"#N/A")</f>
        <v>#N/A</v>
      </c>
      <c r="P278" s="44" t="str">
        <f t="shared" si="3"/>
        <v>#DIV/0!</v>
      </c>
      <c r="Q278" s="44" t="str">
        <f>IFERROR(__xludf.DUMMYFUNCTION("INT(FILTER(EQ(E278,F278),ISNUMBER(E278),ISNUMBER(F278)))"),"#N/A")</f>
        <v>#N/A</v>
      </c>
    </row>
    <row r="279">
      <c r="A279" s="38" t="s">
        <v>1076</v>
      </c>
      <c r="B279" s="39" t="s">
        <v>1077</v>
      </c>
      <c r="C279" s="40" t="s">
        <v>4887</v>
      </c>
      <c r="D279" s="42" t="s">
        <v>4888</v>
      </c>
      <c r="E279" s="51"/>
      <c r="F279" s="51"/>
      <c r="G279" s="51"/>
      <c r="H279" s="43" t="s">
        <v>4815</v>
      </c>
      <c r="I279" s="44"/>
      <c r="J279" s="44"/>
      <c r="K279" s="44"/>
      <c r="L279" s="44"/>
      <c r="M279" s="44" t="str">
        <f t="shared" si="1"/>
        <v>#DIV/0!</v>
      </c>
      <c r="N279" s="44" t="str">
        <f t="shared" si="2"/>
        <v>#DIV/0!</v>
      </c>
      <c r="O279" s="44" t="str">
        <f>IFERROR(__xludf.DUMMYFUNCTION("INT(FILTER(GT(F279,0),ISNUMBER(F279)))"),"#N/A")</f>
        <v>#N/A</v>
      </c>
      <c r="P279" s="44" t="str">
        <f t="shared" si="3"/>
        <v>#DIV/0!</v>
      </c>
      <c r="Q279" s="44" t="str">
        <f>IFERROR(__xludf.DUMMYFUNCTION("INT(FILTER(EQ(E279,F279),ISNUMBER(E279),ISNUMBER(F279)))"),"#N/A")</f>
        <v>#N/A</v>
      </c>
    </row>
    <row r="280">
      <c r="A280" s="38" t="s">
        <v>1080</v>
      </c>
      <c r="B280" s="39" t="s">
        <v>1081</v>
      </c>
      <c r="C280" s="40" t="s">
        <v>1082</v>
      </c>
      <c r="D280" s="41" t="s">
        <v>1083</v>
      </c>
      <c r="E280" s="51"/>
      <c r="F280" s="51"/>
      <c r="G280" s="51"/>
      <c r="H280" s="43" t="s">
        <v>4815</v>
      </c>
      <c r="I280" s="44"/>
      <c r="J280" s="44"/>
      <c r="K280" s="44"/>
      <c r="L280" s="44"/>
      <c r="M280" s="44" t="str">
        <f t="shared" si="1"/>
        <v>#DIV/0!</v>
      </c>
      <c r="N280" s="44" t="str">
        <f t="shared" si="2"/>
        <v>#DIV/0!</v>
      </c>
      <c r="O280" s="44" t="str">
        <f>IFERROR(__xludf.DUMMYFUNCTION("INT(FILTER(GT(F280,0),ISNUMBER(F280)))"),"#N/A")</f>
        <v>#N/A</v>
      </c>
      <c r="P280" s="44" t="str">
        <f t="shared" si="3"/>
        <v>#DIV/0!</v>
      </c>
      <c r="Q280" s="44" t="str">
        <f>IFERROR(__xludf.DUMMYFUNCTION("INT(FILTER(EQ(E280,F280),ISNUMBER(E280),ISNUMBER(F280)))"),"#N/A")</f>
        <v>#N/A</v>
      </c>
    </row>
    <row r="281">
      <c r="A281" s="38" t="s">
        <v>1084</v>
      </c>
      <c r="B281" s="39" t="s">
        <v>1085</v>
      </c>
      <c r="C281" s="40" t="s">
        <v>4889</v>
      </c>
      <c r="D281" s="42" t="s">
        <v>4890</v>
      </c>
      <c r="E281" s="51"/>
      <c r="F281" s="51"/>
      <c r="G281" s="51"/>
      <c r="H281" s="43" t="s">
        <v>4815</v>
      </c>
      <c r="I281" s="44"/>
      <c r="J281" s="44"/>
      <c r="K281" s="44"/>
      <c r="L281" s="44"/>
      <c r="M281" s="44" t="str">
        <f t="shared" si="1"/>
        <v>#DIV/0!</v>
      </c>
      <c r="N281" s="44" t="str">
        <f t="shared" si="2"/>
        <v>#DIV/0!</v>
      </c>
      <c r="O281" s="44" t="str">
        <f>IFERROR(__xludf.DUMMYFUNCTION("INT(FILTER(GT(F281,0),ISNUMBER(F281)))"),"#N/A")</f>
        <v>#N/A</v>
      </c>
      <c r="P281" s="44" t="str">
        <f t="shared" si="3"/>
        <v>#DIV/0!</v>
      </c>
      <c r="Q281" s="44" t="str">
        <f>IFERROR(__xludf.DUMMYFUNCTION("INT(FILTER(EQ(E281,F281),ISNUMBER(E281),ISNUMBER(F281)))"),"#N/A")</f>
        <v>#N/A</v>
      </c>
    </row>
    <row r="282">
      <c r="A282" s="38" t="s">
        <v>1088</v>
      </c>
      <c r="B282" s="39" t="s">
        <v>1089</v>
      </c>
      <c r="C282" s="40" t="s">
        <v>4891</v>
      </c>
      <c r="D282" s="42" t="s">
        <v>4892</v>
      </c>
      <c r="E282" s="51"/>
      <c r="F282" s="51"/>
      <c r="G282" s="51"/>
      <c r="H282" s="43" t="s">
        <v>4815</v>
      </c>
      <c r="I282" s="44"/>
      <c r="J282" s="44"/>
      <c r="K282" s="44"/>
      <c r="L282" s="44"/>
      <c r="M282" s="44" t="str">
        <f t="shared" si="1"/>
        <v>#DIV/0!</v>
      </c>
      <c r="N282" s="44" t="str">
        <f t="shared" si="2"/>
        <v>#DIV/0!</v>
      </c>
      <c r="O282" s="44" t="str">
        <f>IFERROR(__xludf.DUMMYFUNCTION("INT(FILTER(GT(F282,0),ISNUMBER(F282)))"),"#N/A")</f>
        <v>#N/A</v>
      </c>
      <c r="P282" s="44" t="str">
        <f t="shared" si="3"/>
        <v>#DIV/0!</v>
      </c>
      <c r="Q282" s="44" t="str">
        <f>IFERROR(__xludf.DUMMYFUNCTION("INT(FILTER(EQ(E282,F282),ISNUMBER(E282),ISNUMBER(F282)))"),"#N/A")</f>
        <v>#N/A</v>
      </c>
    </row>
    <row r="283">
      <c r="A283" s="38" t="s">
        <v>1092</v>
      </c>
      <c r="B283" s="39" t="s">
        <v>1093</v>
      </c>
      <c r="C283" s="40" t="s">
        <v>565</v>
      </c>
      <c r="D283" s="41" t="s">
        <v>566</v>
      </c>
      <c r="E283" s="51"/>
      <c r="F283" s="51"/>
      <c r="G283" s="51"/>
      <c r="H283" s="43" t="s">
        <v>4815</v>
      </c>
      <c r="I283" s="44"/>
      <c r="J283" s="44"/>
      <c r="K283" s="44"/>
      <c r="L283" s="44"/>
      <c r="M283" s="44" t="str">
        <f t="shared" si="1"/>
        <v>#DIV/0!</v>
      </c>
      <c r="N283" s="44" t="str">
        <f t="shared" si="2"/>
        <v>#DIV/0!</v>
      </c>
      <c r="O283" s="44" t="str">
        <f>IFERROR(__xludf.DUMMYFUNCTION("INT(FILTER(GT(F283,0),ISNUMBER(F283)))"),"#N/A")</f>
        <v>#N/A</v>
      </c>
      <c r="P283" s="44" t="str">
        <f t="shared" si="3"/>
        <v>#DIV/0!</v>
      </c>
      <c r="Q283" s="44" t="str">
        <f>IFERROR(__xludf.DUMMYFUNCTION("INT(FILTER(EQ(E283,F283),ISNUMBER(E283),ISNUMBER(F283)))"),"#N/A")</f>
        <v>#N/A</v>
      </c>
    </row>
    <row r="284">
      <c r="A284" s="38" t="s">
        <v>1094</v>
      </c>
      <c r="B284" s="39" t="s">
        <v>1095</v>
      </c>
      <c r="C284" s="40" t="s">
        <v>4893</v>
      </c>
      <c r="D284" s="42" t="s">
        <v>4894</v>
      </c>
      <c r="E284" s="51"/>
      <c r="F284" s="51"/>
      <c r="G284" s="51"/>
      <c r="H284" s="43" t="s">
        <v>4815</v>
      </c>
      <c r="I284" s="44"/>
      <c r="J284" s="44"/>
      <c r="K284" s="44"/>
      <c r="L284" s="44"/>
      <c r="M284" s="44" t="str">
        <f t="shared" si="1"/>
        <v>#DIV/0!</v>
      </c>
      <c r="N284" s="44" t="str">
        <f t="shared" si="2"/>
        <v>#DIV/0!</v>
      </c>
      <c r="O284" s="44" t="str">
        <f>IFERROR(__xludf.DUMMYFUNCTION("INT(FILTER(GT(F284,0),ISNUMBER(F284)))"),"#N/A")</f>
        <v>#N/A</v>
      </c>
      <c r="P284" s="44" t="str">
        <f t="shared" si="3"/>
        <v>#DIV/0!</v>
      </c>
      <c r="Q284" s="44" t="str">
        <f>IFERROR(__xludf.DUMMYFUNCTION("INT(FILTER(EQ(E284,F284),ISNUMBER(E284),ISNUMBER(F284)))"),"#N/A")</f>
        <v>#N/A</v>
      </c>
    </row>
    <row r="285">
      <c r="A285" s="38" t="s">
        <v>1098</v>
      </c>
      <c r="B285" s="39" t="s">
        <v>1099</v>
      </c>
      <c r="C285" s="40" t="s">
        <v>1100</v>
      </c>
      <c r="D285" s="41" t="s">
        <v>1101</v>
      </c>
      <c r="E285" s="51"/>
      <c r="F285" s="51"/>
      <c r="G285" s="51"/>
      <c r="H285" s="43" t="s">
        <v>4815</v>
      </c>
      <c r="I285" s="44"/>
      <c r="J285" s="44"/>
      <c r="K285" s="44"/>
      <c r="L285" s="44"/>
      <c r="M285" s="44" t="str">
        <f t="shared" si="1"/>
        <v>#DIV/0!</v>
      </c>
      <c r="N285" s="44" t="str">
        <f t="shared" si="2"/>
        <v>#DIV/0!</v>
      </c>
      <c r="O285" s="44" t="str">
        <f>IFERROR(__xludf.DUMMYFUNCTION("INT(FILTER(GT(F285,0),ISNUMBER(F285)))"),"#N/A")</f>
        <v>#N/A</v>
      </c>
      <c r="P285" s="44" t="str">
        <f t="shared" si="3"/>
        <v>#DIV/0!</v>
      </c>
      <c r="Q285" s="44" t="str">
        <f>IFERROR(__xludf.DUMMYFUNCTION("INT(FILTER(EQ(E285,F285),ISNUMBER(E285),ISNUMBER(F285)))"),"#N/A")</f>
        <v>#N/A</v>
      </c>
    </row>
    <row r="286">
      <c r="A286" s="38" t="s">
        <v>1102</v>
      </c>
      <c r="B286" s="39" t="s">
        <v>1103</v>
      </c>
      <c r="C286" s="40" t="s">
        <v>1104</v>
      </c>
      <c r="D286" s="41" t="s">
        <v>1105</v>
      </c>
      <c r="E286" s="51"/>
      <c r="F286" s="51"/>
      <c r="G286" s="51"/>
      <c r="H286" s="43" t="s">
        <v>4815</v>
      </c>
      <c r="I286" s="44"/>
      <c r="J286" s="44"/>
      <c r="K286" s="44"/>
      <c r="L286" s="44"/>
      <c r="M286" s="44" t="str">
        <f t="shared" si="1"/>
        <v>#DIV/0!</v>
      </c>
      <c r="N286" s="44" t="str">
        <f t="shared" si="2"/>
        <v>#DIV/0!</v>
      </c>
      <c r="O286" s="44" t="str">
        <f>IFERROR(__xludf.DUMMYFUNCTION("INT(FILTER(GT(F286,0),ISNUMBER(F286)))"),"#N/A")</f>
        <v>#N/A</v>
      </c>
      <c r="P286" s="44" t="str">
        <f t="shared" si="3"/>
        <v>#DIV/0!</v>
      </c>
      <c r="Q286" s="44" t="str">
        <f>IFERROR(__xludf.DUMMYFUNCTION("INT(FILTER(EQ(E286,F286),ISNUMBER(E286),ISNUMBER(F286)))"),"#N/A")</f>
        <v>#N/A</v>
      </c>
    </row>
    <row r="287">
      <c r="A287" s="38" t="s">
        <v>1106</v>
      </c>
      <c r="B287" s="39" t="s">
        <v>1107</v>
      </c>
      <c r="C287" s="40" t="s">
        <v>1108</v>
      </c>
      <c r="D287" s="41" t="s">
        <v>1109</v>
      </c>
      <c r="E287" s="51"/>
      <c r="F287" s="51"/>
      <c r="G287" s="51"/>
      <c r="H287" s="43" t="s">
        <v>4815</v>
      </c>
      <c r="I287" s="44"/>
      <c r="J287" s="44"/>
      <c r="K287" s="44"/>
      <c r="L287" s="44"/>
      <c r="M287" s="44" t="str">
        <f t="shared" si="1"/>
        <v>#DIV/0!</v>
      </c>
      <c r="N287" s="44" t="str">
        <f t="shared" si="2"/>
        <v>#DIV/0!</v>
      </c>
      <c r="O287" s="44" t="str">
        <f>IFERROR(__xludf.DUMMYFUNCTION("INT(FILTER(GT(F287,0),ISNUMBER(F287)))"),"#N/A")</f>
        <v>#N/A</v>
      </c>
      <c r="P287" s="44" t="str">
        <f t="shared" si="3"/>
        <v>#DIV/0!</v>
      </c>
      <c r="Q287" s="44" t="str">
        <f>IFERROR(__xludf.DUMMYFUNCTION("INT(FILTER(EQ(E287,F287),ISNUMBER(E287),ISNUMBER(F287)))"),"#N/A")</f>
        <v>#N/A</v>
      </c>
    </row>
    <row r="288">
      <c r="A288" s="38" t="s">
        <v>1110</v>
      </c>
      <c r="B288" s="39" t="s">
        <v>1111</v>
      </c>
      <c r="C288" s="40" t="s">
        <v>1112</v>
      </c>
      <c r="D288" s="41" t="s">
        <v>1113</v>
      </c>
      <c r="E288" s="51"/>
      <c r="F288" s="51"/>
      <c r="G288" s="51"/>
      <c r="H288" s="43" t="s">
        <v>4815</v>
      </c>
      <c r="I288" s="44"/>
      <c r="J288" s="44"/>
      <c r="K288" s="44"/>
      <c r="L288" s="44"/>
      <c r="M288" s="44" t="str">
        <f t="shared" si="1"/>
        <v>#DIV/0!</v>
      </c>
      <c r="N288" s="44" t="str">
        <f t="shared" si="2"/>
        <v>#DIV/0!</v>
      </c>
      <c r="O288" s="44" t="str">
        <f>IFERROR(__xludf.DUMMYFUNCTION("INT(FILTER(GT(F288,0),ISNUMBER(F288)))"),"#N/A")</f>
        <v>#N/A</v>
      </c>
      <c r="P288" s="44" t="str">
        <f t="shared" si="3"/>
        <v>#DIV/0!</v>
      </c>
      <c r="Q288" s="44" t="str">
        <f>IFERROR(__xludf.DUMMYFUNCTION("INT(FILTER(EQ(E288,F288),ISNUMBER(E288),ISNUMBER(F288)))"),"#N/A")</f>
        <v>#N/A</v>
      </c>
    </row>
    <row r="289">
      <c r="A289" s="38" t="s">
        <v>1114</v>
      </c>
      <c r="B289" s="39" t="s">
        <v>1115</v>
      </c>
      <c r="C289" s="40" t="s">
        <v>1116</v>
      </c>
      <c r="D289" s="41" t="s">
        <v>1117</v>
      </c>
      <c r="E289" s="51"/>
      <c r="F289" s="51"/>
      <c r="G289" s="51"/>
      <c r="H289" s="43" t="s">
        <v>4815</v>
      </c>
      <c r="I289" s="44"/>
      <c r="J289" s="44"/>
      <c r="K289" s="44"/>
      <c r="L289" s="44"/>
      <c r="M289" s="44" t="str">
        <f t="shared" si="1"/>
        <v>#DIV/0!</v>
      </c>
      <c r="N289" s="44" t="str">
        <f t="shared" si="2"/>
        <v>#DIV/0!</v>
      </c>
      <c r="O289" s="44" t="str">
        <f>IFERROR(__xludf.DUMMYFUNCTION("INT(FILTER(GT(F289,0),ISNUMBER(F289)))"),"#N/A")</f>
        <v>#N/A</v>
      </c>
      <c r="P289" s="44" t="str">
        <f t="shared" si="3"/>
        <v>#DIV/0!</v>
      </c>
      <c r="Q289" s="44" t="str">
        <f>IFERROR(__xludf.DUMMYFUNCTION("INT(FILTER(EQ(E289,F289),ISNUMBER(E289),ISNUMBER(F289)))"),"#N/A")</f>
        <v>#N/A</v>
      </c>
    </row>
    <row r="290">
      <c r="A290" s="38" t="s">
        <v>1118</v>
      </c>
      <c r="B290" s="39" t="s">
        <v>1119</v>
      </c>
      <c r="C290" s="40" t="s">
        <v>4895</v>
      </c>
      <c r="D290" s="42" t="s">
        <v>4896</v>
      </c>
      <c r="E290" s="51"/>
      <c r="F290" s="51"/>
      <c r="G290" s="51"/>
      <c r="H290" s="43" t="s">
        <v>4815</v>
      </c>
      <c r="I290" s="44"/>
      <c r="J290" s="44"/>
      <c r="K290" s="44"/>
      <c r="L290" s="44"/>
      <c r="M290" s="44" t="str">
        <f t="shared" si="1"/>
        <v>#DIV/0!</v>
      </c>
      <c r="N290" s="44" t="str">
        <f t="shared" si="2"/>
        <v>#DIV/0!</v>
      </c>
      <c r="O290" s="44" t="str">
        <f>IFERROR(__xludf.DUMMYFUNCTION("INT(FILTER(GT(F290,0),ISNUMBER(F290)))"),"#N/A")</f>
        <v>#N/A</v>
      </c>
      <c r="P290" s="44" t="str">
        <f t="shared" si="3"/>
        <v>#DIV/0!</v>
      </c>
      <c r="Q290" s="44" t="str">
        <f>IFERROR(__xludf.DUMMYFUNCTION("INT(FILTER(EQ(E290,F290),ISNUMBER(E290),ISNUMBER(F290)))"),"#N/A")</f>
        <v>#N/A</v>
      </c>
    </row>
    <row r="291">
      <c r="A291" s="38" t="s">
        <v>1122</v>
      </c>
      <c r="B291" s="39" t="s">
        <v>1123</v>
      </c>
      <c r="C291" s="40" t="s">
        <v>1124</v>
      </c>
      <c r="D291" s="41" t="s">
        <v>1125</v>
      </c>
      <c r="E291" s="51"/>
      <c r="F291" s="51"/>
      <c r="G291" s="51"/>
      <c r="H291" s="43" t="s">
        <v>4815</v>
      </c>
      <c r="I291" s="44"/>
      <c r="J291" s="44"/>
      <c r="K291" s="44"/>
      <c r="L291" s="44"/>
      <c r="M291" s="44" t="str">
        <f t="shared" si="1"/>
        <v>#DIV/0!</v>
      </c>
      <c r="N291" s="44" t="str">
        <f t="shared" si="2"/>
        <v>#DIV/0!</v>
      </c>
      <c r="O291" s="44" t="str">
        <f>IFERROR(__xludf.DUMMYFUNCTION("INT(FILTER(GT(F291,0),ISNUMBER(F291)))"),"#N/A")</f>
        <v>#N/A</v>
      </c>
      <c r="P291" s="44" t="str">
        <f t="shared" si="3"/>
        <v>#DIV/0!</v>
      </c>
      <c r="Q291" s="44" t="str">
        <f>IFERROR(__xludf.DUMMYFUNCTION("INT(FILTER(EQ(E291,F291),ISNUMBER(E291),ISNUMBER(F291)))"),"#N/A")</f>
        <v>#N/A</v>
      </c>
    </row>
    <row r="292">
      <c r="A292" s="38" t="s">
        <v>1126</v>
      </c>
      <c r="B292" s="39" t="s">
        <v>1127</v>
      </c>
      <c r="C292" s="40" t="s">
        <v>1128</v>
      </c>
      <c r="D292" s="42" t="s">
        <v>4897</v>
      </c>
      <c r="E292" s="51"/>
      <c r="F292" s="51"/>
      <c r="G292" s="51"/>
      <c r="H292" s="43" t="s">
        <v>4815</v>
      </c>
      <c r="I292" s="44"/>
      <c r="J292" s="44"/>
      <c r="K292" s="44"/>
      <c r="L292" s="44"/>
      <c r="M292" s="44" t="str">
        <f t="shared" si="1"/>
        <v>#DIV/0!</v>
      </c>
      <c r="N292" s="44" t="str">
        <f t="shared" si="2"/>
        <v>#DIV/0!</v>
      </c>
      <c r="O292" s="44" t="str">
        <f>IFERROR(__xludf.DUMMYFUNCTION("INT(FILTER(GT(F292,0),ISNUMBER(F292)))"),"#N/A")</f>
        <v>#N/A</v>
      </c>
      <c r="P292" s="44" t="str">
        <f t="shared" si="3"/>
        <v>#DIV/0!</v>
      </c>
      <c r="Q292" s="44" t="str">
        <f>IFERROR(__xludf.DUMMYFUNCTION("INT(FILTER(EQ(E292,F292),ISNUMBER(E292),ISNUMBER(F292)))"),"#N/A")</f>
        <v>#N/A</v>
      </c>
    </row>
    <row r="293">
      <c r="A293" s="38" t="s">
        <v>1130</v>
      </c>
      <c r="B293" s="39" t="s">
        <v>1131</v>
      </c>
      <c r="C293" s="40" t="s">
        <v>1116</v>
      </c>
      <c r="D293" s="41" t="s">
        <v>1117</v>
      </c>
      <c r="E293" s="51"/>
      <c r="F293" s="51"/>
      <c r="G293" s="51"/>
      <c r="H293" s="43" t="s">
        <v>4815</v>
      </c>
      <c r="I293" s="44"/>
      <c r="J293" s="44"/>
      <c r="K293" s="44"/>
      <c r="L293" s="44"/>
      <c r="M293" s="44" t="str">
        <f t="shared" si="1"/>
        <v>#DIV/0!</v>
      </c>
      <c r="N293" s="44" t="str">
        <f t="shared" si="2"/>
        <v>#DIV/0!</v>
      </c>
      <c r="O293" s="44" t="str">
        <f>IFERROR(__xludf.DUMMYFUNCTION("INT(FILTER(GT(F293,0),ISNUMBER(F293)))"),"#N/A")</f>
        <v>#N/A</v>
      </c>
      <c r="P293" s="44" t="str">
        <f t="shared" si="3"/>
        <v>#DIV/0!</v>
      </c>
      <c r="Q293" s="44" t="str">
        <f>IFERROR(__xludf.DUMMYFUNCTION("INT(FILTER(EQ(E293,F293),ISNUMBER(E293),ISNUMBER(F293)))"),"#N/A")</f>
        <v>#N/A</v>
      </c>
    </row>
    <row r="294">
      <c r="A294" s="38" t="s">
        <v>1133</v>
      </c>
      <c r="B294" s="39" t="s">
        <v>1134</v>
      </c>
      <c r="C294" s="40" t="s">
        <v>1135</v>
      </c>
      <c r="D294" s="42" t="s">
        <v>4898</v>
      </c>
      <c r="E294" s="51"/>
      <c r="F294" s="51"/>
      <c r="G294" s="51"/>
      <c r="H294" s="43" t="s">
        <v>4815</v>
      </c>
      <c r="I294" s="44"/>
      <c r="J294" s="44"/>
      <c r="K294" s="44"/>
      <c r="L294" s="44"/>
      <c r="M294" s="44" t="str">
        <f t="shared" si="1"/>
        <v>#DIV/0!</v>
      </c>
      <c r="N294" s="44" t="str">
        <f t="shared" si="2"/>
        <v>#DIV/0!</v>
      </c>
      <c r="O294" s="44" t="str">
        <f>IFERROR(__xludf.DUMMYFUNCTION("INT(FILTER(GT(F294,0),ISNUMBER(F294)))"),"#N/A")</f>
        <v>#N/A</v>
      </c>
      <c r="P294" s="44" t="str">
        <f t="shared" si="3"/>
        <v>#DIV/0!</v>
      </c>
      <c r="Q294" s="44" t="str">
        <f>IFERROR(__xludf.DUMMYFUNCTION("INT(FILTER(EQ(E294,F294),ISNUMBER(E294),ISNUMBER(F294)))"),"#N/A")</f>
        <v>#N/A</v>
      </c>
    </row>
    <row r="295">
      <c r="A295" s="38" t="s">
        <v>1137</v>
      </c>
      <c r="B295" s="39" t="s">
        <v>1138</v>
      </c>
      <c r="C295" s="40" t="s">
        <v>4899</v>
      </c>
      <c r="D295" s="41" t="s">
        <v>4900</v>
      </c>
      <c r="E295" s="51"/>
      <c r="F295" s="51"/>
      <c r="G295" s="51"/>
      <c r="H295" s="43" t="s">
        <v>4815</v>
      </c>
      <c r="I295" s="44"/>
      <c r="J295" s="44"/>
      <c r="K295" s="44"/>
      <c r="L295" s="44"/>
      <c r="M295" s="44" t="str">
        <f t="shared" si="1"/>
        <v>#DIV/0!</v>
      </c>
      <c r="N295" s="44" t="str">
        <f t="shared" si="2"/>
        <v>#DIV/0!</v>
      </c>
      <c r="O295" s="44" t="str">
        <f>IFERROR(__xludf.DUMMYFUNCTION("INT(FILTER(GT(F295,0),ISNUMBER(F295)))"),"#N/A")</f>
        <v>#N/A</v>
      </c>
      <c r="P295" s="44" t="str">
        <f t="shared" si="3"/>
        <v>#DIV/0!</v>
      </c>
      <c r="Q295" s="44" t="str">
        <f>IFERROR(__xludf.DUMMYFUNCTION("INT(FILTER(EQ(E295,F295),ISNUMBER(E295),ISNUMBER(F295)))"),"#N/A")</f>
        <v>#N/A</v>
      </c>
    </row>
    <row r="296">
      <c r="A296" s="38" t="s">
        <v>1141</v>
      </c>
      <c r="B296" s="39" t="s">
        <v>1142</v>
      </c>
      <c r="C296" s="40" t="s">
        <v>1367</v>
      </c>
      <c r="D296" s="41" t="s">
        <v>137</v>
      </c>
      <c r="E296" s="51"/>
      <c r="F296" s="51"/>
      <c r="G296" s="51"/>
      <c r="H296" s="43" t="s">
        <v>4815</v>
      </c>
      <c r="I296" s="44"/>
      <c r="J296" s="44"/>
      <c r="K296" s="44"/>
      <c r="L296" s="44"/>
      <c r="M296" s="44" t="str">
        <f t="shared" si="1"/>
        <v>#DIV/0!</v>
      </c>
      <c r="N296" s="44" t="str">
        <f t="shared" si="2"/>
        <v>#DIV/0!</v>
      </c>
      <c r="O296" s="44" t="str">
        <f>IFERROR(__xludf.DUMMYFUNCTION("INT(FILTER(GT(F296,0),ISNUMBER(F296)))"),"#N/A")</f>
        <v>#N/A</v>
      </c>
      <c r="P296" s="44" t="str">
        <f t="shared" si="3"/>
        <v>#DIV/0!</v>
      </c>
      <c r="Q296" s="44" t="str">
        <f>IFERROR(__xludf.DUMMYFUNCTION("INT(FILTER(EQ(E296,F296),ISNUMBER(E296),ISNUMBER(F296)))"),"#N/A")</f>
        <v>#N/A</v>
      </c>
    </row>
    <row r="297">
      <c r="A297" s="38" t="s">
        <v>1144</v>
      </c>
      <c r="B297" s="39" t="s">
        <v>1145</v>
      </c>
      <c r="C297" s="40" t="s">
        <v>268</v>
      </c>
      <c r="D297" s="41" t="s">
        <v>137</v>
      </c>
      <c r="E297" s="51"/>
      <c r="F297" s="51"/>
      <c r="G297" s="51"/>
      <c r="H297" s="43" t="s">
        <v>4815</v>
      </c>
      <c r="I297" s="44"/>
      <c r="J297" s="44"/>
      <c r="K297" s="44"/>
      <c r="L297" s="44"/>
      <c r="M297" s="44" t="str">
        <f t="shared" si="1"/>
        <v>#DIV/0!</v>
      </c>
      <c r="N297" s="44" t="str">
        <f t="shared" si="2"/>
        <v>#DIV/0!</v>
      </c>
      <c r="O297" s="44" t="str">
        <f>IFERROR(__xludf.DUMMYFUNCTION("INT(FILTER(GT(F297,0),ISNUMBER(F297)))"),"#N/A")</f>
        <v>#N/A</v>
      </c>
      <c r="P297" s="44" t="str">
        <f t="shared" si="3"/>
        <v>#DIV/0!</v>
      </c>
      <c r="Q297" s="44" t="str">
        <f>IFERROR(__xludf.DUMMYFUNCTION("INT(FILTER(EQ(E297,F297),ISNUMBER(E297),ISNUMBER(F297)))"),"#N/A")</f>
        <v>#N/A</v>
      </c>
    </row>
    <row r="298">
      <c r="A298" s="38" t="s">
        <v>1146</v>
      </c>
      <c r="B298" s="39" t="s">
        <v>1147</v>
      </c>
      <c r="C298" s="40" t="s">
        <v>4901</v>
      </c>
      <c r="D298" s="42" t="s">
        <v>4902</v>
      </c>
      <c r="E298" s="51"/>
      <c r="F298" s="51"/>
      <c r="G298" s="51"/>
      <c r="H298" s="43" t="s">
        <v>4815</v>
      </c>
      <c r="I298" s="44"/>
      <c r="J298" s="44"/>
      <c r="K298" s="44"/>
      <c r="L298" s="44"/>
      <c r="M298" s="44" t="str">
        <f t="shared" si="1"/>
        <v>#DIV/0!</v>
      </c>
      <c r="N298" s="44" t="str">
        <f t="shared" si="2"/>
        <v>#DIV/0!</v>
      </c>
      <c r="O298" s="44" t="str">
        <f>IFERROR(__xludf.DUMMYFUNCTION("INT(FILTER(GT(F298,0),ISNUMBER(F298)))"),"#N/A")</f>
        <v>#N/A</v>
      </c>
      <c r="P298" s="44" t="str">
        <f t="shared" si="3"/>
        <v>#DIV/0!</v>
      </c>
      <c r="Q298" s="44" t="str">
        <f>IFERROR(__xludf.DUMMYFUNCTION("INT(FILTER(EQ(E298,F298),ISNUMBER(E298),ISNUMBER(F298)))"),"#N/A")</f>
        <v>#N/A</v>
      </c>
    </row>
    <row r="299">
      <c r="A299" s="38" t="s">
        <v>1150</v>
      </c>
      <c r="B299" s="39" t="s">
        <v>1151</v>
      </c>
      <c r="C299" s="40" t="s">
        <v>4808</v>
      </c>
      <c r="D299" s="41" t="s">
        <v>4809</v>
      </c>
      <c r="E299" s="51"/>
      <c r="F299" s="51"/>
      <c r="G299" s="51"/>
      <c r="H299" s="43" t="s">
        <v>4815</v>
      </c>
      <c r="I299" s="44"/>
      <c r="J299" s="44"/>
      <c r="K299" s="44"/>
      <c r="L299" s="44"/>
      <c r="M299" s="44" t="str">
        <f t="shared" si="1"/>
        <v>#DIV/0!</v>
      </c>
      <c r="N299" s="44" t="str">
        <f t="shared" si="2"/>
        <v>#DIV/0!</v>
      </c>
      <c r="O299" s="44" t="str">
        <f>IFERROR(__xludf.DUMMYFUNCTION("INT(FILTER(GT(F299,0),ISNUMBER(F299)))"),"#N/A")</f>
        <v>#N/A</v>
      </c>
      <c r="P299" s="44" t="str">
        <f t="shared" si="3"/>
        <v>#DIV/0!</v>
      </c>
      <c r="Q299" s="44" t="str">
        <f>IFERROR(__xludf.DUMMYFUNCTION("INT(FILTER(EQ(E299,F299),ISNUMBER(E299),ISNUMBER(F299)))"),"#N/A")</f>
        <v>#N/A</v>
      </c>
    </row>
    <row r="300">
      <c r="A300" s="38" t="s">
        <v>1152</v>
      </c>
      <c r="B300" s="39" t="s">
        <v>1153</v>
      </c>
      <c r="C300" s="40" t="s">
        <v>1154</v>
      </c>
      <c r="D300" s="41" t="s">
        <v>1155</v>
      </c>
      <c r="E300" s="51"/>
      <c r="F300" s="51"/>
      <c r="G300" s="51"/>
      <c r="H300" s="43" t="s">
        <v>4815</v>
      </c>
      <c r="I300" s="44"/>
      <c r="J300" s="44"/>
      <c r="K300" s="44"/>
      <c r="L300" s="44"/>
      <c r="M300" s="44" t="str">
        <f t="shared" si="1"/>
        <v>#DIV/0!</v>
      </c>
      <c r="N300" s="44" t="str">
        <f t="shared" si="2"/>
        <v>#DIV/0!</v>
      </c>
      <c r="O300" s="44" t="str">
        <f>IFERROR(__xludf.DUMMYFUNCTION("INT(FILTER(GT(F300,0),ISNUMBER(F300)))"),"#N/A")</f>
        <v>#N/A</v>
      </c>
      <c r="P300" s="44" t="str">
        <f t="shared" si="3"/>
        <v>#DIV/0!</v>
      </c>
      <c r="Q300" s="44" t="str">
        <f>IFERROR(__xludf.DUMMYFUNCTION("INT(FILTER(EQ(E300,F300),ISNUMBER(E300),ISNUMBER(F300)))"),"#N/A")</f>
        <v>#N/A</v>
      </c>
    </row>
    <row r="301">
      <c r="A301" s="38" t="s">
        <v>1156</v>
      </c>
      <c r="B301" s="39" t="s">
        <v>1157</v>
      </c>
      <c r="C301" s="40" t="s">
        <v>268</v>
      </c>
      <c r="D301" s="41" t="s">
        <v>137</v>
      </c>
      <c r="E301" s="51"/>
      <c r="F301" s="51"/>
      <c r="G301" s="51"/>
      <c r="H301" s="44"/>
      <c r="I301" s="44"/>
      <c r="J301" s="44"/>
      <c r="K301" s="44"/>
      <c r="L301" s="44"/>
      <c r="M301" s="44" t="str">
        <f t="shared" si="1"/>
        <v>#DIV/0!</v>
      </c>
      <c r="N301" s="44" t="str">
        <f t="shared" si="2"/>
        <v>#DIV/0!</v>
      </c>
      <c r="O301" s="44" t="str">
        <f t="shared" ref="O301:O1003" si="4">IF(ISNUMBER(F301), INT(F301&gt;0), "")</f>
        <v/>
      </c>
      <c r="P301" s="44" t="str">
        <f t="shared" si="3"/>
        <v>#DIV/0!</v>
      </c>
      <c r="Q301" s="44"/>
    </row>
    <row r="302">
      <c r="A302" s="38" t="s">
        <v>1158</v>
      </c>
      <c r="B302" s="39" t="s">
        <v>1159</v>
      </c>
      <c r="C302" s="40" t="s">
        <v>4903</v>
      </c>
      <c r="D302" s="42" t="s">
        <v>4904</v>
      </c>
      <c r="E302" s="51"/>
      <c r="F302" s="51"/>
      <c r="G302" s="51"/>
      <c r="H302" s="44"/>
      <c r="I302" s="44"/>
      <c r="J302" s="44"/>
      <c r="K302" s="44"/>
      <c r="L302" s="44"/>
      <c r="M302" s="44" t="str">
        <f t="shared" si="1"/>
        <v>#DIV/0!</v>
      </c>
      <c r="N302" s="44" t="str">
        <f t="shared" si="2"/>
        <v>#DIV/0!</v>
      </c>
      <c r="O302" s="44" t="str">
        <f t="shared" si="4"/>
        <v/>
      </c>
      <c r="P302" s="44" t="str">
        <f t="shared" si="3"/>
        <v>#DIV/0!</v>
      </c>
      <c r="Q302" s="44"/>
    </row>
    <row r="303">
      <c r="A303" s="38" t="s">
        <v>1162</v>
      </c>
      <c r="B303" s="39" t="s">
        <v>1163</v>
      </c>
      <c r="C303" s="40" t="s">
        <v>4905</v>
      </c>
      <c r="D303" s="42" t="s">
        <v>4677</v>
      </c>
      <c r="E303" s="51"/>
      <c r="F303" s="51"/>
      <c r="G303" s="51"/>
      <c r="H303" s="44"/>
      <c r="I303" s="44"/>
      <c r="J303" s="44"/>
      <c r="K303" s="44"/>
      <c r="L303" s="44"/>
      <c r="M303" s="44" t="str">
        <f t="shared" si="1"/>
        <v>#DIV/0!</v>
      </c>
      <c r="N303" s="44" t="str">
        <f t="shared" si="2"/>
        <v>#DIV/0!</v>
      </c>
      <c r="O303" s="44" t="str">
        <f t="shared" si="4"/>
        <v/>
      </c>
      <c r="P303" s="44" t="str">
        <f t="shared" si="3"/>
        <v>#DIV/0!</v>
      </c>
      <c r="Q303" s="44"/>
    </row>
    <row r="304">
      <c r="A304" s="38" t="s">
        <v>1164</v>
      </c>
      <c r="B304" s="39" t="s">
        <v>1165</v>
      </c>
      <c r="C304" s="40" t="s">
        <v>1166</v>
      </c>
      <c r="D304" s="41" t="s">
        <v>1167</v>
      </c>
      <c r="E304" s="51"/>
      <c r="F304" s="51"/>
      <c r="G304" s="51"/>
      <c r="H304" s="44"/>
      <c r="I304" s="44"/>
      <c r="J304" s="44"/>
      <c r="K304" s="44"/>
      <c r="L304" s="44"/>
      <c r="M304" s="44" t="str">
        <f t="shared" si="1"/>
        <v>#DIV/0!</v>
      </c>
      <c r="N304" s="44" t="str">
        <f t="shared" si="2"/>
        <v>#DIV/0!</v>
      </c>
      <c r="O304" s="44" t="str">
        <f t="shared" si="4"/>
        <v/>
      </c>
      <c r="P304" s="44" t="str">
        <f t="shared" si="3"/>
        <v>#DIV/0!</v>
      </c>
      <c r="Q304" s="44"/>
    </row>
    <row r="305">
      <c r="A305" s="38" t="s">
        <v>1168</v>
      </c>
      <c r="B305" s="39" t="s">
        <v>1169</v>
      </c>
      <c r="C305" s="40" t="s">
        <v>4906</v>
      </c>
      <c r="D305" s="41" t="s">
        <v>1171</v>
      </c>
      <c r="E305" s="51"/>
      <c r="F305" s="51"/>
      <c r="G305" s="51"/>
      <c r="H305" s="44"/>
      <c r="I305" s="44"/>
      <c r="J305" s="44"/>
      <c r="K305" s="44"/>
      <c r="L305" s="44"/>
      <c r="M305" s="44" t="str">
        <f t="shared" si="1"/>
        <v>#DIV/0!</v>
      </c>
      <c r="N305" s="44" t="str">
        <f t="shared" si="2"/>
        <v>#DIV/0!</v>
      </c>
      <c r="O305" s="44" t="str">
        <f t="shared" si="4"/>
        <v/>
      </c>
      <c r="P305" s="44" t="str">
        <f t="shared" si="3"/>
        <v>#DIV/0!</v>
      </c>
      <c r="Q305" s="44"/>
    </row>
    <row r="306">
      <c r="A306" s="38" t="s">
        <v>1172</v>
      </c>
      <c r="B306" s="39" t="s">
        <v>1173</v>
      </c>
      <c r="C306" s="40" t="s">
        <v>1174</v>
      </c>
      <c r="D306" s="41" t="s">
        <v>844</v>
      </c>
      <c r="E306" s="51"/>
      <c r="F306" s="51"/>
      <c r="G306" s="51"/>
      <c r="H306" s="44"/>
      <c r="I306" s="44"/>
      <c r="J306" s="44"/>
      <c r="K306" s="44"/>
      <c r="L306" s="44"/>
      <c r="M306" s="44" t="str">
        <f t="shared" si="1"/>
        <v>#DIV/0!</v>
      </c>
      <c r="N306" s="44" t="str">
        <f t="shared" si="2"/>
        <v>#DIV/0!</v>
      </c>
      <c r="O306" s="44" t="str">
        <f t="shared" si="4"/>
        <v/>
      </c>
      <c r="P306" s="44" t="str">
        <f t="shared" si="3"/>
        <v>#DIV/0!</v>
      </c>
      <c r="Q306" s="44"/>
    </row>
    <row r="307">
      <c r="A307" s="38" t="s">
        <v>1175</v>
      </c>
      <c r="B307" s="39" t="s">
        <v>1176</v>
      </c>
      <c r="C307" s="40" t="s">
        <v>1177</v>
      </c>
      <c r="D307" s="42" t="s">
        <v>4907</v>
      </c>
      <c r="E307" s="51"/>
      <c r="F307" s="51"/>
      <c r="G307" s="51"/>
      <c r="H307" s="44"/>
      <c r="I307" s="44"/>
      <c r="J307" s="44"/>
      <c r="K307" s="44"/>
      <c r="L307" s="44"/>
      <c r="M307" s="44" t="str">
        <f t="shared" si="1"/>
        <v>#DIV/0!</v>
      </c>
      <c r="N307" s="44" t="str">
        <f t="shared" si="2"/>
        <v>#DIV/0!</v>
      </c>
      <c r="O307" s="44" t="str">
        <f t="shared" si="4"/>
        <v/>
      </c>
      <c r="P307" s="44" t="str">
        <f t="shared" si="3"/>
        <v>#DIV/0!</v>
      </c>
      <c r="Q307" s="44"/>
    </row>
    <row r="308">
      <c r="A308" s="38" t="s">
        <v>1179</v>
      </c>
      <c r="B308" s="39" t="s">
        <v>1180</v>
      </c>
      <c r="C308" s="40" t="s">
        <v>1181</v>
      </c>
      <c r="D308" s="42" t="s">
        <v>4908</v>
      </c>
      <c r="E308" s="51"/>
      <c r="F308" s="51"/>
      <c r="G308" s="51"/>
      <c r="H308" s="44"/>
      <c r="I308" s="44"/>
      <c r="J308" s="44"/>
      <c r="K308" s="44"/>
      <c r="L308" s="44"/>
      <c r="M308" s="44" t="str">
        <f t="shared" si="1"/>
        <v>#DIV/0!</v>
      </c>
      <c r="N308" s="44" t="str">
        <f t="shared" si="2"/>
        <v>#DIV/0!</v>
      </c>
      <c r="O308" s="44" t="str">
        <f t="shared" si="4"/>
        <v/>
      </c>
      <c r="P308" s="44" t="str">
        <f t="shared" si="3"/>
        <v>#DIV/0!</v>
      </c>
      <c r="Q308" s="44"/>
    </row>
    <row r="309">
      <c r="A309" s="38" t="s">
        <v>1183</v>
      </c>
      <c r="B309" s="39" t="s">
        <v>1184</v>
      </c>
      <c r="C309" s="40" t="s">
        <v>4909</v>
      </c>
      <c r="D309" s="42" t="s">
        <v>4910</v>
      </c>
      <c r="E309" s="51"/>
      <c r="F309" s="51"/>
      <c r="G309" s="51"/>
      <c r="H309" s="44"/>
      <c r="I309" s="44"/>
      <c r="J309" s="44"/>
      <c r="K309" s="44"/>
      <c r="L309" s="44"/>
      <c r="M309" s="44" t="str">
        <f t="shared" si="1"/>
        <v>#DIV/0!</v>
      </c>
      <c r="N309" s="44" t="str">
        <f t="shared" si="2"/>
        <v>#DIV/0!</v>
      </c>
      <c r="O309" s="44" t="str">
        <f t="shared" si="4"/>
        <v/>
      </c>
      <c r="P309" s="44" t="str">
        <f t="shared" si="3"/>
        <v>#DIV/0!</v>
      </c>
      <c r="Q309" s="44"/>
    </row>
    <row r="310">
      <c r="A310" s="38" t="s">
        <v>1187</v>
      </c>
      <c r="B310" s="39" t="s">
        <v>1188</v>
      </c>
      <c r="C310" s="40" t="s">
        <v>4911</v>
      </c>
      <c r="D310" s="41" t="s">
        <v>1190</v>
      </c>
      <c r="E310" s="51"/>
      <c r="F310" s="51"/>
      <c r="G310" s="51"/>
      <c r="H310" s="44"/>
      <c r="I310" s="44"/>
      <c r="J310" s="44"/>
      <c r="K310" s="44"/>
      <c r="L310" s="44"/>
      <c r="M310" s="44" t="str">
        <f t="shared" si="1"/>
        <v>#DIV/0!</v>
      </c>
      <c r="N310" s="44" t="str">
        <f t="shared" si="2"/>
        <v>#DIV/0!</v>
      </c>
      <c r="O310" s="44" t="str">
        <f t="shared" si="4"/>
        <v/>
      </c>
      <c r="P310" s="44" t="str">
        <f t="shared" si="3"/>
        <v>#DIV/0!</v>
      </c>
      <c r="Q310" s="44"/>
    </row>
    <row r="311">
      <c r="A311" s="38" t="s">
        <v>1191</v>
      </c>
      <c r="B311" s="39" t="s">
        <v>1192</v>
      </c>
      <c r="C311" s="40" t="s">
        <v>4912</v>
      </c>
      <c r="D311" s="42" t="s">
        <v>1194</v>
      </c>
      <c r="E311" s="51"/>
      <c r="F311" s="51"/>
      <c r="G311" s="51"/>
      <c r="H311" s="44"/>
      <c r="I311" s="44"/>
      <c r="J311" s="44"/>
      <c r="K311" s="44"/>
      <c r="L311" s="44"/>
      <c r="M311" s="44" t="str">
        <f t="shared" si="1"/>
        <v>#DIV/0!</v>
      </c>
      <c r="N311" s="44" t="str">
        <f t="shared" si="2"/>
        <v>#DIV/0!</v>
      </c>
      <c r="O311" s="44" t="str">
        <f t="shared" si="4"/>
        <v/>
      </c>
      <c r="P311" s="44" t="str">
        <f t="shared" si="3"/>
        <v>#DIV/0!</v>
      </c>
      <c r="Q311" s="44"/>
    </row>
    <row r="312">
      <c r="A312" s="38" t="s">
        <v>1195</v>
      </c>
      <c r="B312" s="39" t="s">
        <v>1196</v>
      </c>
      <c r="C312" s="40" t="s">
        <v>1197</v>
      </c>
      <c r="D312" s="41" t="s">
        <v>896</v>
      </c>
      <c r="E312" s="51"/>
      <c r="F312" s="51"/>
      <c r="G312" s="51"/>
      <c r="H312" s="44"/>
      <c r="I312" s="44"/>
      <c r="J312" s="44"/>
      <c r="K312" s="44"/>
      <c r="L312" s="44"/>
      <c r="M312" s="44" t="str">
        <f t="shared" si="1"/>
        <v>#DIV/0!</v>
      </c>
      <c r="N312" s="44" t="str">
        <f t="shared" si="2"/>
        <v>#DIV/0!</v>
      </c>
      <c r="O312" s="44" t="str">
        <f t="shared" si="4"/>
        <v/>
      </c>
      <c r="P312" s="44" t="str">
        <f t="shared" si="3"/>
        <v>#DIV/0!</v>
      </c>
      <c r="Q312" s="44"/>
    </row>
    <row r="313">
      <c r="A313" s="38" t="s">
        <v>1198</v>
      </c>
      <c r="B313" s="39" t="s">
        <v>1199</v>
      </c>
      <c r="C313" s="40" t="s">
        <v>1200</v>
      </c>
      <c r="D313" s="42" t="s">
        <v>1201</v>
      </c>
      <c r="E313" s="51"/>
      <c r="F313" s="51"/>
      <c r="G313" s="51"/>
      <c r="H313" s="44"/>
      <c r="I313" s="44"/>
      <c r="J313" s="44"/>
      <c r="K313" s="44"/>
      <c r="L313" s="44"/>
      <c r="M313" s="44" t="str">
        <f t="shared" si="1"/>
        <v>#DIV/0!</v>
      </c>
      <c r="N313" s="44" t="str">
        <f t="shared" si="2"/>
        <v>#DIV/0!</v>
      </c>
      <c r="O313" s="44" t="str">
        <f t="shared" si="4"/>
        <v/>
      </c>
      <c r="P313" s="44" t="str">
        <f t="shared" si="3"/>
        <v>#DIV/0!</v>
      </c>
      <c r="Q313" s="44"/>
    </row>
    <row r="314">
      <c r="A314" s="38" t="s">
        <v>1202</v>
      </c>
      <c r="B314" s="39" t="s">
        <v>1203</v>
      </c>
      <c r="C314" s="40" t="s">
        <v>1204</v>
      </c>
      <c r="D314" s="41" t="s">
        <v>1205</v>
      </c>
      <c r="E314" s="51"/>
      <c r="F314" s="51"/>
      <c r="G314" s="51"/>
      <c r="H314" s="44"/>
      <c r="I314" s="44"/>
      <c r="J314" s="44"/>
      <c r="K314" s="44"/>
      <c r="L314" s="44"/>
      <c r="M314" s="44" t="str">
        <f t="shared" si="1"/>
        <v>#DIV/0!</v>
      </c>
      <c r="N314" s="44" t="str">
        <f t="shared" si="2"/>
        <v>#DIV/0!</v>
      </c>
      <c r="O314" s="44" t="str">
        <f t="shared" si="4"/>
        <v/>
      </c>
      <c r="P314" s="44" t="str">
        <f t="shared" si="3"/>
        <v>#DIV/0!</v>
      </c>
      <c r="Q314" s="44"/>
    </row>
    <row r="315">
      <c r="A315" s="38" t="s">
        <v>1206</v>
      </c>
      <c r="B315" s="39" t="s">
        <v>1207</v>
      </c>
      <c r="C315" s="40" t="s">
        <v>895</v>
      </c>
      <c r="D315" s="41" t="s">
        <v>896</v>
      </c>
      <c r="E315" s="51"/>
      <c r="F315" s="51"/>
      <c r="G315" s="51"/>
      <c r="H315" s="44"/>
      <c r="I315" s="44"/>
      <c r="J315" s="44"/>
      <c r="K315" s="44"/>
      <c r="L315" s="44"/>
      <c r="M315" s="44" t="str">
        <f t="shared" si="1"/>
        <v>#DIV/0!</v>
      </c>
      <c r="N315" s="44" t="str">
        <f t="shared" si="2"/>
        <v>#DIV/0!</v>
      </c>
      <c r="O315" s="44" t="str">
        <f t="shared" si="4"/>
        <v/>
      </c>
      <c r="P315" s="44" t="str">
        <f t="shared" si="3"/>
        <v>#DIV/0!</v>
      </c>
      <c r="Q315" s="44"/>
    </row>
    <row r="316">
      <c r="A316" s="38" t="s">
        <v>1208</v>
      </c>
      <c r="B316" s="39" t="s">
        <v>1209</v>
      </c>
      <c r="C316" s="40" t="s">
        <v>4913</v>
      </c>
      <c r="D316" s="42" t="s">
        <v>1211</v>
      </c>
      <c r="E316" s="51"/>
      <c r="F316" s="51"/>
      <c r="G316" s="51"/>
      <c r="H316" s="44"/>
      <c r="I316" s="44"/>
      <c r="J316" s="44"/>
      <c r="K316" s="44"/>
      <c r="L316" s="44"/>
      <c r="M316" s="44" t="str">
        <f t="shared" si="1"/>
        <v>#DIV/0!</v>
      </c>
      <c r="N316" s="44" t="str">
        <f t="shared" si="2"/>
        <v>#DIV/0!</v>
      </c>
      <c r="O316" s="44" t="str">
        <f t="shared" si="4"/>
        <v/>
      </c>
      <c r="P316" s="44" t="str">
        <f t="shared" si="3"/>
        <v>#DIV/0!</v>
      </c>
      <c r="Q316" s="44"/>
    </row>
    <row r="317">
      <c r="A317" s="38" t="s">
        <v>1212</v>
      </c>
      <c r="B317" s="39" t="s">
        <v>1213</v>
      </c>
      <c r="C317" s="40" t="s">
        <v>1214</v>
      </c>
      <c r="D317" s="41" t="s">
        <v>1215</v>
      </c>
      <c r="E317" s="51"/>
      <c r="F317" s="51"/>
      <c r="G317" s="51"/>
      <c r="H317" s="44"/>
      <c r="I317" s="44"/>
      <c r="J317" s="44"/>
      <c r="K317" s="44"/>
      <c r="L317" s="44"/>
      <c r="M317" s="44" t="str">
        <f t="shared" si="1"/>
        <v>#DIV/0!</v>
      </c>
      <c r="N317" s="44" t="str">
        <f t="shared" si="2"/>
        <v>#DIV/0!</v>
      </c>
      <c r="O317" s="44" t="str">
        <f t="shared" si="4"/>
        <v/>
      </c>
      <c r="P317" s="44" t="str">
        <f t="shared" si="3"/>
        <v>#DIV/0!</v>
      </c>
      <c r="Q317" s="44"/>
    </row>
    <row r="318">
      <c r="A318" s="38" t="s">
        <v>1216</v>
      </c>
      <c r="B318" s="39" t="s">
        <v>1217</v>
      </c>
      <c r="C318" s="40" t="s">
        <v>1174</v>
      </c>
      <c r="D318" s="41" t="s">
        <v>844</v>
      </c>
      <c r="E318" s="51"/>
      <c r="F318" s="51"/>
      <c r="G318" s="51"/>
      <c r="H318" s="44"/>
      <c r="I318" s="44"/>
      <c r="J318" s="44"/>
      <c r="K318" s="44"/>
      <c r="L318" s="44"/>
      <c r="M318" s="44" t="str">
        <f t="shared" si="1"/>
        <v>#DIV/0!</v>
      </c>
      <c r="N318" s="44" t="str">
        <f t="shared" si="2"/>
        <v>#DIV/0!</v>
      </c>
      <c r="O318" s="44" t="str">
        <f t="shared" si="4"/>
        <v/>
      </c>
      <c r="P318" s="44" t="str">
        <f t="shared" si="3"/>
        <v>#DIV/0!</v>
      </c>
      <c r="Q318" s="44"/>
    </row>
    <row r="319">
      <c r="A319" s="38" t="s">
        <v>1218</v>
      </c>
      <c r="B319" s="39" t="s">
        <v>1219</v>
      </c>
      <c r="C319" s="40" t="s">
        <v>1220</v>
      </c>
      <c r="D319" s="42" t="s">
        <v>4914</v>
      </c>
      <c r="E319" s="51"/>
      <c r="F319" s="51"/>
      <c r="G319" s="51"/>
      <c r="H319" s="44"/>
      <c r="I319" s="44"/>
      <c r="J319" s="44"/>
      <c r="K319" s="44"/>
      <c r="L319" s="44"/>
      <c r="M319" s="44" t="str">
        <f t="shared" si="1"/>
        <v>#DIV/0!</v>
      </c>
      <c r="N319" s="44" t="str">
        <f t="shared" si="2"/>
        <v>#DIV/0!</v>
      </c>
      <c r="O319" s="44" t="str">
        <f t="shared" si="4"/>
        <v/>
      </c>
      <c r="P319" s="44" t="str">
        <f t="shared" si="3"/>
        <v>#DIV/0!</v>
      </c>
      <c r="Q319" s="44"/>
    </row>
    <row r="320">
      <c r="A320" s="38" t="s">
        <v>1222</v>
      </c>
      <c r="B320" s="39" t="s">
        <v>1223</v>
      </c>
      <c r="C320" s="40" t="s">
        <v>268</v>
      </c>
      <c r="D320" s="41" t="s">
        <v>137</v>
      </c>
      <c r="E320" s="51"/>
      <c r="F320" s="51"/>
      <c r="G320" s="51"/>
      <c r="H320" s="44"/>
      <c r="I320" s="44"/>
      <c r="J320" s="44"/>
      <c r="K320" s="44"/>
      <c r="L320" s="44"/>
      <c r="M320" s="44" t="str">
        <f t="shared" si="1"/>
        <v>#DIV/0!</v>
      </c>
      <c r="N320" s="44" t="str">
        <f t="shared" si="2"/>
        <v>#DIV/0!</v>
      </c>
      <c r="O320" s="44" t="str">
        <f t="shared" si="4"/>
        <v/>
      </c>
      <c r="P320" s="44" t="str">
        <f t="shared" si="3"/>
        <v>#DIV/0!</v>
      </c>
      <c r="Q320" s="44"/>
    </row>
    <row r="321">
      <c r="A321" s="38" t="s">
        <v>1224</v>
      </c>
      <c r="B321" s="39" t="s">
        <v>1225</v>
      </c>
      <c r="C321" s="40" t="s">
        <v>1226</v>
      </c>
      <c r="D321" s="41" t="s">
        <v>1227</v>
      </c>
      <c r="E321" s="51"/>
      <c r="F321" s="51"/>
      <c r="G321" s="51"/>
      <c r="H321" s="44"/>
      <c r="I321" s="44"/>
      <c r="J321" s="44"/>
      <c r="K321" s="44"/>
      <c r="L321" s="44"/>
      <c r="M321" s="44" t="str">
        <f t="shared" si="1"/>
        <v>#DIV/0!</v>
      </c>
      <c r="N321" s="44" t="str">
        <f t="shared" si="2"/>
        <v>#DIV/0!</v>
      </c>
      <c r="O321" s="44" t="str">
        <f t="shared" si="4"/>
        <v/>
      </c>
      <c r="P321" s="44" t="str">
        <f t="shared" si="3"/>
        <v>#DIV/0!</v>
      </c>
      <c r="Q321" s="44"/>
    </row>
    <row r="322">
      <c r="A322" s="38" t="s">
        <v>1228</v>
      </c>
      <c r="B322" s="39" t="s">
        <v>1229</v>
      </c>
      <c r="C322" s="40" t="s">
        <v>4915</v>
      </c>
      <c r="D322" s="41" t="s">
        <v>1231</v>
      </c>
      <c r="E322" s="51"/>
      <c r="F322" s="51"/>
      <c r="G322" s="51"/>
      <c r="H322" s="44"/>
      <c r="I322" s="44"/>
      <c r="J322" s="44"/>
      <c r="K322" s="44"/>
      <c r="L322" s="44"/>
      <c r="M322" s="44" t="str">
        <f t="shared" si="1"/>
        <v>#DIV/0!</v>
      </c>
      <c r="N322" s="44" t="str">
        <f t="shared" si="2"/>
        <v>#DIV/0!</v>
      </c>
      <c r="O322" s="44" t="str">
        <f t="shared" si="4"/>
        <v/>
      </c>
      <c r="P322" s="44" t="str">
        <f t="shared" si="3"/>
        <v>#DIV/0!</v>
      </c>
      <c r="Q322" s="44"/>
    </row>
    <row r="323">
      <c r="A323" s="38" t="s">
        <v>1232</v>
      </c>
      <c r="B323" s="39" t="s">
        <v>1233</v>
      </c>
      <c r="C323" s="40" t="s">
        <v>1234</v>
      </c>
      <c r="D323" s="41" t="s">
        <v>1235</v>
      </c>
      <c r="E323" s="51"/>
      <c r="F323" s="51"/>
      <c r="G323" s="51"/>
      <c r="H323" s="44"/>
      <c r="I323" s="44"/>
      <c r="J323" s="44"/>
      <c r="K323" s="44"/>
      <c r="L323" s="44"/>
      <c r="M323" s="44" t="str">
        <f t="shared" si="1"/>
        <v>#DIV/0!</v>
      </c>
      <c r="N323" s="44" t="str">
        <f t="shared" si="2"/>
        <v>#DIV/0!</v>
      </c>
      <c r="O323" s="44" t="str">
        <f t="shared" si="4"/>
        <v/>
      </c>
      <c r="P323" s="44" t="str">
        <f t="shared" si="3"/>
        <v>#DIV/0!</v>
      </c>
      <c r="Q323" s="44"/>
    </row>
    <row r="324">
      <c r="A324" s="38" t="s">
        <v>1236</v>
      </c>
      <c r="B324" s="39" t="s">
        <v>1237</v>
      </c>
      <c r="C324" s="40" t="s">
        <v>4916</v>
      </c>
      <c r="D324" s="42" t="s">
        <v>4917</v>
      </c>
      <c r="E324" s="51"/>
      <c r="F324" s="51"/>
      <c r="G324" s="51"/>
      <c r="H324" s="44"/>
      <c r="I324" s="44"/>
      <c r="J324" s="44"/>
      <c r="K324" s="44"/>
      <c r="L324" s="44"/>
      <c r="M324" s="44" t="str">
        <f t="shared" si="1"/>
        <v>#DIV/0!</v>
      </c>
      <c r="N324" s="44" t="str">
        <f t="shared" si="2"/>
        <v>#DIV/0!</v>
      </c>
      <c r="O324" s="44" t="str">
        <f t="shared" si="4"/>
        <v/>
      </c>
      <c r="P324" s="44" t="str">
        <f t="shared" si="3"/>
        <v>#DIV/0!</v>
      </c>
      <c r="Q324" s="44"/>
    </row>
    <row r="325">
      <c r="A325" s="38" t="s">
        <v>1240</v>
      </c>
      <c r="B325" s="39" t="s">
        <v>1241</v>
      </c>
      <c r="C325" s="40" t="s">
        <v>4918</v>
      </c>
      <c r="D325" s="42" t="s">
        <v>4919</v>
      </c>
      <c r="E325" s="51"/>
      <c r="F325" s="51"/>
      <c r="G325" s="51"/>
      <c r="H325" s="44"/>
      <c r="I325" s="44"/>
      <c r="J325" s="44"/>
      <c r="K325" s="44"/>
      <c r="L325" s="44"/>
      <c r="M325" s="44" t="str">
        <f t="shared" si="1"/>
        <v>#DIV/0!</v>
      </c>
      <c r="N325" s="44" t="str">
        <f t="shared" si="2"/>
        <v>#DIV/0!</v>
      </c>
      <c r="O325" s="44" t="str">
        <f t="shared" si="4"/>
        <v/>
      </c>
      <c r="P325" s="44" t="str">
        <f t="shared" si="3"/>
        <v>#DIV/0!</v>
      </c>
      <c r="Q325" s="44"/>
    </row>
    <row r="326">
      <c r="A326" s="38" t="s">
        <v>1244</v>
      </c>
      <c r="B326" s="39" t="s">
        <v>1245</v>
      </c>
      <c r="C326" s="40" t="s">
        <v>4920</v>
      </c>
      <c r="D326" s="42" t="s">
        <v>4921</v>
      </c>
      <c r="E326" s="51"/>
      <c r="F326" s="51"/>
      <c r="G326" s="51"/>
      <c r="H326" s="44"/>
      <c r="I326" s="44"/>
      <c r="J326" s="44"/>
      <c r="K326" s="44"/>
      <c r="L326" s="44"/>
      <c r="M326" s="44" t="str">
        <f t="shared" si="1"/>
        <v>#DIV/0!</v>
      </c>
      <c r="N326" s="44" t="str">
        <f t="shared" si="2"/>
        <v>#DIV/0!</v>
      </c>
      <c r="O326" s="44" t="str">
        <f t="shared" si="4"/>
        <v/>
      </c>
      <c r="P326" s="44" t="str">
        <f t="shared" si="3"/>
        <v>#DIV/0!</v>
      </c>
      <c r="Q326" s="44"/>
    </row>
    <row r="327">
      <c r="A327" s="38" t="s">
        <v>1248</v>
      </c>
      <c r="B327" s="39" t="s">
        <v>1249</v>
      </c>
      <c r="C327" s="40" t="s">
        <v>1250</v>
      </c>
      <c r="D327" s="41" t="s">
        <v>1251</v>
      </c>
      <c r="E327" s="51"/>
      <c r="F327" s="51"/>
      <c r="G327" s="51"/>
      <c r="H327" s="44"/>
      <c r="I327" s="44"/>
      <c r="J327" s="44"/>
      <c r="K327" s="44"/>
      <c r="L327" s="44"/>
      <c r="M327" s="44" t="str">
        <f t="shared" si="1"/>
        <v>#DIV/0!</v>
      </c>
      <c r="N327" s="44" t="str">
        <f t="shared" si="2"/>
        <v>#DIV/0!</v>
      </c>
      <c r="O327" s="44" t="str">
        <f t="shared" si="4"/>
        <v/>
      </c>
      <c r="P327" s="44" t="str">
        <f t="shared" si="3"/>
        <v>#DIV/0!</v>
      </c>
      <c r="Q327" s="44"/>
    </row>
    <row r="328">
      <c r="A328" s="38" t="s">
        <v>1252</v>
      </c>
      <c r="B328" s="39" t="s">
        <v>1253</v>
      </c>
      <c r="C328" s="40" t="s">
        <v>1254</v>
      </c>
      <c r="D328" s="41" t="s">
        <v>1255</v>
      </c>
      <c r="E328" s="51"/>
      <c r="F328" s="51"/>
      <c r="G328" s="51"/>
      <c r="H328" s="44"/>
      <c r="I328" s="44"/>
      <c r="J328" s="44"/>
      <c r="K328" s="44"/>
      <c r="L328" s="44"/>
      <c r="M328" s="44" t="str">
        <f t="shared" si="1"/>
        <v>#DIV/0!</v>
      </c>
      <c r="N328" s="44" t="str">
        <f t="shared" si="2"/>
        <v>#DIV/0!</v>
      </c>
      <c r="O328" s="44" t="str">
        <f t="shared" si="4"/>
        <v/>
      </c>
      <c r="P328" s="44" t="str">
        <f t="shared" si="3"/>
        <v>#DIV/0!</v>
      </c>
      <c r="Q328" s="44"/>
    </row>
    <row r="329">
      <c r="A329" s="38" t="s">
        <v>1256</v>
      </c>
      <c r="B329" s="39" t="s">
        <v>1257</v>
      </c>
      <c r="C329" s="40" t="s">
        <v>1258</v>
      </c>
      <c r="D329" s="41" t="s">
        <v>1259</v>
      </c>
      <c r="E329" s="51"/>
      <c r="F329" s="51"/>
      <c r="G329" s="51"/>
      <c r="H329" s="44"/>
      <c r="I329" s="44"/>
      <c r="J329" s="44"/>
      <c r="K329" s="44"/>
      <c r="L329" s="44"/>
      <c r="M329" s="44" t="str">
        <f t="shared" si="1"/>
        <v>#DIV/0!</v>
      </c>
      <c r="N329" s="44" t="str">
        <f t="shared" si="2"/>
        <v>#DIV/0!</v>
      </c>
      <c r="O329" s="44" t="str">
        <f t="shared" si="4"/>
        <v/>
      </c>
      <c r="P329" s="44" t="str">
        <f t="shared" si="3"/>
        <v>#DIV/0!</v>
      </c>
      <c r="Q329" s="44"/>
    </row>
    <row r="330">
      <c r="A330" s="38" t="s">
        <v>1260</v>
      </c>
      <c r="B330" s="39" t="s">
        <v>1261</v>
      </c>
      <c r="C330" s="40" t="s">
        <v>1262</v>
      </c>
      <c r="D330" s="41" t="s">
        <v>1263</v>
      </c>
      <c r="E330" s="51"/>
      <c r="F330" s="51"/>
      <c r="G330" s="51"/>
      <c r="H330" s="44"/>
      <c r="I330" s="44"/>
      <c r="J330" s="44"/>
      <c r="K330" s="44"/>
      <c r="L330" s="44"/>
      <c r="M330" s="44" t="str">
        <f t="shared" si="1"/>
        <v>#DIV/0!</v>
      </c>
      <c r="N330" s="44" t="str">
        <f t="shared" si="2"/>
        <v>#DIV/0!</v>
      </c>
      <c r="O330" s="44" t="str">
        <f t="shared" si="4"/>
        <v/>
      </c>
      <c r="P330" s="44" t="str">
        <f t="shared" si="3"/>
        <v>#DIV/0!</v>
      </c>
      <c r="Q330" s="44"/>
    </row>
    <row r="331">
      <c r="A331" s="38" t="s">
        <v>1264</v>
      </c>
      <c r="B331" s="39" t="s">
        <v>1265</v>
      </c>
      <c r="C331" s="40" t="s">
        <v>1266</v>
      </c>
      <c r="D331" s="41" t="s">
        <v>1267</v>
      </c>
      <c r="E331" s="51"/>
      <c r="F331" s="51"/>
      <c r="G331" s="51"/>
      <c r="H331" s="44"/>
      <c r="I331" s="44"/>
      <c r="J331" s="44"/>
      <c r="K331" s="44"/>
      <c r="L331" s="44"/>
      <c r="M331" s="44" t="str">
        <f t="shared" si="1"/>
        <v>#DIV/0!</v>
      </c>
      <c r="N331" s="44" t="str">
        <f t="shared" si="2"/>
        <v>#DIV/0!</v>
      </c>
      <c r="O331" s="44" t="str">
        <f t="shared" si="4"/>
        <v/>
      </c>
      <c r="P331" s="44" t="str">
        <f t="shared" si="3"/>
        <v>#DIV/0!</v>
      </c>
      <c r="Q331" s="44"/>
    </row>
    <row r="332">
      <c r="A332" s="38" t="s">
        <v>1268</v>
      </c>
      <c r="B332" s="39" t="s">
        <v>1269</v>
      </c>
      <c r="C332" s="40" t="s">
        <v>2078</v>
      </c>
      <c r="D332" s="41" t="s">
        <v>1271</v>
      </c>
      <c r="E332" s="51"/>
      <c r="F332" s="51"/>
      <c r="G332" s="51"/>
      <c r="H332" s="44"/>
      <c r="I332" s="44"/>
      <c r="J332" s="44"/>
      <c r="K332" s="44"/>
      <c r="L332" s="44"/>
      <c r="M332" s="44" t="str">
        <f t="shared" si="1"/>
        <v>#DIV/0!</v>
      </c>
      <c r="N332" s="44" t="str">
        <f t="shared" si="2"/>
        <v>#DIV/0!</v>
      </c>
      <c r="O332" s="44" t="str">
        <f t="shared" si="4"/>
        <v/>
      </c>
      <c r="P332" s="44" t="str">
        <f t="shared" si="3"/>
        <v>#DIV/0!</v>
      </c>
      <c r="Q332" s="44"/>
    </row>
    <row r="333">
      <c r="A333" s="38" t="s">
        <v>1272</v>
      </c>
      <c r="B333" s="39" t="s">
        <v>1273</v>
      </c>
      <c r="C333" s="40" t="s">
        <v>4922</v>
      </c>
      <c r="D333" s="42" t="s">
        <v>4923</v>
      </c>
      <c r="E333" s="51"/>
      <c r="F333" s="51"/>
      <c r="G333" s="51"/>
      <c r="H333" s="44"/>
      <c r="I333" s="44"/>
      <c r="J333" s="44"/>
      <c r="K333" s="44"/>
      <c r="L333" s="44"/>
      <c r="M333" s="44" t="str">
        <f t="shared" si="1"/>
        <v>#DIV/0!</v>
      </c>
      <c r="N333" s="44" t="str">
        <f t="shared" si="2"/>
        <v>#DIV/0!</v>
      </c>
      <c r="O333" s="44" t="str">
        <f t="shared" si="4"/>
        <v/>
      </c>
      <c r="P333" s="44" t="str">
        <f t="shared" si="3"/>
        <v>#DIV/0!</v>
      </c>
      <c r="Q333" s="44"/>
    </row>
    <row r="334">
      <c r="A334" s="38" t="s">
        <v>1276</v>
      </c>
      <c r="B334" s="39" t="s">
        <v>1277</v>
      </c>
      <c r="C334" s="40" t="s">
        <v>4924</v>
      </c>
      <c r="D334" s="42" t="s">
        <v>4925</v>
      </c>
      <c r="E334" s="51"/>
      <c r="F334" s="51"/>
      <c r="G334" s="51"/>
      <c r="H334" s="44"/>
      <c r="I334" s="44"/>
      <c r="J334" s="44"/>
      <c r="K334" s="44"/>
      <c r="L334" s="44"/>
      <c r="M334" s="44" t="str">
        <f t="shared" si="1"/>
        <v>#DIV/0!</v>
      </c>
      <c r="N334" s="44" t="str">
        <f t="shared" si="2"/>
        <v>#DIV/0!</v>
      </c>
      <c r="O334" s="44" t="str">
        <f t="shared" si="4"/>
        <v/>
      </c>
      <c r="P334" s="44" t="str">
        <f t="shared" si="3"/>
        <v>#DIV/0!</v>
      </c>
      <c r="Q334" s="44"/>
    </row>
    <row r="335">
      <c r="A335" s="38" t="s">
        <v>1280</v>
      </c>
      <c r="B335" s="39" t="s">
        <v>1281</v>
      </c>
      <c r="C335" s="40" t="s">
        <v>1367</v>
      </c>
      <c r="D335" s="41" t="s">
        <v>137</v>
      </c>
      <c r="E335" s="51"/>
      <c r="F335" s="51"/>
      <c r="G335" s="51"/>
      <c r="H335" s="44"/>
      <c r="I335" s="44"/>
      <c r="J335" s="44"/>
      <c r="K335" s="44"/>
      <c r="L335" s="44"/>
      <c r="M335" s="44" t="str">
        <f t="shared" si="1"/>
        <v>#DIV/0!</v>
      </c>
      <c r="N335" s="44" t="str">
        <f t="shared" si="2"/>
        <v>#DIV/0!</v>
      </c>
      <c r="O335" s="44" t="str">
        <f t="shared" si="4"/>
        <v/>
      </c>
      <c r="P335" s="44" t="str">
        <f t="shared" si="3"/>
        <v>#DIV/0!</v>
      </c>
      <c r="Q335" s="44"/>
    </row>
    <row r="336">
      <c r="A336" s="38" t="s">
        <v>1284</v>
      </c>
      <c r="B336" s="39" t="s">
        <v>1285</v>
      </c>
      <c r="C336" s="40" t="s">
        <v>1286</v>
      </c>
      <c r="D336" s="42" t="s">
        <v>4926</v>
      </c>
      <c r="E336" s="51"/>
      <c r="F336" s="51"/>
      <c r="G336" s="51"/>
      <c r="H336" s="44"/>
      <c r="I336" s="44"/>
      <c r="J336" s="44"/>
      <c r="K336" s="44"/>
      <c r="L336" s="44"/>
      <c r="M336" s="44" t="str">
        <f t="shared" si="1"/>
        <v>#DIV/0!</v>
      </c>
      <c r="N336" s="44" t="str">
        <f t="shared" si="2"/>
        <v>#DIV/0!</v>
      </c>
      <c r="O336" s="44" t="str">
        <f t="shared" si="4"/>
        <v/>
      </c>
      <c r="P336" s="44" t="str">
        <f t="shared" si="3"/>
        <v>#DIV/0!</v>
      </c>
      <c r="Q336" s="44"/>
    </row>
    <row r="337">
      <c r="A337" s="38" t="s">
        <v>1288</v>
      </c>
      <c r="B337" s="39" t="s">
        <v>1289</v>
      </c>
      <c r="C337" s="40" t="s">
        <v>172</v>
      </c>
      <c r="D337" s="41" t="s">
        <v>173</v>
      </c>
      <c r="E337" s="51"/>
      <c r="F337" s="51"/>
      <c r="G337" s="51"/>
      <c r="H337" s="44"/>
      <c r="I337" s="44"/>
      <c r="J337" s="44"/>
      <c r="K337" s="44"/>
      <c r="L337" s="44"/>
      <c r="M337" s="44" t="str">
        <f t="shared" si="1"/>
        <v>#DIV/0!</v>
      </c>
      <c r="N337" s="44" t="str">
        <f t="shared" si="2"/>
        <v>#DIV/0!</v>
      </c>
      <c r="O337" s="44" t="str">
        <f t="shared" si="4"/>
        <v/>
      </c>
      <c r="P337" s="44" t="str">
        <f t="shared" si="3"/>
        <v>#DIV/0!</v>
      </c>
      <c r="Q337" s="44"/>
    </row>
    <row r="338">
      <c r="A338" s="38" t="s">
        <v>1290</v>
      </c>
      <c r="B338" s="39" t="s">
        <v>1291</v>
      </c>
      <c r="C338" s="40" t="s">
        <v>4927</v>
      </c>
      <c r="D338" s="42" t="s">
        <v>4928</v>
      </c>
      <c r="E338" s="51"/>
      <c r="F338" s="51"/>
      <c r="G338" s="51"/>
      <c r="H338" s="44"/>
      <c r="I338" s="44"/>
      <c r="J338" s="44"/>
      <c r="K338" s="44"/>
      <c r="L338" s="44"/>
      <c r="M338" s="44" t="str">
        <f t="shared" si="1"/>
        <v>#DIV/0!</v>
      </c>
      <c r="N338" s="44" t="str">
        <f t="shared" si="2"/>
        <v>#DIV/0!</v>
      </c>
      <c r="O338" s="44" t="str">
        <f t="shared" si="4"/>
        <v/>
      </c>
      <c r="P338" s="44" t="str">
        <f t="shared" si="3"/>
        <v>#DIV/0!</v>
      </c>
      <c r="Q338" s="44"/>
    </row>
    <row r="339">
      <c r="A339" s="38" t="s">
        <v>1294</v>
      </c>
      <c r="B339" s="39" t="s">
        <v>1295</v>
      </c>
      <c r="C339" s="40" t="s">
        <v>1296</v>
      </c>
      <c r="D339" s="42" t="s">
        <v>4929</v>
      </c>
      <c r="E339" s="51"/>
      <c r="F339" s="51"/>
      <c r="G339" s="51"/>
      <c r="H339" s="44"/>
      <c r="I339" s="44"/>
      <c r="J339" s="44"/>
      <c r="K339" s="44"/>
      <c r="L339" s="44"/>
      <c r="M339" s="44" t="str">
        <f t="shared" si="1"/>
        <v>#DIV/0!</v>
      </c>
      <c r="N339" s="44" t="str">
        <f t="shared" si="2"/>
        <v>#DIV/0!</v>
      </c>
      <c r="O339" s="44" t="str">
        <f t="shared" si="4"/>
        <v/>
      </c>
      <c r="P339" s="44" t="str">
        <f t="shared" si="3"/>
        <v>#DIV/0!</v>
      </c>
      <c r="Q339" s="44"/>
    </row>
    <row r="340">
      <c r="A340" s="38" t="s">
        <v>1298</v>
      </c>
      <c r="B340" s="39" t="s">
        <v>1299</v>
      </c>
      <c r="C340" s="40" t="s">
        <v>4930</v>
      </c>
      <c r="D340" s="42" t="s">
        <v>4931</v>
      </c>
      <c r="E340" s="51"/>
      <c r="F340" s="51"/>
      <c r="G340" s="51"/>
      <c r="H340" s="44"/>
      <c r="I340" s="44"/>
      <c r="J340" s="44"/>
      <c r="K340" s="44"/>
      <c r="L340" s="44"/>
      <c r="M340" s="44" t="str">
        <f t="shared" si="1"/>
        <v>#DIV/0!</v>
      </c>
      <c r="N340" s="44" t="str">
        <f t="shared" si="2"/>
        <v>#DIV/0!</v>
      </c>
      <c r="O340" s="44" t="str">
        <f t="shared" si="4"/>
        <v/>
      </c>
      <c r="P340" s="44" t="str">
        <f t="shared" si="3"/>
        <v>#DIV/0!</v>
      </c>
      <c r="Q340" s="44"/>
    </row>
    <row r="341">
      <c r="A341" s="38" t="s">
        <v>1302</v>
      </c>
      <c r="B341" s="39" t="s">
        <v>1303</v>
      </c>
      <c r="C341" s="40" t="s">
        <v>1304</v>
      </c>
      <c r="D341" s="42" t="s">
        <v>1305</v>
      </c>
      <c r="E341" s="51"/>
      <c r="F341" s="51"/>
      <c r="G341" s="51"/>
      <c r="H341" s="44"/>
      <c r="I341" s="44"/>
      <c r="J341" s="44"/>
      <c r="K341" s="44"/>
      <c r="L341" s="44"/>
      <c r="M341" s="44" t="str">
        <f t="shared" si="1"/>
        <v>#DIV/0!</v>
      </c>
      <c r="N341" s="44" t="str">
        <f t="shared" si="2"/>
        <v>#DIV/0!</v>
      </c>
      <c r="O341" s="44" t="str">
        <f t="shared" si="4"/>
        <v/>
      </c>
      <c r="P341" s="44" t="str">
        <f t="shared" si="3"/>
        <v>#DIV/0!</v>
      </c>
      <c r="Q341" s="44"/>
    </row>
    <row r="342">
      <c r="A342" s="38" t="s">
        <v>1306</v>
      </c>
      <c r="B342" s="39" t="s">
        <v>1307</v>
      </c>
      <c r="C342" s="40" t="s">
        <v>577</v>
      </c>
      <c r="D342" s="41" t="s">
        <v>296</v>
      </c>
      <c r="E342" s="51"/>
      <c r="F342" s="51"/>
      <c r="G342" s="51"/>
      <c r="H342" s="44"/>
      <c r="I342" s="44"/>
      <c r="J342" s="44"/>
      <c r="K342" s="44"/>
      <c r="L342" s="44"/>
      <c r="M342" s="44" t="str">
        <f t="shared" si="1"/>
        <v>#DIV/0!</v>
      </c>
      <c r="N342" s="44" t="str">
        <f t="shared" si="2"/>
        <v>#DIV/0!</v>
      </c>
      <c r="O342" s="44" t="str">
        <f t="shared" si="4"/>
        <v/>
      </c>
      <c r="P342" s="44" t="str">
        <f t="shared" si="3"/>
        <v>#DIV/0!</v>
      </c>
      <c r="Q342" s="44"/>
    </row>
    <row r="343">
      <c r="A343" s="38" t="s">
        <v>1309</v>
      </c>
      <c r="B343" s="39" t="s">
        <v>1310</v>
      </c>
      <c r="C343" s="40" t="s">
        <v>4932</v>
      </c>
      <c r="D343" s="42" t="s">
        <v>4933</v>
      </c>
      <c r="E343" s="51"/>
      <c r="F343" s="51"/>
      <c r="G343" s="51"/>
      <c r="H343" s="44"/>
      <c r="I343" s="44"/>
      <c r="J343" s="44"/>
      <c r="K343" s="44"/>
      <c r="L343" s="44"/>
      <c r="M343" s="44" t="str">
        <f t="shared" si="1"/>
        <v>#DIV/0!</v>
      </c>
      <c r="N343" s="44" t="str">
        <f t="shared" si="2"/>
        <v>#DIV/0!</v>
      </c>
      <c r="O343" s="44" t="str">
        <f t="shared" si="4"/>
        <v/>
      </c>
      <c r="P343" s="44" t="str">
        <f t="shared" si="3"/>
        <v>#DIV/0!</v>
      </c>
      <c r="Q343" s="44"/>
    </row>
    <row r="344">
      <c r="A344" s="38" t="s">
        <v>1312</v>
      </c>
      <c r="B344" s="39" t="s">
        <v>1313</v>
      </c>
      <c r="C344" s="40" t="s">
        <v>4934</v>
      </c>
      <c r="D344" s="41" t="s">
        <v>1315</v>
      </c>
      <c r="E344" s="51"/>
      <c r="F344" s="51"/>
      <c r="G344" s="51"/>
      <c r="H344" s="44"/>
      <c r="I344" s="44"/>
      <c r="J344" s="44"/>
      <c r="K344" s="44"/>
      <c r="L344" s="44"/>
      <c r="M344" s="44" t="str">
        <f t="shared" si="1"/>
        <v>#DIV/0!</v>
      </c>
      <c r="N344" s="44" t="str">
        <f t="shared" si="2"/>
        <v>#DIV/0!</v>
      </c>
      <c r="O344" s="44" t="str">
        <f t="shared" si="4"/>
        <v/>
      </c>
      <c r="P344" s="44" t="str">
        <f t="shared" si="3"/>
        <v>#DIV/0!</v>
      </c>
      <c r="Q344" s="44"/>
    </row>
    <row r="345">
      <c r="A345" s="38" t="s">
        <v>1316</v>
      </c>
      <c r="B345" s="39" t="s">
        <v>1317</v>
      </c>
      <c r="C345" s="40" t="s">
        <v>4935</v>
      </c>
      <c r="D345" s="42" t="s">
        <v>4936</v>
      </c>
      <c r="E345" s="51"/>
      <c r="F345" s="51"/>
      <c r="G345" s="51"/>
      <c r="H345" s="44"/>
      <c r="I345" s="44"/>
      <c r="J345" s="44"/>
      <c r="K345" s="44"/>
      <c r="L345" s="44"/>
      <c r="M345" s="44" t="str">
        <f t="shared" si="1"/>
        <v>#DIV/0!</v>
      </c>
      <c r="N345" s="44" t="str">
        <f t="shared" si="2"/>
        <v>#DIV/0!</v>
      </c>
      <c r="O345" s="44" t="str">
        <f t="shared" si="4"/>
        <v/>
      </c>
      <c r="P345" s="44" t="str">
        <f t="shared" si="3"/>
        <v>#DIV/0!</v>
      </c>
      <c r="Q345" s="44"/>
    </row>
    <row r="346">
      <c r="A346" s="38" t="s">
        <v>1320</v>
      </c>
      <c r="B346" s="39" t="s">
        <v>1321</v>
      </c>
      <c r="C346" s="40" t="s">
        <v>1322</v>
      </c>
      <c r="D346" s="41" t="s">
        <v>1323</v>
      </c>
      <c r="E346" s="51"/>
      <c r="F346" s="51"/>
      <c r="G346" s="51"/>
      <c r="H346" s="44"/>
      <c r="I346" s="44"/>
      <c r="J346" s="44"/>
      <c r="K346" s="44"/>
      <c r="L346" s="44"/>
      <c r="M346" s="44" t="str">
        <f t="shared" si="1"/>
        <v>#DIV/0!</v>
      </c>
      <c r="N346" s="44" t="str">
        <f t="shared" si="2"/>
        <v>#DIV/0!</v>
      </c>
      <c r="O346" s="44" t="str">
        <f t="shared" si="4"/>
        <v/>
      </c>
      <c r="P346" s="44" t="str">
        <f t="shared" si="3"/>
        <v>#DIV/0!</v>
      </c>
      <c r="Q346" s="44"/>
    </row>
    <row r="347">
      <c r="A347" s="38" t="s">
        <v>1324</v>
      </c>
      <c r="B347" s="39" t="s">
        <v>1325</v>
      </c>
      <c r="C347" s="40" t="s">
        <v>260</v>
      </c>
      <c r="D347" s="41" t="s">
        <v>261</v>
      </c>
      <c r="E347" s="51"/>
      <c r="F347" s="51"/>
      <c r="G347" s="51"/>
      <c r="H347" s="44"/>
      <c r="I347" s="44"/>
      <c r="J347" s="44"/>
      <c r="K347" s="44"/>
      <c r="L347" s="44"/>
      <c r="M347" s="44" t="str">
        <f t="shared" si="1"/>
        <v>#DIV/0!</v>
      </c>
      <c r="N347" s="44" t="str">
        <f t="shared" si="2"/>
        <v>#DIV/0!</v>
      </c>
      <c r="O347" s="44" t="str">
        <f t="shared" si="4"/>
        <v/>
      </c>
      <c r="P347" s="44" t="str">
        <f t="shared" si="3"/>
        <v>#DIV/0!</v>
      </c>
      <c r="Q347" s="44"/>
    </row>
    <row r="348">
      <c r="A348" s="38" t="s">
        <v>1327</v>
      </c>
      <c r="B348" s="39" t="s">
        <v>1328</v>
      </c>
      <c r="C348" s="40" t="s">
        <v>4937</v>
      </c>
      <c r="D348" s="42" t="s">
        <v>4938</v>
      </c>
      <c r="E348" s="51"/>
      <c r="F348" s="51"/>
      <c r="G348" s="51"/>
      <c r="H348" s="44"/>
      <c r="I348" s="44"/>
      <c r="J348" s="44"/>
      <c r="K348" s="44"/>
      <c r="L348" s="44"/>
      <c r="M348" s="44" t="str">
        <f t="shared" si="1"/>
        <v>#DIV/0!</v>
      </c>
      <c r="N348" s="44" t="str">
        <f t="shared" si="2"/>
        <v>#DIV/0!</v>
      </c>
      <c r="O348" s="44" t="str">
        <f t="shared" si="4"/>
        <v/>
      </c>
      <c r="P348" s="44" t="str">
        <f t="shared" si="3"/>
        <v>#DIV/0!</v>
      </c>
      <c r="Q348" s="44"/>
    </row>
    <row r="349">
      <c r="A349" s="38" t="s">
        <v>1331</v>
      </c>
      <c r="B349" s="39" t="s">
        <v>1332</v>
      </c>
      <c r="C349" s="40" t="s">
        <v>4939</v>
      </c>
      <c r="D349" s="41" t="s">
        <v>1334</v>
      </c>
      <c r="E349" s="51"/>
      <c r="F349" s="51"/>
      <c r="G349" s="51"/>
      <c r="H349" s="44"/>
      <c r="I349" s="44"/>
      <c r="J349" s="44"/>
      <c r="K349" s="44"/>
      <c r="L349" s="44"/>
      <c r="M349" s="44" t="str">
        <f t="shared" si="1"/>
        <v>#DIV/0!</v>
      </c>
      <c r="N349" s="44" t="str">
        <f t="shared" si="2"/>
        <v>#DIV/0!</v>
      </c>
      <c r="O349" s="44" t="str">
        <f t="shared" si="4"/>
        <v/>
      </c>
      <c r="P349" s="44" t="str">
        <f t="shared" si="3"/>
        <v>#DIV/0!</v>
      </c>
      <c r="Q349" s="44"/>
    </row>
    <row r="350">
      <c r="A350" s="38" t="s">
        <v>1335</v>
      </c>
      <c r="B350" s="39" t="s">
        <v>1336</v>
      </c>
      <c r="C350" s="40" t="s">
        <v>4940</v>
      </c>
      <c r="D350" s="42" t="s">
        <v>4941</v>
      </c>
      <c r="E350" s="51"/>
      <c r="F350" s="51"/>
      <c r="G350" s="51"/>
      <c r="H350" s="44"/>
      <c r="I350" s="44"/>
      <c r="J350" s="44"/>
      <c r="K350" s="44"/>
      <c r="L350" s="44"/>
      <c r="M350" s="44" t="str">
        <f t="shared" si="1"/>
        <v>#DIV/0!</v>
      </c>
      <c r="N350" s="44" t="str">
        <f t="shared" si="2"/>
        <v>#DIV/0!</v>
      </c>
      <c r="O350" s="44" t="str">
        <f t="shared" si="4"/>
        <v/>
      </c>
      <c r="P350" s="44" t="str">
        <f t="shared" si="3"/>
        <v>#DIV/0!</v>
      </c>
      <c r="Q350" s="44"/>
    </row>
    <row r="351">
      <c r="A351" s="38" t="s">
        <v>1339</v>
      </c>
      <c r="B351" s="39" t="s">
        <v>1340</v>
      </c>
      <c r="C351" s="40" t="s">
        <v>1341</v>
      </c>
      <c r="D351" s="42" t="s">
        <v>1342</v>
      </c>
      <c r="E351" s="51"/>
      <c r="F351" s="51"/>
      <c r="G351" s="51"/>
      <c r="H351" s="44"/>
      <c r="I351" s="44"/>
      <c r="J351" s="44"/>
      <c r="K351" s="44"/>
      <c r="L351" s="44"/>
      <c r="M351" s="44" t="str">
        <f t="shared" si="1"/>
        <v>#DIV/0!</v>
      </c>
      <c r="N351" s="44" t="str">
        <f t="shared" si="2"/>
        <v>#DIV/0!</v>
      </c>
      <c r="O351" s="44" t="str">
        <f t="shared" si="4"/>
        <v/>
      </c>
      <c r="P351" s="44" t="str">
        <f t="shared" si="3"/>
        <v>#DIV/0!</v>
      </c>
      <c r="Q351" s="44"/>
    </row>
    <row r="352">
      <c r="A352" s="38" t="s">
        <v>1343</v>
      </c>
      <c r="B352" s="39" t="s">
        <v>1344</v>
      </c>
      <c r="C352" s="40" t="s">
        <v>268</v>
      </c>
      <c r="D352" s="41" t="s">
        <v>137</v>
      </c>
      <c r="E352" s="51"/>
      <c r="F352" s="51"/>
      <c r="G352" s="51"/>
      <c r="H352" s="44"/>
      <c r="I352" s="44"/>
      <c r="J352" s="44"/>
      <c r="K352" s="44"/>
      <c r="L352" s="44"/>
      <c r="M352" s="44" t="str">
        <f t="shared" si="1"/>
        <v>#DIV/0!</v>
      </c>
      <c r="N352" s="44" t="str">
        <f t="shared" si="2"/>
        <v>#DIV/0!</v>
      </c>
      <c r="O352" s="44" t="str">
        <f t="shared" si="4"/>
        <v/>
      </c>
      <c r="P352" s="44" t="str">
        <f t="shared" si="3"/>
        <v>#DIV/0!</v>
      </c>
      <c r="Q352" s="44"/>
    </row>
    <row r="353">
      <c r="A353" s="38" t="s">
        <v>1345</v>
      </c>
      <c r="B353" s="39" t="s">
        <v>1346</v>
      </c>
      <c r="C353" s="40" t="s">
        <v>1636</v>
      </c>
      <c r="D353" s="42" t="s">
        <v>4942</v>
      </c>
      <c r="E353" s="51"/>
      <c r="F353" s="51"/>
      <c r="G353" s="51"/>
      <c r="H353" s="44"/>
      <c r="I353" s="44"/>
      <c r="J353" s="44"/>
      <c r="K353" s="44"/>
      <c r="L353" s="44"/>
      <c r="M353" s="44" t="str">
        <f t="shared" si="1"/>
        <v>#DIV/0!</v>
      </c>
      <c r="N353" s="44" t="str">
        <f t="shared" si="2"/>
        <v>#DIV/0!</v>
      </c>
      <c r="O353" s="44" t="str">
        <f t="shared" si="4"/>
        <v/>
      </c>
      <c r="P353" s="44" t="str">
        <f t="shared" si="3"/>
        <v>#DIV/0!</v>
      </c>
      <c r="Q353" s="44"/>
    </row>
    <row r="354">
      <c r="A354" s="38" t="s">
        <v>1349</v>
      </c>
      <c r="B354" s="39" t="s">
        <v>1350</v>
      </c>
      <c r="C354" s="40" t="s">
        <v>1351</v>
      </c>
      <c r="D354" s="41" t="s">
        <v>1352</v>
      </c>
      <c r="E354" s="51"/>
      <c r="F354" s="51"/>
      <c r="G354" s="51"/>
      <c r="H354" s="44"/>
      <c r="I354" s="44"/>
      <c r="J354" s="44"/>
      <c r="K354" s="44"/>
      <c r="L354" s="44"/>
      <c r="M354" s="44" t="str">
        <f t="shared" si="1"/>
        <v>#DIV/0!</v>
      </c>
      <c r="N354" s="44" t="str">
        <f t="shared" si="2"/>
        <v>#DIV/0!</v>
      </c>
      <c r="O354" s="44" t="str">
        <f t="shared" si="4"/>
        <v/>
      </c>
      <c r="P354" s="44" t="str">
        <f t="shared" si="3"/>
        <v>#DIV/0!</v>
      </c>
      <c r="Q354" s="44"/>
    </row>
    <row r="355">
      <c r="A355" s="38" t="s">
        <v>1353</v>
      </c>
      <c r="B355" s="39" t="s">
        <v>1354</v>
      </c>
      <c r="C355" s="40" t="s">
        <v>4943</v>
      </c>
      <c r="D355" s="42" t="s">
        <v>4944</v>
      </c>
      <c r="E355" s="51"/>
      <c r="F355" s="51"/>
      <c r="G355" s="51"/>
      <c r="H355" s="44"/>
      <c r="I355" s="44"/>
      <c r="J355" s="44"/>
      <c r="K355" s="44"/>
      <c r="L355" s="44"/>
      <c r="M355" s="44" t="str">
        <f t="shared" si="1"/>
        <v>#DIV/0!</v>
      </c>
      <c r="N355" s="44" t="str">
        <f t="shared" si="2"/>
        <v>#DIV/0!</v>
      </c>
      <c r="O355" s="44" t="str">
        <f t="shared" si="4"/>
        <v/>
      </c>
      <c r="P355" s="44" t="str">
        <f t="shared" si="3"/>
        <v>#DIV/0!</v>
      </c>
      <c r="Q355" s="44"/>
    </row>
    <row r="356">
      <c r="A356" s="38" t="s">
        <v>1357</v>
      </c>
      <c r="B356" s="39" t="s">
        <v>1358</v>
      </c>
      <c r="C356" s="40" t="s">
        <v>1359</v>
      </c>
      <c r="D356" s="42" t="s">
        <v>1360</v>
      </c>
      <c r="E356" s="51"/>
      <c r="F356" s="51"/>
      <c r="G356" s="51"/>
      <c r="H356" s="44"/>
      <c r="I356" s="44"/>
      <c r="J356" s="44"/>
      <c r="K356" s="44"/>
      <c r="L356" s="44"/>
      <c r="M356" s="44" t="str">
        <f t="shared" si="1"/>
        <v>#DIV/0!</v>
      </c>
      <c r="N356" s="44" t="str">
        <f t="shared" si="2"/>
        <v>#DIV/0!</v>
      </c>
      <c r="O356" s="44" t="str">
        <f t="shared" si="4"/>
        <v/>
      </c>
      <c r="P356" s="44" t="str">
        <f t="shared" si="3"/>
        <v>#DIV/0!</v>
      </c>
      <c r="Q356" s="44"/>
    </row>
    <row r="357">
      <c r="A357" s="38" t="s">
        <v>1361</v>
      </c>
      <c r="B357" s="39" t="s">
        <v>1362</v>
      </c>
      <c r="C357" s="40" t="s">
        <v>4945</v>
      </c>
      <c r="D357" s="42" t="s">
        <v>4946</v>
      </c>
      <c r="E357" s="51"/>
      <c r="F357" s="51"/>
      <c r="G357" s="51"/>
      <c r="H357" s="44"/>
      <c r="I357" s="44"/>
      <c r="J357" s="44"/>
      <c r="K357" s="44"/>
      <c r="L357" s="44"/>
      <c r="M357" s="44" t="str">
        <f t="shared" si="1"/>
        <v>#DIV/0!</v>
      </c>
      <c r="N357" s="44" t="str">
        <f t="shared" si="2"/>
        <v>#DIV/0!</v>
      </c>
      <c r="O357" s="44" t="str">
        <f t="shared" si="4"/>
        <v/>
      </c>
      <c r="P357" s="44" t="str">
        <f t="shared" si="3"/>
        <v>#DIV/0!</v>
      </c>
      <c r="Q357" s="44"/>
    </row>
    <row r="358">
      <c r="A358" s="38" t="s">
        <v>1365</v>
      </c>
      <c r="B358" s="39" t="s">
        <v>1366</v>
      </c>
      <c r="C358" s="40" t="s">
        <v>1367</v>
      </c>
      <c r="D358" s="41" t="s">
        <v>137</v>
      </c>
      <c r="E358" s="51"/>
      <c r="F358" s="51"/>
      <c r="G358" s="51"/>
      <c r="H358" s="44"/>
      <c r="I358" s="44"/>
      <c r="J358" s="44"/>
      <c r="K358" s="44"/>
      <c r="L358" s="44"/>
      <c r="M358" s="44" t="str">
        <f t="shared" si="1"/>
        <v>#DIV/0!</v>
      </c>
      <c r="N358" s="44" t="str">
        <f t="shared" si="2"/>
        <v>#DIV/0!</v>
      </c>
      <c r="O358" s="44" t="str">
        <f t="shared" si="4"/>
        <v/>
      </c>
      <c r="P358" s="44" t="str">
        <f t="shared" si="3"/>
        <v>#DIV/0!</v>
      </c>
      <c r="Q358" s="44"/>
    </row>
    <row r="359">
      <c r="A359" s="38" t="s">
        <v>1368</v>
      </c>
      <c r="B359" s="39" t="s">
        <v>1369</v>
      </c>
      <c r="C359" s="40" t="s">
        <v>1370</v>
      </c>
      <c r="D359" s="42" t="s">
        <v>4947</v>
      </c>
      <c r="E359" s="51"/>
      <c r="F359" s="51"/>
      <c r="G359" s="51"/>
      <c r="H359" s="44"/>
      <c r="I359" s="44"/>
      <c r="J359" s="44"/>
      <c r="K359" s="44"/>
      <c r="L359" s="44"/>
      <c r="M359" s="44" t="str">
        <f t="shared" si="1"/>
        <v>#DIV/0!</v>
      </c>
      <c r="N359" s="44" t="str">
        <f t="shared" si="2"/>
        <v>#DIV/0!</v>
      </c>
      <c r="O359" s="44" t="str">
        <f t="shared" si="4"/>
        <v/>
      </c>
      <c r="P359" s="44" t="str">
        <f t="shared" si="3"/>
        <v>#DIV/0!</v>
      </c>
      <c r="Q359" s="44"/>
    </row>
    <row r="360">
      <c r="A360" s="38" t="s">
        <v>1372</v>
      </c>
      <c r="B360" s="39" t="s">
        <v>1373</v>
      </c>
      <c r="C360" s="40" t="s">
        <v>1374</v>
      </c>
      <c r="D360" s="42" t="s">
        <v>4948</v>
      </c>
      <c r="E360" s="51"/>
      <c r="F360" s="51"/>
      <c r="G360" s="51"/>
      <c r="H360" s="44"/>
      <c r="I360" s="44"/>
      <c r="J360" s="44"/>
      <c r="K360" s="44"/>
      <c r="L360" s="44"/>
      <c r="M360" s="44" t="str">
        <f t="shared" si="1"/>
        <v>#DIV/0!</v>
      </c>
      <c r="N360" s="44" t="str">
        <f t="shared" si="2"/>
        <v>#DIV/0!</v>
      </c>
      <c r="O360" s="44" t="str">
        <f t="shared" si="4"/>
        <v/>
      </c>
      <c r="P360" s="44" t="str">
        <f t="shared" si="3"/>
        <v>#DIV/0!</v>
      </c>
      <c r="Q360" s="44"/>
    </row>
    <row r="361">
      <c r="A361" s="38" t="s">
        <v>1376</v>
      </c>
      <c r="B361" s="39" t="s">
        <v>1377</v>
      </c>
      <c r="C361" s="40" t="s">
        <v>4949</v>
      </c>
      <c r="D361" s="42" t="s">
        <v>4950</v>
      </c>
      <c r="E361" s="51"/>
      <c r="F361" s="51"/>
      <c r="G361" s="51"/>
      <c r="H361" s="44"/>
      <c r="I361" s="44"/>
      <c r="J361" s="44"/>
      <c r="K361" s="44"/>
      <c r="L361" s="44"/>
      <c r="M361" s="44" t="str">
        <f t="shared" si="1"/>
        <v>#DIV/0!</v>
      </c>
      <c r="N361" s="44" t="str">
        <f t="shared" si="2"/>
        <v>#DIV/0!</v>
      </c>
      <c r="O361" s="44" t="str">
        <f t="shared" si="4"/>
        <v/>
      </c>
      <c r="P361" s="44" t="str">
        <f t="shared" si="3"/>
        <v>#DIV/0!</v>
      </c>
      <c r="Q361" s="44"/>
    </row>
    <row r="362">
      <c r="A362" s="53" t="s">
        <v>1380</v>
      </c>
      <c r="B362" s="39" t="s">
        <v>1381</v>
      </c>
      <c r="C362" s="40" t="s">
        <v>4951</v>
      </c>
      <c r="D362" s="41" t="s">
        <v>1383</v>
      </c>
      <c r="E362" s="51"/>
      <c r="F362" s="51"/>
      <c r="G362" s="51"/>
      <c r="H362" s="44"/>
      <c r="I362" s="44"/>
      <c r="J362" s="44"/>
      <c r="K362" s="44"/>
      <c r="L362" s="44"/>
      <c r="M362" s="44" t="str">
        <f t="shared" si="1"/>
        <v>#DIV/0!</v>
      </c>
      <c r="N362" s="44" t="str">
        <f t="shared" si="2"/>
        <v>#DIV/0!</v>
      </c>
      <c r="O362" s="44" t="str">
        <f t="shared" si="4"/>
        <v/>
      </c>
      <c r="P362" s="44" t="str">
        <f t="shared" si="3"/>
        <v>#DIV/0!</v>
      </c>
      <c r="Q362" s="44"/>
    </row>
    <row r="363">
      <c r="A363" s="38" t="s">
        <v>1384</v>
      </c>
      <c r="B363" s="39" t="s">
        <v>1385</v>
      </c>
      <c r="C363" s="40" t="s">
        <v>4952</v>
      </c>
      <c r="D363" s="42" t="s">
        <v>4953</v>
      </c>
      <c r="E363" s="51"/>
      <c r="F363" s="51"/>
      <c r="G363" s="51"/>
      <c r="H363" s="44"/>
      <c r="I363" s="44"/>
      <c r="J363" s="44"/>
      <c r="K363" s="44"/>
      <c r="L363" s="44"/>
      <c r="M363" s="44" t="str">
        <f t="shared" si="1"/>
        <v>#DIV/0!</v>
      </c>
      <c r="N363" s="44" t="str">
        <f t="shared" si="2"/>
        <v>#DIV/0!</v>
      </c>
      <c r="O363" s="44" t="str">
        <f t="shared" si="4"/>
        <v/>
      </c>
      <c r="P363" s="44" t="str">
        <f t="shared" si="3"/>
        <v>#DIV/0!</v>
      </c>
      <c r="Q363" s="44"/>
    </row>
    <row r="364">
      <c r="A364" s="38" t="s">
        <v>1388</v>
      </c>
      <c r="B364" s="39" t="s">
        <v>1389</v>
      </c>
      <c r="C364" s="40" t="s">
        <v>1943</v>
      </c>
      <c r="D364" s="41" t="s">
        <v>937</v>
      </c>
      <c r="E364" s="51"/>
      <c r="F364" s="51"/>
      <c r="G364" s="51"/>
      <c r="H364" s="44"/>
      <c r="I364" s="44"/>
      <c r="J364" s="44"/>
      <c r="K364" s="44"/>
      <c r="L364" s="44"/>
      <c r="M364" s="44" t="str">
        <f t="shared" si="1"/>
        <v>#DIV/0!</v>
      </c>
      <c r="N364" s="44" t="str">
        <f t="shared" si="2"/>
        <v>#DIV/0!</v>
      </c>
      <c r="O364" s="44" t="str">
        <f t="shared" si="4"/>
        <v/>
      </c>
      <c r="P364" s="44" t="str">
        <f t="shared" si="3"/>
        <v>#DIV/0!</v>
      </c>
      <c r="Q364" s="44"/>
    </row>
    <row r="365">
      <c r="A365" s="38" t="s">
        <v>1392</v>
      </c>
      <c r="B365" s="39" t="s">
        <v>1393</v>
      </c>
      <c r="C365" s="40" t="s">
        <v>4954</v>
      </c>
      <c r="D365" s="42" t="s">
        <v>4955</v>
      </c>
      <c r="E365" s="51"/>
      <c r="F365" s="51"/>
      <c r="G365" s="51"/>
      <c r="H365" s="44"/>
      <c r="I365" s="44"/>
      <c r="J365" s="44"/>
      <c r="K365" s="44"/>
      <c r="L365" s="44"/>
      <c r="M365" s="44" t="str">
        <f t="shared" si="1"/>
        <v>#DIV/0!</v>
      </c>
      <c r="N365" s="44" t="str">
        <f t="shared" si="2"/>
        <v>#DIV/0!</v>
      </c>
      <c r="O365" s="44" t="str">
        <f t="shared" si="4"/>
        <v/>
      </c>
      <c r="P365" s="44" t="str">
        <f t="shared" si="3"/>
        <v>#DIV/0!</v>
      </c>
      <c r="Q365" s="44"/>
    </row>
    <row r="366">
      <c r="A366" s="38" t="s">
        <v>1396</v>
      </c>
      <c r="B366" s="39" t="s">
        <v>1397</v>
      </c>
      <c r="C366" s="40" t="s">
        <v>4956</v>
      </c>
      <c r="D366" s="42" t="s">
        <v>1399</v>
      </c>
      <c r="E366" s="51"/>
      <c r="F366" s="51"/>
      <c r="G366" s="51"/>
      <c r="H366" s="44"/>
      <c r="I366" s="44"/>
      <c r="J366" s="44"/>
      <c r="K366" s="44"/>
      <c r="L366" s="44"/>
      <c r="M366" s="44" t="str">
        <f t="shared" si="1"/>
        <v>#DIV/0!</v>
      </c>
      <c r="N366" s="44" t="str">
        <f t="shared" si="2"/>
        <v>#DIV/0!</v>
      </c>
      <c r="O366" s="44" t="str">
        <f t="shared" si="4"/>
        <v/>
      </c>
      <c r="P366" s="44" t="str">
        <f t="shared" si="3"/>
        <v>#DIV/0!</v>
      </c>
      <c r="Q366" s="44"/>
    </row>
    <row r="367">
      <c r="A367" s="38" t="s">
        <v>1400</v>
      </c>
      <c r="B367" s="39" t="s">
        <v>1401</v>
      </c>
      <c r="C367" s="40" t="s">
        <v>1402</v>
      </c>
      <c r="D367" s="42" t="s">
        <v>4957</v>
      </c>
      <c r="E367" s="51"/>
      <c r="F367" s="51"/>
      <c r="G367" s="51"/>
      <c r="H367" s="44"/>
      <c r="I367" s="44"/>
      <c r="J367" s="44"/>
      <c r="K367" s="44"/>
      <c r="L367" s="44"/>
      <c r="M367" s="44" t="str">
        <f t="shared" si="1"/>
        <v>#DIV/0!</v>
      </c>
      <c r="N367" s="44" t="str">
        <f t="shared" si="2"/>
        <v>#DIV/0!</v>
      </c>
      <c r="O367" s="44" t="str">
        <f t="shared" si="4"/>
        <v/>
      </c>
      <c r="P367" s="44" t="str">
        <f t="shared" si="3"/>
        <v>#DIV/0!</v>
      </c>
      <c r="Q367" s="44"/>
    </row>
    <row r="368">
      <c r="A368" s="38" t="s">
        <v>1404</v>
      </c>
      <c r="B368" s="39" t="s">
        <v>1405</v>
      </c>
      <c r="C368" s="40" t="s">
        <v>4958</v>
      </c>
      <c r="D368" s="42" t="s">
        <v>4959</v>
      </c>
      <c r="E368" s="51"/>
      <c r="F368" s="51"/>
      <c r="G368" s="51"/>
      <c r="H368" s="44"/>
      <c r="I368" s="44"/>
      <c r="J368" s="44"/>
      <c r="K368" s="44"/>
      <c r="L368" s="44"/>
      <c r="M368" s="44" t="str">
        <f t="shared" si="1"/>
        <v>#DIV/0!</v>
      </c>
      <c r="N368" s="44" t="str">
        <f t="shared" si="2"/>
        <v>#DIV/0!</v>
      </c>
      <c r="O368" s="44" t="str">
        <f t="shared" si="4"/>
        <v/>
      </c>
      <c r="P368" s="44" t="str">
        <f t="shared" si="3"/>
        <v>#DIV/0!</v>
      </c>
      <c r="Q368" s="44"/>
    </row>
    <row r="369">
      <c r="A369" s="38" t="s">
        <v>1408</v>
      </c>
      <c r="B369" s="39" t="s">
        <v>1409</v>
      </c>
      <c r="C369" s="40" t="s">
        <v>577</v>
      </c>
      <c r="D369" s="41" t="s">
        <v>296</v>
      </c>
      <c r="E369" s="51"/>
      <c r="F369" s="51"/>
      <c r="G369" s="51"/>
      <c r="H369" s="44"/>
      <c r="I369" s="44"/>
      <c r="J369" s="44"/>
      <c r="K369" s="44"/>
      <c r="L369" s="44"/>
      <c r="M369" s="44" t="str">
        <f t="shared" si="1"/>
        <v>#DIV/0!</v>
      </c>
      <c r="N369" s="44" t="str">
        <f t="shared" si="2"/>
        <v>#DIV/0!</v>
      </c>
      <c r="O369" s="44" t="str">
        <f t="shared" si="4"/>
        <v/>
      </c>
      <c r="P369" s="44" t="str">
        <f t="shared" si="3"/>
        <v>#DIV/0!</v>
      </c>
      <c r="Q369" s="44"/>
    </row>
    <row r="370">
      <c r="A370" s="38" t="s">
        <v>1410</v>
      </c>
      <c r="B370" s="39" t="s">
        <v>1411</v>
      </c>
      <c r="C370" s="40" t="s">
        <v>1412</v>
      </c>
      <c r="D370" s="42" t="s">
        <v>1413</v>
      </c>
      <c r="E370" s="51"/>
      <c r="F370" s="51"/>
      <c r="G370" s="51"/>
      <c r="H370" s="44"/>
      <c r="I370" s="44"/>
      <c r="J370" s="44"/>
      <c r="K370" s="44"/>
      <c r="L370" s="44"/>
      <c r="M370" s="44" t="str">
        <f t="shared" si="1"/>
        <v>#DIV/0!</v>
      </c>
      <c r="N370" s="44" t="str">
        <f t="shared" si="2"/>
        <v>#DIV/0!</v>
      </c>
      <c r="O370" s="44" t="str">
        <f t="shared" si="4"/>
        <v/>
      </c>
      <c r="P370" s="44" t="str">
        <f t="shared" si="3"/>
        <v>#DIV/0!</v>
      </c>
      <c r="Q370" s="44"/>
    </row>
    <row r="371">
      <c r="A371" s="38" t="s">
        <v>1414</v>
      </c>
      <c r="B371" s="39" t="s">
        <v>1415</v>
      </c>
      <c r="C371" s="40" t="s">
        <v>2196</v>
      </c>
      <c r="D371" s="42" t="s">
        <v>864</v>
      </c>
      <c r="E371" s="51"/>
      <c r="F371" s="51"/>
      <c r="G371" s="51"/>
      <c r="H371" s="44"/>
      <c r="I371" s="44"/>
      <c r="J371" s="44"/>
      <c r="K371" s="44"/>
      <c r="L371" s="44"/>
      <c r="M371" s="44" t="str">
        <f t="shared" si="1"/>
        <v>#DIV/0!</v>
      </c>
      <c r="N371" s="44" t="str">
        <f t="shared" si="2"/>
        <v>#DIV/0!</v>
      </c>
      <c r="O371" s="44" t="str">
        <f t="shared" si="4"/>
        <v/>
      </c>
      <c r="P371" s="44" t="str">
        <f t="shared" si="3"/>
        <v>#DIV/0!</v>
      </c>
      <c r="Q371" s="44"/>
    </row>
    <row r="372">
      <c r="A372" s="38" t="s">
        <v>1417</v>
      </c>
      <c r="B372" s="39" t="s">
        <v>1418</v>
      </c>
      <c r="C372" s="40" t="s">
        <v>268</v>
      </c>
      <c r="D372" s="41" t="s">
        <v>137</v>
      </c>
      <c r="E372" s="51"/>
      <c r="F372" s="51"/>
      <c r="G372" s="51"/>
      <c r="H372" s="44"/>
      <c r="I372" s="44"/>
      <c r="J372" s="44"/>
      <c r="K372" s="44"/>
      <c r="L372" s="44"/>
      <c r="M372" s="44" t="str">
        <f t="shared" si="1"/>
        <v>#DIV/0!</v>
      </c>
      <c r="N372" s="44" t="str">
        <f t="shared" si="2"/>
        <v>#DIV/0!</v>
      </c>
      <c r="O372" s="44" t="str">
        <f t="shared" si="4"/>
        <v/>
      </c>
      <c r="P372" s="44" t="str">
        <f t="shared" si="3"/>
        <v>#DIV/0!</v>
      </c>
      <c r="Q372" s="44"/>
    </row>
    <row r="373">
      <c r="A373" s="38" t="s">
        <v>1419</v>
      </c>
      <c r="B373" s="39" t="s">
        <v>1420</v>
      </c>
      <c r="C373" s="40" t="s">
        <v>1421</v>
      </c>
      <c r="D373" s="41" t="s">
        <v>1422</v>
      </c>
      <c r="E373" s="51"/>
      <c r="F373" s="51"/>
      <c r="G373" s="51"/>
      <c r="H373" s="44"/>
      <c r="I373" s="44"/>
      <c r="J373" s="44"/>
      <c r="K373" s="44"/>
      <c r="L373" s="44"/>
      <c r="M373" s="44" t="str">
        <f t="shared" si="1"/>
        <v>#DIV/0!</v>
      </c>
      <c r="N373" s="44" t="str">
        <f t="shared" si="2"/>
        <v>#DIV/0!</v>
      </c>
      <c r="O373" s="44" t="str">
        <f t="shared" si="4"/>
        <v/>
      </c>
      <c r="P373" s="44" t="str">
        <f t="shared" si="3"/>
        <v>#DIV/0!</v>
      </c>
      <c r="Q373" s="44"/>
    </row>
    <row r="374">
      <c r="A374" s="38" t="s">
        <v>1423</v>
      </c>
      <c r="B374" s="39" t="s">
        <v>1424</v>
      </c>
      <c r="C374" s="40" t="s">
        <v>1425</v>
      </c>
      <c r="D374" s="42" t="s">
        <v>4960</v>
      </c>
      <c r="E374" s="51"/>
      <c r="F374" s="51"/>
      <c r="G374" s="51"/>
      <c r="H374" s="44"/>
      <c r="I374" s="44"/>
      <c r="J374" s="44"/>
      <c r="K374" s="44"/>
      <c r="L374" s="44"/>
      <c r="M374" s="44" t="str">
        <f t="shared" si="1"/>
        <v>#DIV/0!</v>
      </c>
      <c r="N374" s="44" t="str">
        <f t="shared" si="2"/>
        <v>#DIV/0!</v>
      </c>
      <c r="O374" s="44" t="str">
        <f t="shared" si="4"/>
        <v/>
      </c>
      <c r="P374" s="44" t="str">
        <f t="shared" si="3"/>
        <v>#DIV/0!</v>
      </c>
      <c r="Q374" s="44"/>
    </row>
    <row r="375">
      <c r="A375" s="38" t="s">
        <v>1427</v>
      </c>
      <c r="B375" s="39" t="s">
        <v>1428</v>
      </c>
      <c r="C375" s="40" t="s">
        <v>268</v>
      </c>
      <c r="D375" s="41" t="s">
        <v>137</v>
      </c>
      <c r="E375" s="51"/>
      <c r="F375" s="51"/>
      <c r="G375" s="51"/>
      <c r="H375" s="44"/>
      <c r="I375" s="44"/>
      <c r="J375" s="44"/>
      <c r="K375" s="44"/>
      <c r="L375" s="44"/>
      <c r="M375" s="44" t="str">
        <f t="shared" si="1"/>
        <v>#DIV/0!</v>
      </c>
      <c r="N375" s="44" t="str">
        <f t="shared" si="2"/>
        <v>#DIV/0!</v>
      </c>
      <c r="O375" s="44" t="str">
        <f t="shared" si="4"/>
        <v/>
      </c>
      <c r="P375" s="44" t="str">
        <f t="shared" si="3"/>
        <v>#DIV/0!</v>
      </c>
      <c r="Q375" s="44"/>
    </row>
    <row r="376">
      <c r="A376" s="38" t="s">
        <v>1429</v>
      </c>
      <c r="B376" s="39" t="s">
        <v>1430</v>
      </c>
      <c r="C376" s="40" t="s">
        <v>4961</v>
      </c>
      <c r="D376" s="42" t="s">
        <v>4962</v>
      </c>
      <c r="E376" s="51"/>
      <c r="F376" s="51"/>
      <c r="G376" s="51"/>
      <c r="H376" s="44"/>
      <c r="I376" s="44"/>
      <c r="J376" s="44"/>
      <c r="K376" s="44"/>
      <c r="L376" s="44"/>
      <c r="M376" s="44" t="str">
        <f t="shared" si="1"/>
        <v>#DIV/0!</v>
      </c>
      <c r="N376" s="44" t="str">
        <f t="shared" si="2"/>
        <v>#DIV/0!</v>
      </c>
      <c r="O376" s="44" t="str">
        <f t="shared" si="4"/>
        <v/>
      </c>
      <c r="P376" s="44" t="str">
        <f t="shared" si="3"/>
        <v>#DIV/0!</v>
      </c>
      <c r="Q376" s="44"/>
    </row>
    <row r="377">
      <c r="A377" s="38" t="s">
        <v>1433</v>
      </c>
      <c r="B377" s="39" t="s">
        <v>1434</v>
      </c>
      <c r="C377" s="40" t="s">
        <v>268</v>
      </c>
      <c r="D377" s="41" t="s">
        <v>137</v>
      </c>
      <c r="E377" s="51"/>
      <c r="F377" s="51"/>
      <c r="G377" s="51"/>
      <c r="H377" s="44"/>
      <c r="I377" s="44"/>
      <c r="J377" s="44"/>
      <c r="K377" s="44"/>
      <c r="L377" s="44"/>
      <c r="M377" s="44" t="str">
        <f t="shared" si="1"/>
        <v>#DIV/0!</v>
      </c>
      <c r="N377" s="44" t="str">
        <f t="shared" si="2"/>
        <v>#DIV/0!</v>
      </c>
      <c r="O377" s="44" t="str">
        <f t="shared" si="4"/>
        <v/>
      </c>
      <c r="P377" s="44" t="str">
        <f t="shared" si="3"/>
        <v>#DIV/0!</v>
      </c>
      <c r="Q377" s="44"/>
    </row>
    <row r="378">
      <c r="A378" s="38" t="s">
        <v>1435</v>
      </c>
      <c r="B378" s="39" t="s">
        <v>1436</v>
      </c>
      <c r="C378" s="40" t="s">
        <v>1437</v>
      </c>
      <c r="D378" s="41" t="s">
        <v>1438</v>
      </c>
      <c r="E378" s="51"/>
      <c r="F378" s="51"/>
      <c r="G378" s="51"/>
      <c r="H378" s="44"/>
      <c r="I378" s="44"/>
      <c r="J378" s="44"/>
      <c r="K378" s="44"/>
      <c r="L378" s="44"/>
      <c r="M378" s="44" t="str">
        <f t="shared" si="1"/>
        <v>#DIV/0!</v>
      </c>
      <c r="N378" s="44" t="str">
        <f t="shared" si="2"/>
        <v>#DIV/0!</v>
      </c>
      <c r="O378" s="44" t="str">
        <f t="shared" si="4"/>
        <v/>
      </c>
      <c r="P378" s="44" t="str">
        <f t="shared" si="3"/>
        <v>#DIV/0!</v>
      </c>
      <c r="Q378" s="44"/>
    </row>
    <row r="379">
      <c r="A379" s="38" t="s">
        <v>1439</v>
      </c>
      <c r="B379" s="39" t="s">
        <v>1440</v>
      </c>
      <c r="C379" s="40" t="s">
        <v>4963</v>
      </c>
      <c r="D379" s="42" t="s">
        <v>4964</v>
      </c>
      <c r="E379" s="51"/>
      <c r="F379" s="51"/>
      <c r="G379" s="51"/>
      <c r="H379" s="44"/>
      <c r="I379" s="44"/>
      <c r="J379" s="44"/>
      <c r="K379" s="44"/>
      <c r="L379" s="44"/>
      <c r="M379" s="44" t="str">
        <f t="shared" si="1"/>
        <v>#DIV/0!</v>
      </c>
      <c r="N379" s="44" t="str">
        <f t="shared" si="2"/>
        <v>#DIV/0!</v>
      </c>
      <c r="O379" s="44" t="str">
        <f t="shared" si="4"/>
        <v/>
      </c>
      <c r="P379" s="44" t="str">
        <f t="shared" si="3"/>
        <v>#DIV/0!</v>
      </c>
      <c r="Q379" s="44"/>
    </row>
    <row r="380">
      <c r="A380" s="38" t="s">
        <v>1443</v>
      </c>
      <c r="B380" s="39" t="s">
        <v>1444</v>
      </c>
      <c r="C380" s="40" t="s">
        <v>4965</v>
      </c>
      <c r="D380" s="42" t="s">
        <v>4966</v>
      </c>
      <c r="E380" s="51"/>
      <c r="F380" s="51"/>
      <c r="G380" s="51"/>
      <c r="H380" s="44"/>
      <c r="I380" s="44"/>
      <c r="J380" s="44"/>
      <c r="K380" s="44"/>
      <c r="L380" s="44"/>
      <c r="M380" s="44" t="str">
        <f t="shared" si="1"/>
        <v>#DIV/0!</v>
      </c>
      <c r="N380" s="44" t="str">
        <f t="shared" si="2"/>
        <v>#DIV/0!</v>
      </c>
      <c r="O380" s="44" t="str">
        <f t="shared" si="4"/>
        <v/>
      </c>
      <c r="P380" s="44" t="str">
        <f t="shared" si="3"/>
        <v>#DIV/0!</v>
      </c>
      <c r="Q380" s="44"/>
    </row>
    <row r="381">
      <c r="A381" s="38" t="s">
        <v>1447</v>
      </c>
      <c r="B381" s="39" t="s">
        <v>1448</v>
      </c>
      <c r="C381" s="40" t="s">
        <v>1449</v>
      </c>
      <c r="D381" s="42" t="s">
        <v>4967</v>
      </c>
      <c r="E381" s="51"/>
      <c r="F381" s="51"/>
      <c r="G381" s="51"/>
      <c r="H381" s="44"/>
      <c r="I381" s="44"/>
      <c r="J381" s="44"/>
      <c r="K381" s="44"/>
      <c r="L381" s="44"/>
      <c r="M381" s="44" t="str">
        <f t="shared" si="1"/>
        <v>#DIV/0!</v>
      </c>
      <c r="N381" s="44" t="str">
        <f t="shared" si="2"/>
        <v>#DIV/0!</v>
      </c>
      <c r="O381" s="44" t="str">
        <f t="shared" si="4"/>
        <v/>
      </c>
      <c r="P381" s="44" t="str">
        <f t="shared" si="3"/>
        <v>#DIV/0!</v>
      </c>
      <c r="Q381" s="44"/>
    </row>
    <row r="382">
      <c r="A382" s="38" t="s">
        <v>1451</v>
      </c>
      <c r="B382" s="39" t="s">
        <v>1452</v>
      </c>
      <c r="C382" s="40" t="s">
        <v>4968</v>
      </c>
      <c r="D382" s="42" t="s">
        <v>1454</v>
      </c>
      <c r="E382" s="51"/>
      <c r="F382" s="51"/>
      <c r="G382" s="51"/>
      <c r="H382" s="44"/>
      <c r="I382" s="44"/>
      <c r="J382" s="44"/>
      <c r="K382" s="44"/>
      <c r="L382" s="44"/>
      <c r="M382" s="44" t="str">
        <f t="shared" si="1"/>
        <v>#DIV/0!</v>
      </c>
      <c r="N382" s="44" t="str">
        <f t="shared" si="2"/>
        <v>#DIV/0!</v>
      </c>
      <c r="O382" s="44" t="str">
        <f t="shared" si="4"/>
        <v/>
      </c>
      <c r="P382" s="44" t="str">
        <f t="shared" si="3"/>
        <v>#DIV/0!</v>
      </c>
      <c r="Q382" s="44"/>
    </row>
    <row r="383">
      <c r="A383" s="38" t="s">
        <v>1455</v>
      </c>
      <c r="B383" s="39" t="s">
        <v>1456</v>
      </c>
      <c r="C383" s="40" t="s">
        <v>268</v>
      </c>
      <c r="D383" s="41" t="s">
        <v>137</v>
      </c>
      <c r="E383" s="51"/>
      <c r="F383" s="51"/>
      <c r="G383" s="51"/>
      <c r="H383" s="44"/>
      <c r="I383" s="44"/>
      <c r="J383" s="44"/>
      <c r="K383" s="44"/>
      <c r="L383" s="44"/>
      <c r="M383" s="44" t="str">
        <f t="shared" si="1"/>
        <v>#DIV/0!</v>
      </c>
      <c r="N383" s="44" t="str">
        <f t="shared" si="2"/>
        <v>#DIV/0!</v>
      </c>
      <c r="O383" s="44" t="str">
        <f t="shared" si="4"/>
        <v/>
      </c>
      <c r="P383" s="44" t="str">
        <f t="shared" si="3"/>
        <v>#DIV/0!</v>
      </c>
      <c r="Q383" s="44"/>
    </row>
    <row r="384">
      <c r="A384" s="38" t="s">
        <v>1457</v>
      </c>
      <c r="B384" s="39" t="s">
        <v>1458</v>
      </c>
      <c r="C384" s="40" t="s">
        <v>4969</v>
      </c>
      <c r="D384" s="42" t="s">
        <v>4970</v>
      </c>
      <c r="E384" s="51"/>
      <c r="F384" s="51"/>
      <c r="G384" s="51"/>
      <c r="H384" s="44"/>
      <c r="I384" s="44"/>
      <c r="J384" s="44"/>
      <c r="K384" s="44"/>
      <c r="L384" s="44"/>
      <c r="M384" s="44" t="str">
        <f t="shared" si="1"/>
        <v>#DIV/0!</v>
      </c>
      <c r="N384" s="44" t="str">
        <f t="shared" si="2"/>
        <v>#DIV/0!</v>
      </c>
      <c r="O384" s="44" t="str">
        <f t="shared" si="4"/>
        <v/>
      </c>
      <c r="P384" s="44" t="str">
        <f t="shared" si="3"/>
        <v>#DIV/0!</v>
      </c>
      <c r="Q384" s="44"/>
    </row>
    <row r="385">
      <c r="A385" s="38" t="s">
        <v>1461</v>
      </c>
      <c r="B385" s="39" t="s">
        <v>1462</v>
      </c>
      <c r="C385" s="40" t="s">
        <v>4971</v>
      </c>
      <c r="D385" s="41" t="s">
        <v>2092</v>
      </c>
      <c r="E385" s="51"/>
      <c r="F385" s="51"/>
      <c r="G385" s="51"/>
      <c r="H385" s="44"/>
      <c r="I385" s="44"/>
      <c r="J385" s="44"/>
      <c r="K385" s="44"/>
      <c r="L385" s="44"/>
      <c r="M385" s="44" t="str">
        <f t="shared" si="1"/>
        <v>#DIV/0!</v>
      </c>
      <c r="N385" s="44" t="str">
        <f t="shared" si="2"/>
        <v>#DIV/0!</v>
      </c>
      <c r="O385" s="44" t="str">
        <f t="shared" si="4"/>
        <v/>
      </c>
      <c r="P385" s="44" t="str">
        <f t="shared" si="3"/>
        <v>#DIV/0!</v>
      </c>
      <c r="Q385" s="44"/>
    </row>
    <row r="386">
      <c r="A386" s="38" t="s">
        <v>1465</v>
      </c>
      <c r="B386" s="39" t="s">
        <v>1466</v>
      </c>
      <c r="C386" s="40" t="s">
        <v>4972</v>
      </c>
      <c r="D386" s="42" t="s">
        <v>1468</v>
      </c>
      <c r="E386" s="51"/>
      <c r="F386" s="51"/>
      <c r="G386" s="51"/>
      <c r="H386" s="44"/>
      <c r="I386" s="44"/>
      <c r="J386" s="44"/>
      <c r="K386" s="44"/>
      <c r="L386" s="44"/>
      <c r="M386" s="44" t="str">
        <f t="shared" si="1"/>
        <v>#DIV/0!</v>
      </c>
      <c r="N386" s="44" t="str">
        <f t="shared" si="2"/>
        <v>#DIV/0!</v>
      </c>
      <c r="O386" s="44" t="str">
        <f t="shared" si="4"/>
        <v/>
      </c>
      <c r="P386" s="44" t="str">
        <f t="shared" si="3"/>
        <v>#DIV/0!</v>
      </c>
      <c r="Q386" s="44"/>
    </row>
    <row r="387">
      <c r="A387" s="38" t="s">
        <v>1469</v>
      </c>
      <c r="B387" s="39" t="s">
        <v>1470</v>
      </c>
      <c r="C387" s="40" t="s">
        <v>508</v>
      </c>
      <c r="D387" s="41" t="s">
        <v>509</v>
      </c>
      <c r="E387" s="51"/>
      <c r="F387" s="51"/>
      <c r="G387" s="51"/>
      <c r="H387" s="44"/>
      <c r="I387" s="44"/>
      <c r="J387" s="44"/>
      <c r="K387" s="44"/>
      <c r="L387" s="44"/>
      <c r="M387" s="44" t="str">
        <f t="shared" si="1"/>
        <v>#DIV/0!</v>
      </c>
      <c r="N387" s="44" t="str">
        <f t="shared" si="2"/>
        <v>#DIV/0!</v>
      </c>
      <c r="O387" s="44" t="str">
        <f t="shared" si="4"/>
        <v/>
      </c>
      <c r="P387" s="44" t="str">
        <f t="shared" si="3"/>
        <v>#DIV/0!</v>
      </c>
      <c r="Q387" s="44"/>
    </row>
    <row r="388">
      <c r="A388" s="38" t="s">
        <v>1471</v>
      </c>
      <c r="B388" s="39" t="s">
        <v>1472</v>
      </c>
      <c r="C388" s="40" t="s">
        <v>4973</v>
      </c>
      <c r="D388" s="42" t="s">
        <v>4974</v>
      </c>
      <c r="E388" s="51"/>
      <c r="F388" s="51"/>
      <c r="G388" s="51"/>
      <c r="H388" s="44"/>
      <c r="I388" s="44"/>
      <c r="J388" s="44"/>
      <c r="K388" s="44"/>
      <c r="L388" s="44"/>
      <c r="M388" s="44" t="str">
        <f t="shared" si="1"/>
        <v>#DIV/0!</v>
      </c>
      <c r="N388" s="44" t="str">
        <f t="shared" si="2"/>
        <v>#DIV/0!</v>
      </c>
      <c r="O388" s="44" t="str">
        <f t="shared" si="4"/>
        <v/>
      </c>
      <c r="P388" s="44" t="str">
        <f t="shared" si="3"/>
        <v>#DIV/0!</v>
      </c>
      <c r="Q388" s="44"/>
    </row>
    <row r="389">
      <c r="A389" s="38" t="s">
        <v>1475</v>
      </c>
      <c r="B389" s="39" t="s">
        <v>1476</v>
      </c>
      <c r="C389" s="40" t="s">
        <v>4975</v>
      </c>
      <c r="D389" s="42" t="s">
        <v>4976</v>
      </c>
      <c r="E389" s="51"/>
      <c r="F389" s="51"/>
      <c r="G389" s="51"/>
      <c r="H389" s="44"/>
      <c r="I389" s="44"/>
      <c r="J389" s="44"/>
      <c r="K389" s="44"/>
      <c r="L389" s="44"/>
      <c r="M389" s="44" t="str">
        <f t="shared" si="1"/>
        <v>#DIV/0!</v>
      </c>
      <c r="N389" s="44" t="str">
        <f t="shared" si="2"/>
        <v>#DIV/0!</v>
      </c>
      <c r="O389" s="44" t="str">
        <f t="shared" si="4"/>
        <v/>
      </c>
      <c r="P389" s="44" t="str">
        <f t="shared" si="3"/>
        <v>#DIV/0!</v>
      </c>
      <c r="Q389" s="44"/>
    </row>
    <row r="390">
      <c r="A390" s="38" t="s">
        <v>1479</v>
      </c>
      <c r="B390" s="39" t="s">
        <v>1480</v>
      </c>
      <c r="C390" s="40" t="s">
        <v>555</v>
      </c>
      <c r="D390" s="41" t="s">
        <v>556</v>
      </c>
      <c r="E390" s="51"/>
      <c r="F390" s="51"/>
      <c r="G390" s="51"/>
      <c r="H390" s="44"/>
      <c r="I390" s="44"/>
      <c r="J390" s="44"/>
      <c r="K390" s="44"/>
      <c r="L390" s="44"/>
      <c r="M390" s="44" t="str">
        <f t="shared" si="1"/>
        <v>#DIV/0!</v>
      </c>
      <c r="N390" s="44" t="str">
        <f t="shared" si="2"/>
        <v>#DIV/0!</v>
      </c>
      <c r="O390" s="44" t="str">
        <f t="shared" si="4"/>
        <v/>
      </c>
      <c r="P390" s="44" t="str">
        <f t="shared" si="3"/>
        <v>#DIV/0!</v>
      </c>
      <c r="Q390" s="44"/>
    </row>
    <row r="391">
      <c r="A391" s="38" t="s">
        <v>1481</v>
      </c>
      <c r="B391" s="39" t="s">
        <v>1482</v>
      </c>
      <c r="C391" s="40" t="s">
        <v>172</v>
      </c>
      <c r="D391" s="41" t="s">
        <v>173</v>
      </c>
      <c r="E391" s="51"/>
      <c r="F391" s="51"/>
      <c r="G391" s="51"/>
      <c r="H391" s="44"/>
      <c r="I391" s="44"/>
      <c r="J391" s="44"/>
      <c r="K391" s="44"/>
      <c r="L391" s="44"/>
      <c r="M391" s="44" t="str">
        <f t="shared" si="1"/>
        <v>#DIV/0!</v>
      </c>
      <c r="N391" s="44" t="str">
        <f t="shared" si="2"/>
        <v>#DIV/0!</v>
      </c>
      <c r="O391" s="44" t="str">
        <f t="shared" si="4"/>
        <v/>
      </c>
      <c r="P391" s="44" t="str">
        <f t="shared" si="3"/>
        <v>#DIV/0!</v>
      </c>
      <c r="Q391" s="44"/>
    </row>
    <row r="392">
      <c r="A392" s="38" t="s">
        <v>1483</v>
      </c>
      <c r="B392" s="39" t="s">
        <v>1484</v>
      </c>
      <c r="C392" s="40" t="s">
        <v>1485</v>
      </c>
      <c r="D392" s="41" t="s">
        <v>284</v>
      </c>
      <c r="E392" s="51"/>
      <c r="F392" s="51"/>
      <c r="G392" s="51"/>
      <c r="H392" s="44"/>
      <c r="I392" s="44"/>
      <c r="J392" s="44"/>
      <c r="K392" s="44"/>
      <c r="L392" s="44"/>
      <c r="M392" s="44" t="str">
        <f t="shared" si="1"/>
        <v>#DIV/0!</v>
      </c>
      <c r="N392" s="44" t="str">
        <f t="shared" si="2"/>
        <v>#DIV/0!</v>
      </c>
      <c r="O392" s="44" t="str">
        <f t="shared" si="4"/>
        <v/>
      </c>
      <c r="P392" s="44" t="str">
        <f t="shared" si="3"/>
        <v>#DIV/0!</v>
      </c>
      <c r="Q392" s="44"/>
    </row>
    <row r="393">
      <c r="A393" s="38" t="s">
        <v>1486</v>
      </c>
      <c r="B393" s="39" t="s">
        <v>1487</v>
      </c>
      <c r="C393" s="40" t="s">
        <v>1488</v>
      </c>
      <c r="D393" s="42" t="s">
        <v>4977</v>
      </c>
      <c r="E393" s="51"/>
      <c r="F393" s="51"/>
      <c r="G393" s="51"/>
      <c r="H393" s="44"/>
      <c r="I393" s="44"/>
      <c r="J393" s="44"/>
      <c r="K393" s="44"/>
      <c r="L393" s="44"/>
      <c r="M393" s="44" t="str">
        <f t="shared" si="1"/>
        <v>#DIV/0!</v>
      </c>
      <c r="N393" s="44" t="str">
        <f t="shared" si="2"/>
        <v>#DIV/0!</v>
      </c>
      <c r="O393" s="44" t="str">
        <f t="shared" si="4"/>
        <v/>
      </c>
      <c r="P393" s="44" t="str">
        <f t="shared" si="3"/>
        <v>#DIV/0!</v>
      </c>
      <c r="Q393" s="44"/>
    </row>
    <row r="394">
      <c r="A394" s="38" t="s">
        <v>1490</v>
      </c>
      <c r="B394" s="39" t="s">
        <v>1491</v>
      </c>
      <c r="C394" s="40" t="s">
        <v>4978</v>
      </c>
      <c r="D394" s="41" t="s">
        <v>4979</v>
      </c>
      <c r="E394" s="51"/>
      <c r="F394" s="51"/>
      <c r="G394" s="51"/>
      <c r="H394" s="44"/>
      <c r="I394" s="44"/>
      <c r="J394" s="44"/>
      <c r="K394" s="44"/>
      <c r="L394" s="44"/>
      <c r="M394" s="44" t="str">
        <f t="shared" si="1"/>
        <v>#DIV/0!</v>
      </c>
      <c r="N394" s="44" t="str">
        <f t="shared" si="2"/>
        <v>#DIV/0!</v>
      </c>
      <c r="O394" s="44" t="str">
        <f t="shared" si="4"/>
        <v/>
      </c>
      <c r="P394" s="44" t="str">
        <f t="shared" si="3"/>
        <v>#DIV/0!</v>
      </c>
      <c r="Q394" s="44"/>
    </row>
    <row r="395">
      <c r="A395" s="38" t="s">
        <v>1492</v>
      </c>
      <c r="B395" s="39" t="s">
        <v>1493</v>
      </c>
      <c r="C395" s="40" t="s">
        <v>1048</v>
      </c>
      <c r="D395" s="41" t="s">
        <v>117</v>
      </c>
      <c r="E395" s="51"/>
      <c r="F395" s="51"/>
      <c r="G395" s="51"/>
      <c r="H395" s="44"/>
      <c r="I395" s="44"/>
      <c r="J395" s="44"/>
      <c r="K395" s="44"/>
      <c r="L395" s="44"/>
      <c r="M395" s="44" t="str">
        <f t="shared" si="1"/>
        <v>#DIV/0!</v>
      </c>
      <c r="N395" s="44" t="str">
        <f t="shared" si="2"/>
        <v>#DIV/0!</v>
      </c>
      <c r="O395" s="44" t="str">
        <f t="shared" si="4"/>
        <v/>
      </c>
      <c r="P395" s="44" t="str">
        <f t="shared" si="3"/>
        <v>#DIV/0!</v>
      </c>
      <c r="Q395" s="44"/>
    </row>
    <row r="396">
      <c r="A396" s="38" t="s">
        <v>1494</v>
      </c>
      <c r="B396" s="39" t="s">
        <v>1495</v>
      </c>
      <c r="C396" s="40" t="s">
        <v>268</v>
      </c>
      <c r="D396" s="41" t="s">
        <v>137</v>
      </c>
      <c r="E396" s="51"/>
      <c r="F396" s="51"/>
      <c r="G396" s="51"/>
      <c r="H396" s="44"/>
      <c r="I396" s="44"/>
      <c r="J396" s="44"/>
      <c r="K396" s="44"/>
      <c r="L396" s="44"/>
      <c r="M396" s="44" t="str">
        <f t="shared" si="1"/>
        <v>#DIV/0!</v>
      </c>
      <c r="N396" s="44" t="str">
        <f t="shared" si="2"/>
        <v>#DIV/0!</v>
      </c>
      <c r="O396" s="44" t="str">
        <f t="shared" si="4"/>
        <v/>
      </c>
      <c r="P396" s="44" t="str">
        <f t="shared" si="3"/>
        <v>#DIV/0!</v>
      </c>
      <c r="Q396" s="44"/>
    </row>
    <row r="397">
      <c r="A397" s="38" t="s">
        <v>1496</v>
      </c>
      <c r="B397" s="39" t="s">
        <v>1497</v>
      </c>
      <c r="C397" s="40" t="s">
        <v>1498</v>
      </c>
      <c r="D397" s="42" t="s">
        <v>4980</v>
      </c>
      <c r="E397" s="51"/>
      <c r="F397" s="51"/>
      <c r="G397" s="51"/>
      <c r="H397" s="44"/>
      <c r="I397" s="44"/>
      <c r="J397" s="44"/>
      <c r="K397" s="44"/>
      <c r="L397" s="44"/>
      <c r="M397" s="44" t="str">
        <f t="shared" si="1"/>
        <v>#DIV/0!</v>
      </c>
      <c r="N397" s="44" t="str">
        <f t="shared" si="2"/>
        <v>#DIV/0!</v>
      </c>
      <c r="O397" s="44" t="str">
        <f t="shared" si="4"/>
        <v/>
      </c>
      <c r="P397" s="44" t="str">
        <f t="shared" si="3"/>
        <v>#DIV/0!</v>
      </c>
      <c r="Q397" s="44"/>
    </row>
    <row r="398">
      <c r="A398" s="38" t="s">
        <v>1500</v>
      </c>
      <c r="B398" s="39" t="s">
        <v>1501</v>
      </c>
      <c r="C398" s="40" t="s">
        <v>1502</v>
      </c>
      <c r="D398" s="41" t="s">
        <v>1503</v>
      </c>
      <c r="E398" s="51"/>
      <c r="F398" s="51"/>
      <c r="G398" s="51"/>
      <c r="H398" s="44"/>
      <c r="I398" s="44"/>
      <c r="J398" s="44"/>
      <c r="K398" s="44"/>
      <c r="L398" s="44"/>
      <c r="M398" s="44" t="str">
        <f t="shared" si="1"/>
        <v>#DIV/0!</v>
      </c>
      <c r="N398" s="44" t="str">
        <f t="shared" si="2"/>
        <v>#DIV/0!</v>
      </c>
      <c r="O398" s="44" t="str">
        <f t="shared" si="4"/>
        <v/>
      </c>
      <c r="P398" s="44" t="str">
        <f t="shared" si="3"/>
        <v>#DIV/0!</v>
      </c>
      <c r="Q398" s="44"/>
    </row>
    <row r="399">
      <c r="A399" s="38" t="s">
        <v>1504</v>
      </c>
      <c r="B399" s="39" t="s">
        <v>1505</v>
      </c>
      <c r="C399" s="40" t="s">
        <v>268</v>
      </c>
      <c r="D399" s="41" t="s">
        <v>137</v>
      </c>
      <c r="E399" s="51"/>
      <c r="F399" s="51"/>
      <c r="G399" s="51"/>
      <c r="H399" s="44"/>
      <c r="I399" s="44"/>
      <c r="J399" s="44"/>
      <c r="K399" s="44"/>
      <c r="L399" s="44"/>
      <c r="M399" s="44" t="str">
        <f t="shared" si="1"/>
        <v>#DIV/0!</v>
      </c>
      <c r="N399" s="44" t="str">
        <f t="shared" si="2"/>
        <v>#DIV/0!</v>
      </c>
      <c r="O399" s="44" t="str">
        <f t="shared" si="4"/>
        <v/>
      </c>
      <c r="P399" s="44" t="str">
        <f t="shared" si="3"/>
        <v>#DIV/0!</v>
      </c>
      <c r="Q399" s="44"/>
    </row>
    <row r="400">
      <c r="A400" s="38" t="s">
        <v>1506</v>
      </c>
      <c r="B400" s="39" t="s">
        <v>1507</v>
      </c>
      <c r="C400" s="40" t="s">
        <v>1262</v>
      </c>
      <c r="D400" s="41" t="s">
        <v>1263</v>
      </c>
      <c r="E400" s="51"/>
      <c r="F400" s="51"/>
      <c r="G400" s="51"/>
      <c r="H400" s="44"/>
      <c r="I400" s="44"/>
      <c r="J400" s="44"/>
      <c r="K400" s="44"/>
      <c r="L400" s="44"/>
      <c r="M400" s="44" t="str">
        <f t="shared" si="1"/>
        <v>#DIV/0!</v>
      </c>
      <c r="N400" s="44" t="str">
        <f t="shared" si="2"/>
        <v>#DIV/0!</v>
      </c>
      <c r="O400" s="44" t="str">
        <f t="shared" si="4"/>
        <v/>
      </c>
      <c r="P400" s="44" t="str">
        <f t="shared" si="3"/>
        <v>#DIV/0!</v>
      </c>
      <c r="Q400" s="44"/>
    </row>
    <row r="401">
      <c r="A401" s="38" t="s">
        <v>1508</v>
      </c>
      <c r="B401" s="39" t="s">
        <v>1509</v>
      </c>
      <c r="C401" s="40" t="s">
        <v>4981</v>
      </c>
      <c r="D401" s="41" t="s">
        <v>1511</v>
      </c>
      <c r="E401" s="51"/>
      <c r="F401" s="51"/>
      <c r="G401" s="51"/>
      <c r="H401" s="44"/>
      <c r="I401" s="44"/>
      <c r="J401" s="44"/>
      <c r="K401" s="44"/>
      <c r="L401" s="44"/>
      <c r="M401" s="44" t="str">
        <f t="shared" si="1"/>
        <v>#DIV/0!</v>
      </c>
      <c r="N401" s="44" t="str">
        <f t="shared" si="2"/>
        <v>#DIV/0!</v>
      </c>
      <c r="O401" s="44" t="str">
        <f t="shared" si="4"/>
        <v/>
      </c>
      <c r="P401" s="44" t="str">
        <f t="shared" si="3"/>
        <v>#DIV/0!</v>
      </c>
      <c r="Q401" s="44"/>
    </row>
    <row r="402">
      <c r="A402" s="38" t="s">
        <v>1512</v>
      </c>
      <c r="B402" s="39" t="s">
        <v>1513</v>
      </c>
      <c r="C402" s="40" t="s">
        <v>1514</v>
      </c>
      <c r="D402" s="42" t="s">
        <v>4982</v>
      </c>
      <c r="E402" s="51"/>
      <c r="F402" s="51"/>
      <c r="G402" s="51"/>
      <c r="H402" s="44"/>
      <c r="I402" s="44"/>
      <c r="J402" s="44"/>
      <c r="K402" s="44"/>
      <c r="L402" s="44"/>
      <c r="M402" s="44" t="str">
        <f t="shared" si="1"/>
        <v>#DIV/0!</v>
      </c>
      <c r="N402" s="44" t="str">
        <f t="shared" si="2"/>
        <v>#DIV/0!</v>
      </c>
      <c r="O402" s="44" t="str">
        <f t="shared" si="4"/>
        <v/>
      </c>
      <c r="P402" s="44" t="str">
        <f t="shared" si="3"/>
        <v>#DIV/0!</v>
      </c>
      <c r="Q402" s="44"/>
    </row>
    <row r="403">
      <c r="A403" s="38" t="s">
        <v>1516</v>
      </c>
      <c r="B403" s="39" t="s">
        <v>1517</v>
      </c>
      <c r="C403" s="40" t="s">
        <v>1154</v>
      </c>
      <c r="D403" s="41" t="s">
        <v>1155</v>
      </c>
      <c r="E403" s="51"/>
      <c r="F403" s="51"/>
      <c r="G403" s="51"/>
      <c r="H403" s="44"/>
      <c r="I403" s="44"/>
      <c r="J403" s="44"/>
      <c r="K403" s="44"/>
      <c r="L403" s="44"/>
      <c r="M403" s="44" t="str">
        <f t="shared" si="1"/>
        <v>#DIV/0!</v>
      </c>
      <c r="N403" s="44" t="str">
        <f t="shared" si="2"/>
        <v>#DIV/0!</v>
      </c>
      <c r="O403" s="44" t="str">
        <f t="shared" si="4"/>
        <v/>
      </c>
      <c r="P403" s="44" t="str">
        <f t="shared" si="3"/>
        <v>#DIV/0!</v>
      </c>
      <c r="Q403" s="44"/>
    </row>
    <row r="404">
      <c r="A404" s="38" t="s">
        <v>1518</v>
      </c>
      <c r="B404" s="39" t="s">
        <v>1519</v>
      </c>
      <c r="C404" s="40" t="s">
        <v>4983</v>
      </c>
      <c r="D404" s="41" t="s">
        <v>1521</v>
      </c>
      <c r="E404" s="51"/>
      <c r="F404" s="51"/>
      <c r="G404" s="51"/>
      <c r="H404" s="44"/>
      <c r="I404" s="44"/>
      <c r="J404" s="44"/>
      <c r="K404" s="44"/>
      <c r="L404" s="44"/>
      <c r="M404" s="44" t="str">
        <f t="shared" si="1"/>
        <v>#DIV/0!</v>
      </c>
      <c r="N404" s="44" t="str">
        <f t="shared" si="2"/>
        <v>#DIV/0!</v>
      </c>
      <c r="O404" s="44" t="str">
        <f t="shared" si="4"/>
        <v/>
      </c>
      <c r="P404" s="44" t="str">
        <f t="shared" si="3"/>
        <v>#DIV/0!</v>
      </c>
      <c r="Q404" s="44"/>
    </row>
    <row r="405">
      <c r="A405" s="38" t="s">
        <v>1522</v>
      </c>
      <c r="B405" s="39" t="s">
        <v>1523</v>
      </c>
      <c r="C405" s="40" t="s">
        <v>1524</v>
      </c>
      <c r="D405" s="41" t="s">
        <v>1525</v>
      </c>
      <c r="E405" s="51"/>
      <c r="F405" s="51"/>
      <c r="G405" s="51"/>
      <c r="H405" s="44"/>
      <c r="I405" s="44"/>
      <c r="J405" s="44"/>
      <c r="K405" s="44"/>
      <c r="L405" s="44"/>
      <c r="M405" s="44" t="str">
        <f t="shared" si="1"/>
        <v>#DIV/0!</v>
      </c>
      <c r="N405" s="44" t="str">
        <f t="shared" si="2"/>
        <v>#DIV/0!</v>
      </c>
      <c r="O405" s="44" t="str">
        <f t="shared" si="4"/>
        <v/>
      </c>
      <c r="P405" s="44" t="str">
        <f t="shared" si="3"/>
        <v>#DIV/0!</v>
      </c>
      <c r="Q405" s="44"/>
    </row>
    <row r="406">
      <c r="A406" s="38" t="s">
        <v>1526</v>
      </c>
      <c r="B406" s="39" t="s">
        <v>1527</v>
      </c>
      <c r="C406" s="40" t="s">
        <v>4984</v>
      </c>
      <c r="D406" s="42" t="s">
        <v>4985</v>
      </c>
      <c r="E406" s="51"/>
      <c r="F406" s="51"/>
      <c r="G406" s="51"/>
      <c r="H406" s="44"/>
      <c r="I406" s="44"/>
      <c r="J406" s="44"/>
      <c r="K406" s="44"/>
      <c r="L406" s="44"/>
      <c r="M406" s="44" t="str">
        <f t="shared" si="1"/>
        <v>#DIV/0!</v>
      </c>
      <c r="N406" s="44" t="str">
        <f t="shared" si="2"/>
        <v>#DIV/0!</v>
      </c>
      <c r="O406" s="44" t="str">
        <f t="shared" si="4"/>
        <v/>
      </c>
      <c r="P406" s="44" t="str">
        <f t="shared" si="3"/>
        <v>#DIV/0!</v>
      </c>
      <c r="Q406" s="44"/>
    </row>
    <row r="407">
      <c r="A407" s="38" t="s">
        <v>1530</v>
      </c>
      <c r="B407" s="39" t="s">
        <v>1531</v>
      </c>
      <c r="C407" s="40" t="s">
        <v>1532</v>
      </c>
      <c r="D407" s="41" t="s">
        <v>1533</v>
      </c>
      <c r="E407" s="51"/>
      <c r="F407" s="51"/>
      <c r="G407" s="51"/>
      <c r="H407" s="44"/>
      <c r="I407" s="44"/>
      <c r="J407" s="44"/>
      <c r="K407" s="44"/>
      <c r="L407" s="44"/>
      <c r="M407" s="44" t="str">
        <f t="shared" si="1"/>
        <v>#DIV/0!</v>
      </c>
      <c r="N407" s="44" t="str">
        <f t="shared" si="2"/>
        <v>#DIV/0!</v>
      </c>
      <c r="O407" s="44" t="str">
        <f t="shared" si="4"/>
        <v/>
      </c>
      <c r="P407" s="44" t="str">
        <f t="shared" si="3"/>
        <v>#DIV/0!</v>
      </c>
      <c r="Q407" s="44"/>
    </row>
    <row r="408">
      <c r="A408" s="38" t="s">
        <v>1534</v>
      </c>
      <c r="B408" s="39" t="s">
        <v>1535</v>
      </c>
      <c r="C408" s="40" t="s">
        <v>4986</v>
      </c>
      <c r="D408" s="42" t="s">
        <v>4987</v>
      </c>
      <c r="E408" s="51"/>
      <c r="F408" s="51"/>
      <c r="G408" s="51"/>
      <c r="H408" s="44"/>
      <c r="I408" s="44"/>
      <c r="J408" s="44"/>
      <c r="K408" s="44"/>
      <c r="L408" s="44"/>
      <c r="M408" s="44" t="str">
        <f t="shared" si="1"/>
        <v>#DIV/0!</v>
      </c>
      <c r="N408" s="44" t="str">
        <f t="shared" si="2"/>
        <v>#DIV/0!</v>
      </c>
      <c r="O408" s="44" t="str">
        <f t="shared" si="4"/>
        <v/>
      </c>
      <c r="P408" s="44" t="str">
        <f t="shared" si="3"/>
        <v>#DIV/0!</v>
      </c>
      <c r="Q408" s="44"/>
    </row>
    <row r="409">
      <c r="A409" s="38" t="s">
        <v>1538</v>
      </c>
      <c r="B409" s="39" t="s">
        <v>1539</v>
      </c>
      <c r="C409" s="40" t="s">
        <v>1540</v>
      </c>
      <c r="D409" s="41" t="s">
        <v>1541</v>
      </c>
      <c r="E409" s="51"/>
      <c r="F409" s="51"/>
      <c r="G409" s="51"/>
      <c r="H409" s="44"/>
      <c r="I409" s="44"/>
      <c r="J409" s="44"/>
      <c r="K409" s="44"/>
      <c r="L409" s="44"/>
      <c r="M409" s="44" t="str">
        <f t="shared" si="1"/>
        <v>#DIV/0!</v>
      </c>
      <c r="N409" s="44" t="str">
        <f t="shared" si="2"/>
        <v>#DIV/0!</v>
      </c>
      <c r="O409" s="44" t="str">
        <f t="shared" si="4"/>
        <v/>
      </c>
      <c r="P409" s="44" t="str">
        <f t="shared" si="3"/>
        <v>#DIV/0!</v>
      </c>
      <c r="Q409" s="44"/>
    </row>
    <row r="410">
      <c r="A410" s="38" t="s">
        <v>1542</v>
      </c>
      <c r="B410" s="39" t="s">
        <v>1543</v>
      </c>
      <c r="C410" s="40" t="s">
        <v>1234</v>
      </c>
      <c r="D410" s="41" t="s">
        <v>1235</v>
      </c>
      <c r="E410" s="51"/>
      <c r="F410" s="51"/>
      <c r="G410" s="51"/>
      <c r="H410" s="44"/>
      <c r="I410" s="44"/>
      <c r="J410" s="44"/>
      <c r="K410" s="44"/>
      <c r="L410" s="44"/>
      <c r="M410" s="44" t="str">
        <f t="shared" si="1"/>
        <v>#DIV/0!</v>
      </c>
      <c r="N410" s="44" t="str">
        <f t="shared" si="2"/>
        <v>#DIV/0!</v>
      </c>
      <c r="O410" s="44" t="str">
        <f t="shared" si="4"/>
        <v/>
      </c>
      <c r="P410" s="44" t="str">
        <f t="shared" si="3"/>
        <v>#DIV/0!</v>
      </c>
      <c r="Q410" s="44"/>
    </row>
    <row r="411">
      <c r="A411" s="38" t="s">
        <v>1544</v>
      </c>
      <c r="B411" s="39" t="s">
        <v>1545</v>
      </c>
      <c r="C411" s="40" t="s">
        <v>4988</v>
      </c>
      <c r="D411" s="42" t="s">
        <v>1547</v>
      </c>
      <c r="E411" s="51"/>
      <c r="F411" s="51"/>
      <c r="G411" s="51"/>
      <c r="H411" s="44"/>
      <c r="I411" s="44"/>
      <c r="J411" s="44"/>
      <c r="K411" s="44"/>
      <c r="L411" s="44"/>
      <c r="M411" s="44" t="str">
        <f t="shared" si="1"/>
        <v>#DIV/0!</v>
      </c>
      <c r="N411" s="44" t="str">
        <f t="shared" si="2"/>
        <v>#DIV/0!</v>
      </c>
      <c r="O411" s="44" t="str">
        <f t="shared" si="4"/>
        <v/>
      </c>
      <c r="P411" s="44" t="str">
        <f t="shared" si="3"/>
        <v>#DIV/0!</v>
      </c>
      <c r="Q411" s="44"/>
    </row>
    <row r="412">
      <c r="A412" s="38" t="s">
        <v>1548</v>
      </c>
      <c r="B412" s="39" t="s">
        <v>1549</v>
      </c>
      <c r="C412" s="40" t="s">
        <v>1550</v>
      </c>
      <c r="D412" s="41" t="s">
        <v>1551</v>
      </c>
      <c r="E412" s="51"/>
      <c r="F412" s="51"/>
      <c r="G412" s="51"/>
      <c r="H412" s="44"/>
      <c r="I412" s="44"/>
      <c r="J412" s="44"/>
      <c r="K412" s="44"/>
      <c r="L412" s="44"/>
      <c r="M412" s="44" t="str">
        <f t="shared" si="1"/>
        <v>#DIV/0!</v>
      </c>
      <c r="N412" s="44" t="str">
        <f t="shared" si="2"/>
        <v>#DIV/0!</v>
      </c>
      <c r="O412" s="44" t="str">
        <f t="shared" si="4"/>
        <v/>
      </c>
      <c r="P412" s="44" t="str">
        <f t="shared" si="3"/>
        <v>#DIV/0!</v>
      </c>
      <c r="Q412" s="44"/>
    </row>
    <row r="413">
      <c r="A413" s="38" t="s">
        <v>1552</v>
      </c>
      <c r="B413" s="39" t="s">
        <v>1553</v>
      </c>
      <c r="C413" s="40" t="s">
        <v>4989</v>
      </c>
      <c r="D413" s="42" t="s">
        <v>4990</v>
      </c>
      <c r="E413" s="51"/>
      <c r="F413" s="51"/>
      <c r="G413" s="51"/>
      <c r="H413" s="44"/>
      <c r="I413" s="44"/>
      <c r="J413" s="44"/>
      <c r="K413" s="44"/>
      <c r="L413" s="44"/>
      <c r="M413" s="44" t="str">
        <f t="shared" si="1"/>
        <v>#DIV/0!</v>
      </c>
      <c r="N413" s="44" t="str">
        <f t="shared" si="2"/>
        <v>#DIV/0!</v>
      </c>
      <c r="O413" s="44" t="str">
        <f t="shared" si="4"/>
        <v/>
      </c>
      <c r="P413" s="44" t="str">
        <f t="shared" si="3"/>
        <v>#DIV/0!</v>
      </c>
      <c r="Q413" s="44"/>
    </row>
    <row r="414">
      <c r="A414" s="38" t="s">
        <v>1556</v>
      </c>
      <c r="B414" s="39" t="s">
        <v>1557</v>
      </c>
      <c r="C414" s="40" t="s">
        <v>1558</v>
      </c>
      <c r="D414" s="41" t="s">
        <v>445</v>
      </c>
      <c r="E414" s="51"/>
      <c r="F414" s="51"/>
      <c r="G414" s="51"/>
      <c r="H414" s="44"/>
      <c r="I414" s="44"/>
      <c r="J414" s="44"/>
      <c r="K414" s="44"/>
      <c r="L414" s="44"/>
      <c r="M414" s="44" t="str">
        <f t="shared" si="1"/>
        <v>#DIV/0!</v>
      </c>
      <c r="N414" s="44" t="str">
        <f t="shared" si="2"/>
        <v>#DIV/0!</v>
      </c>
      <c r="O414" s="44" t="str">
        <f t="shared" si="4"/>
        <v/>
      </c>
      <c r="P414" s="44" t="str">
        <f t="shared" si="3"/>
        <v>#DIV/0!</v>
      </c>
      <c r="Q414" s="44"/>
    </row>
    <row r="415">
      <c r="A415" s="38" t="s">
        <v>1559</v>
      </c>
      <c r="B415" s="39" t="s">
        <v>1560</v>
      </c>
      <c r="C415" s="40" t="s">
        <v>1561</v>
      </c>
      <c r="D415" s="42" t="s">
        <v>4991</v>
      </c>
      <c r="E415" s="51"/>
      <c r="F415" s="51"/>
      <c r="G415" s="51"/>
      <c r="H415" s="44"/>
      <c r="I415" s="44"/>
      <c r="J415" s="44"/>
      <c r="K415" s="44"/>
      <c r="L415" s="44"/>
      <c r="M415" s="44" t="str">
        <f t="shared" si="1"/>
        <v>#DIV/0!</v>
      </c>
      <c r="N415" s="44" t="str">
        <f t="shared" si="2"/>
        <v>#DIV/0!</v>
      </c>
      <c r="O415" s="44" t="str">
        <f t="shared" si="4"/>
        <v/>
      </c>
      <c r="P415" s="44" t="str">
        <f t="shared" si="3"/>
        <v>#DIV/0!</v>
      </c>
      <c r="Q415" s="44"/>
    </row>
    <row r="416">
      <c r="A416" s="38" t="s">
        <v>1563</v>
      </c>
      <c r="B416" s="39" t="s">
        <v>1564</v>
      </c>
      <c r="C416" s="40" t="s">
        <v>2214</v>
      </c>
      <c r="D416" s="42" t="s">
        <v>872</v>
      </c>
      <c r="E416" s="51"/>
      <c r="F416" s="51"/>
      <c r="G416" s="51"/>
      <c r="H416" s="44"/>
      <c r="I416" s="44"/>
      <c r="J416" s="44"/>
      <c r="K416" s="44"/>
      <c r="L416" s="44"/>
      <c r="M416" s="44" t="str">
        <f t="shared" si="1"/>
        <v>#DIV/0!</v>
      </c>
      <c r="N416" s="44" t="str">
        <f t="shared" si="2"/>
        <v>#DIV/0!</v>
      </c>
      <c r="O416" s="44" t="str">
        <f t="shared" si="4"/>
        <v/>
      </c>
      <c r="P416" s="44" t="str">
        <f t="shared" si="3"/>
        <v>#DIV/0!</v>
      </c>
      <c r="Q416" s="44"/>
    </row>
    <row r="417">
      <c r="A417" s="38" t="s">
        <v>1567</v>
      </c>
      <c r="B417" s="39" t="s">
        <v>1568</v>
      </c>
      <c r="C417" s="40" t="s">
        <v>508</v>
      </c>
      <c r="D417" s="41" t="s">
        <v>509</v>
      </c>
      <c r="E417" s="51"/>
      <c r="F417" s="51"/>
      <c r="G417" s="51"/>
      <c r="H417" s="44"/>
      <c r="I417" s="44"/>
      <c r="J417" s="44"/>
      <c r="K417" s="44"/>
      <c r="L417" s="44"/>
      <c r="M417" s="44" t="str">
        <f t="shared" si="1"/>
        <v>#DIV/0!</v>
      </c>
      <c r="N417" s="44" t="str">
        <f t="shared" si="2"/>
        <v>#DIV/0!</v>
      </c>
      <c r="O417" s="44" t="str">
        <f t="shared" si="4"/>
        <v/>
      </c>
      <c r="P417" s="44" t="str">
        <f t="shared" si="3"/>
        <v>#DIV/0!</v>
      </c>
      <c r="Q417" s="44"/>
    </row>
    <row r="418">
      <c r="A418" s="38" t="s">
        <v>1570</v>
      </c>
      <c r="B418" s="39" t="s">
        <v>1571</v>
      </c>
      <c r="C418" s="40" t="s">
        <v>4992</v>
      </c>
      <c r="D418" s="41" t="s">
        <v>1573</v>
      </c>
      <c r="E418" s="51"/>
      <c r="F418" s="51"/>
      <c r="G418" s="51"/>
      <c r="H418" s="44"/>
      <c r="I418" s="44"/>
      <c r="J418" s="44"/>
      <c r="K418" s="44"/>
      <c r="L418" s="44"/>
      <c r="M418" s="44" t="str">
        <f t="shared" si="1"/>
        <v>#DIV/0!</v>
      </c>
      <c r="N418" s="44" t="str">
        <f t="shared" si="2"/>
        <v>#DIV/0!</v>
      </c>
      <c r="O418" s="44" t="str">
        <f t="shared" si="4"/>
        <v/>
      </c>
      <c r="P418" s="44" t="str">
        <f t="shared" si="3"/>
        <v>#DIV/0!</v>
      </c>
      <c r="Q418" s="44"/>
    </row>
    <row r="419">
      <c r="A419" s="38" t="s">
        <v>1574</v>
      </c>
      <c r="B419" s="39" t="s">
        <v>1575</v>
      </c>
      <c r="C419" s="40" t="s">
        <v>48</v>
      </c>
      <c r="D419" s="41" t="s">
        <v>49</v>
      </c>
      <c r="E419" s="51"/>
      <c r="F419" s="51"/>
      <c r="G419" s="51"/>
      <c r="H419" s="44"/>
      <c r="I419" s="44"/>
      <c r="J419" s="44"/>
      <c r="K419" s="44"/>
      <c r="L419" s="44"/>
      <c r="M419" s="44" t="str">
        <f t="shared" si="1"/>
        <v>#DIV/0!</v>
      </c>
      <c r="N419" s="44" t="str">
        <f t="shared" si="2"/>
        <v>#DIV/0!</v>
      </c>
      <c r="O419" s="44" t="str">
        <f t="shared" si="4"/>
        <v/>
      </c>
      <c r="P419" s="44" t="str">
        <f t="shared" si="3"/>
        <v>#DIV/0!</v>
      </c>
      <c r="Q419" s="44"/>
    </row>
    <row r="420">
      <c r="A420" s="38" t="s">
        <v>1576</v>
      </c>
      <c r="B420" s="39" t="s">
        <v>1577</v>
      </c>
      <c r="C420" s="40" t="s">
        <v>176</v>
      </c>
      <c r="D420" s="41" t="s">
        <v>177</v>
      </c>
      <c r="E420" s="51"/>
      <c r="F420" s="51"/>
      <c r="G420" s="51"/>
      <c r="H420" s="44"/>
      <c r="I420" s="44"/>
      <c r="J420" s="44"/>
      <c r="K420" s="44"/>
      <c r="L420" s="44"/>
      <c r="M420" s="44" t="str">
        <f t="shared" si="1"/>
        <v>#DIV/0!</v>
      </c>
      <c r="N420" s="44" t="str">
        <f t="shared" si="2"/>
        <v>#DIV/0!</v>
      </c>
      <c r="O420" s="44" t="str">
        <f t="shared" si="4"/>
        <v/>
      </c>
      <c r="P420" s="44" t="str">
        <f t="shared" si="3"/>
        <v>#DIV/0!</v>
      </c>
      <c r="Q420" s="44"/>
    </row>
    <row r="421">
      <c r="A421" s="38" t="s">
        <v>1579</v>
      </c>
      <c r="B421" s="39" t="s">
        <v>1580</v>
      </c>
      <c r="C421" s="40" t="s">
        <v>1421</v>
      </c>
      <c r="D421" s="41" t="s">
        <v>1422</v>
      </c>
      <c r="E421" s="51"/>
      <c r="F421" s="51"/>
      <c r="G421" s="51"/>
      <c r="H421" s="44"/>
      <c r="I421" s="44"/>
      <c r="J421" s="44"/>
      <c r="K421" s="44"/>
      <c r="L421" s="44"/>
      <c r="M421" s="44" t="str">
        <f t="shared" si="1"/>
        <v>#DIV/0!</v>
      </c>
      <c r="N421" s="44" t="str">
        <f t="shared" si="2"/>
        <v>#DIV/0!</v>
      </c>
      <c r="O421" s="44" t="str">
        <f t="shared" si="4"/>
        <v/>
      </c>
      <c r="P421" s="44" t="str">
        <f t="shared" si="3"/>
        <v>#DIV/0!</v>
      </c>
      <c r="Q421" s="44"/>
    </row>
    <row r="422">
      <c r="A422" s="38" t="s">
        <v>1581</v>
      </c>
      <c r="B422" s="39" t="s">
        <v>1582</v>
      </c>
      <c r="C422" s="40" t="s">
        <v>4993</v>
      </c>
      <c r="D422" s="42" t="s">
        <v>4994</v>
      </c>
      <c r="E422" s="51"/>
      <c r="F422" s="51"/>
      <c r="G422" s="51"/>
      <c r="H422" s="44"/>
      <c r="I422" s="44"/>
      <c r="J422" s="44"/>
      <c r="K422" s="44"/>
      <c r="L422" s="44"/>
      <c r="M422" s="44" t="str">
        <f t="shared" si="1"/>
        <v>#DIV/0!</v>
      </c>
      <c r="N422" s="44" t="str">
        <f t="shared" si="2"/>
        <v>#DIV/0!</v>
      </c>
      <c r="O422" s="44" t="str">
        <f t="shared" si="4"/>
        <v/>
      </c>
      <c r="P422" s="44" t="str">
        <f t="shared" si="3"/>
        <v>#DIV/0!</v>
      </c>
      <c r="Q422" s="44"/>
    </row>
    <row r="423">
      <c r="A423" s="38" t="s">
        <v>1585</v>
      </c>
      <c r="B423" s="39" t="s">
        <v>1586</v>
      </c>
      <c r="C423" s="40" t="s">
        <v>268</v>
      </c>
      <c r="D423" s="41" t="s">
        <v>137</v>
      </c>
      <c r="E423" s="51"/>
      <c r="F423" s="51"/>
      <c r="G423" s="51"/>
      <c r="H423" s="44"/>
      <c r="I423" s="44"/>
      <c r="J423" s="44"/>
      <c r="K423" s="44"/>
      <c r="L423" s="44"/>
      <c r="M423" s="44" t="str">
        <f t="shared" si="1"/>
        <v>#DIV/0!</v>
      </c>
      <c r="N423" s="44" t="str">
        <f t="shared" si="2"/>
        <v>#DIV/0!</v>
      </c>
      <c r="O423" s="44" t="str">
        <f t="shared" si="4"/>
        <v/>
      </c>
      <c r="P423" s="44" t="str">
        <f t="shared" si="3"/>
        <v>#DIV/0!</v>
      </c>
      <c r="Q423" s="44"/>
    </row>
    <row r="424">
      <c r="A424" s="38" t="s">
        <v>1587</v>
      </c>
      <c r="B424" s="39" t="s">
        <v>1588</v>
      </c>
      <c r="C424" s="40" t="s">
        <v>1589</v>
      </c>
      <c r="D424" s="42" t="s">
        <v>1590</v>
      </c>
      <c r="E424" s="51"/>
      <c r="F424" s="51"/>
      <c r="G424" s="51"/>
      <c r="H424" s="44"/>
      <c r="I424" s="44"/>
      <c r="J424" s="44"/>
      <c r="K424" s="44"/>
      <c r="L424" s="44"/>
      <c r="M424" s="44" t="str">
        <f t="shared" si="1"/>
        <v>#DIV/0!</v>
      </c>
      <c r="N424" s="44" t="str">
        <f t="shared" si="2"/>
        <v>#DIV/0!</v>
      </c>
      <c r="O424" s="44" t="str">
        <f t="shared" si="4"/>
        <v/>
      </c>
      <c r="P424" s="44" t="str">
        <f t="shared" si="3"/>
        <v>#DIV/0!</v>
      </c>
      <c r="Q424" s="44"/>
    </row>
    <row r="425">
      <c r="A425" s="38" t="s">
        <v>1591</v>
      </c>
      <c r="B425" s="39" t="s">
        <v>1592</v>
      </c>
      <c r="C425" s="40" t="s">
        <v>148</v>
      </c>
      <c r="D425" s="41" t="s">
        <v>149</v>
      </c>
      <c r="E425" s="51"/>
      <c r="F425" s="51"/>
      <c r="G425" s="51"/>
      <c r="H425" s="44"/>
      <c r="I425" s="44"/>
      <c r="J425" s="44"/>
      <c r="K425" s="44"/>
      <c r="L425" s="44"/>
      <c r="M425" s="44" t="str">
        <f t="shared" si="1"/>
        <v>#DIV/0!</v>
      </c>
      <c r="N425" s="44" t="str">
        <f t="shared" si="2"/>
        <v>#DIV/0!</v>
      </c>
      <c r="O425" s="44" t="str">
        <f t="shared" si="4"/>
        <v/>
      </c>
      <c r="P425" s="44" t="str">
        <f t="shared" si="3"/>
        <v>#DIV/0!</v>
      </c>
      <c r="Q425" s="44"/>
    </row>
    <row r="426">
      <c r="A426" s="38" t="s">
        <v>1593</v>
      </c>
      <c r="B426" s="39" t="s">
        <v>1594</v>
      </c>
      <c r="C426" s="40" t="s">
        <v>40</v>
      </c>
      <c r="D426" s="41" t="s">
        <v>41</v>
      </c>
      <c r="E426" s="51"/>
      <c r="F426" s="51"/>
      <c r="G426" s="51"/>
      <c r="H426" s="44"/>
      <c r="I426" s="44"/>
      <c r="J426" s="44"/>
      <c r="K426" s="44"/>
      <c r="L426" s="44"/>
      <c r="M426" s="44" t="str">
        <f t="shared" si="1"/>
        <v>#DIV/0!</v>
      </c>
      <c r="N426" s="44" t="str">
        <f t="shared" si="2"/>
        <v>#DIV/0!</v>
      </c>
      <c r="O426" s="44" t="str">
        <f t="shared" si="4"/>
        <v/>
      </c>
      <c r="P426" s="44" t="str">
        <f t="shared" si="3"/>
        <v>#DIV/0!</v>
      </c>
      <c r="Q426" s="44"/>
    </row>
    <row r="427">
      <c r="A427" s="38" t="s">
        <v>1595</v>
      </c>
      <c r="B427" s="39" t="s">
        <v>1596</v>
      </c>
      <c r="C427" s="40" t="s">
        <v>4995</v>
      </c>
      <c r="D427" s="41" t="s">
        <v>1598</v>
      </c>
      <c r="E427" s="51"/>
      <c r="F427" s="51"/>
      <c r="G427" s="51"/>
      <c r="H427" s="44"/>
      <c r="I427" s="44"/>
      <c r="J427" s="44"/>
      <c r="K427" s="44"/>
      <c r="L427" s="44"/>
      <c r="M427" s="44" t="str">
        <f t="shared" si="1"/>
        <v>#DIV/0!</v>
      </c>
      <c r="N427" s="44" t="str">
        <f t="shared" si="2"/>
        <v>#DIV/0!</v>
      </c>
      <c r="O427" s="44" t="str">
        <f t="shared" si="4"/>
        <v/>
      </c>
      <c r="P427" s="44" t="str">
        <f t="shared" si="3"/>
        <v>#DIV/0!</v>
      </c>
      <c r="Q427" s="44"/>
    </row>
    <row r="428">
      <c r="A428" s="38" t="s">
        <v>1599</v>
      </c>
      <c r="B428" s="39" t="s">
        <v>1600</v>
      </c>
      <c r="C428" s="40" t="s">
        <v>4996</v>
      </c>
      <c r="D428" s="41" t="s">
        <v>478</v>
      </c>
      <c r="E428" s="51"/>
      <c r="F428" s="51"/>
      <c r="G428" s="51"/>
      <c r="H428" s="44"/>
      <c r="I428" s="44"/>
      <c r="J428" s="44"/>
      <c r="K428" s="44"/>
      <c r="L428" s="44"/>
      <c r="M428" s="44" t="str">
        <f t="shared" si="1"/>
        <v>#DIV/0!</v>
      </c>
      <c r="N428" s="44" t="str">
        <f t="shared" si="2"/>
        <v>#DIV/0!</v>
      </c>
      <c r="O428" s="44" t="str">
        <f t="shared" si="4"/>
        <v/>
      </c>
      <c r="P428" s="44" t="str">
        <f t="shared" si="3"/>
        <v>#DIV/0!</v>
      </c>
      <c r="Q428" s="44"/>
    </row>
    <row r="429">
      <c r="A429" s="38" t="s">
        <v>1602</v>
      </c>
      <c r="B429" s="39" t="s">
        <v>1603</v>
      </c>
      <c r="C429" s="40" t="s">
        <v>1604</v>
      </c>
      <c r="D429" s="41" t="s">
        <v>1605</v>
      </c>
      <c r="E429" s="51"/>
      <c r="F429" s="51"/>
      <c r="G429" s="51"/>
      <c r="H429" s="44"/>
      <c r="I429" s="44"/>
      <c r="J429" s="44"/>
      <c r="K429" s="44"/>
      <c r="L429" s="44"/>
      <c r="M429" s="44" t="str">
        <f t="shared" si="1"/>
        <v>#DIV/0!</v>
      </c>
      <c r="N429" s="44" t="str">
        <f t="shared" si="2"/>
        <v>#DIV/0!</v>
      </c>
      <c r="O429" s="44" t="str">
        <f t="shared" si="4"/>
        <v/>
      </c>
      <c r="P429" s="44" t="str">
        <f t="shared" si="3"/>
        <v>#DIV/0!</v>
      </c>
      <c r="Q429" s="44"/>
    </row>
    <row r="430">
      <c r="A430" s="38" t="s">
        <v>1606</v>
      </c>
      <c r="B430" s="39" t="s">
        <v>1607</v>
      </c>
      <c r="C430" s="40" t="s">
        <v>4997</v>
      </c>
      <c r="D430" s="41" t="s">
        <v>4998</v>
      </c>
      <c r="E430" s="51"/>
      <c r="F430" s="51"/>
      <c r="G430" s="51"/>
      <c r="H430" s="44"/>
      <c r="I430" s="44"/>
      <c r="J430" s="44"/>
      <c r="K430" s="44"/>
      <c r="L430" s="44"/>
      <c r="M430" s="44" t="str">
        <f t="shared" si="1"/>
        <v>#DIV/0!</v>
      </c>
      <c r="N430" s="44" t="str">
        <f t="shared" si="2"/>
        <v>#DIV/0!</v>
      </c>
      <c r="O430" s="44" t="str">
        <f t="shared" si="4"/>
        <v/>
      </c>
      <c r="P430" s="44" t="str">
        <f t="shared" si="3"/>
        <v>#DIV/0!</v>
      </c>
      <c r="Q430" s="44"/>
    </row>
    <row r="431">
      <c r="A431" s="38" t="s">
        <v>1610</v>
      </c>
      <c r="B431" s="39" t="s">
        <v>1611</v>
      </c>
      <c r="C431" s="40" t="s">
        <v>991</v>
      </c>
      <c r="D431" s="41" t="s">
        <v>113</v>
      </c>
      <c r="E431" s="51"/>
      <c r="F431" s="51"/>
      <c r="G431" s="51"/>
      <c r="H431" s="44"/>
      <c r="I431" s="44"/>
      <c r="J431" s="44"/>
      <c r="K431" s="44"/>
      <c r="L431" s="44"/>
      <c r="M431" s="44" t="str">
        <f t="shared" si="1"/>
        <v>#DIV/0!</v>
      </c>
      <c r="N431" s="44" t="str">
        <f t="shared" si="2"/>
        <v>#DIV/0!</v>
      </c>
      <c r="O431" s="44" t="str">
        <f t="shared" si="4"/>
        <v/>
      </c>
      <c r="P431" s="44" t="str">
        <f t="shared" si="3"/>
        <v>#DIV/0!</v>
      </c>
      <c r="Q431" s="44"/>
    </row>
    <row r="432">
      <c r="A432" s="38" t="s">
        <v>1612</v>
      </c>
      <c r="B432" s="39" t="s">
        <v>1613</v>
      </c>
      <c r="C432" s="40" t="s">
        <v>1614</v>
      </c>
      <c r="D432" s="42" t="s">
        <v>4999</v>
      </c>
      <c r="E432" s="51"/>
      <c r="F432" s="51"/>
      <c r="G432" s="51"/>
      <c r="H432" s="44"/>
      <c r="I432" s="44"/>
      <c r="J432" s="44"/>
      <c r="K432" s="44"/>
      <c r="L432" s="44"/>
      <c r="M432" s="44" t="str">
        <f t="shared" si="1"/>
        <v>#DIV/0!</v>
      </c>
      <c r="N432" s="44" t="str">
        <f t="shared" si="2"/>
        <v>#DIV/0!</v>
      </c>
      <c r="O432" s="44" t="str">
        <f t="shared" si="4"/>
        <v/>
      </c>
      <c r="P432" s="44" t="str">
        <f t="shared" si="3"/>
        <v>#DIV/0!</v>
      </c>
      <c r="Q432" s="44"/>
    </row>
    <row r="433">
      <c r="A433" s="38" t="s">
        <v>1616</v>
      </c>
      <c r="B433" s="39" t="s">
        <v>1617</v>
      </c>
      <c r="C433" s="40" t="s">
        <v>5000</v>
      </c>
      <c r="D433" s="42" t="s">
        <v>5001</v>
      </c>
      <c r="E433" s="51"/>
      <c r="F433" s="51"/>
      <c r="G433" s="51"/>
      <c r="H433" s="44"/>
      <c r="I433" s="44"/>
      <c r="J433" s="44"/>
      <c r="K433" s="44"/>
      <c r="L433" s="44"/>
      <c r="M433" s="44" t="str">
        <f t="shared" si="1"/>
        <v>#DIV/0!</v>
      </c>
      <c r="N433" s="44" t="str">
        <f t="shared" si="2"/>
        <v>#DIV/0!</v>
      </c>
      <c r="O433" s="44" t="str">
        <f t="shared" si="4"/>
        <v/>
      </c>
      <c r="P433" s="44" t="str">
        <f t="shared" si="3"/>
        <v>#DIV/0!</v>
      </c>
      <c r="Q433" s="44"/>
    </row>
    <row r="434">
      <c r="A434" s="38" t="s">
        <v>1620</v>
      </c>
      <c r="B434" s="39" t="s">
        <v>1621</v>
      </c>
      <c r="C434" s="40" t="s">
        <v>5002</v>
      </c>
      <c r="D434" s="42" t="s">
        <v>5003</v>
      </c>
      <c r="E434" s="51"/>
      <c r="F434" s="51"/>
      <c r="G434" s="51"/>
      <c r="H434" s="44"/>
      <c r="I434" s="44"/>
      <c r="J434" s="44"/>
      <c r="K434" s="44"/>
      <c r="L434" s="44"/>
      <c r="M434" s="44" t="str">
        <f t="shared" si="1"/>
        <v>#DIV/0!</v>
      </c>
      <c r="N434" s="44" t="str">
        <f t="shared" si="2"/>
        <v>#DIV/0!</v>
      </c>
      <c r="O434" s="44" t="str">
        <f t="shared" si="4"/>
        <v/>
      </c>
      <c r="P434" s="44" t="str">
        <f t="shared" si="3"/>
        <v>#DIV/0!</v>
      </c>
      <c r="Q434" s="44"/>
    </row>
    <row r="435">
      <c r="A435" s="38" t="s">
        <v>1624</v>
      </c>
      <c r="B435" s="39" t="s">
        <v>1625</v>
      </c>
      <c r="C435" s="40" t="s">
        <v>64</v>
      </c>
      <c r="D435" s="42" t="s">
        <v>65</v>
      </c>
      <c r="E435" s="51"/>
      <c r="F435" s="51"/>
      <c r="G435" s="51"/>
      <c r="H435" s="44"/>
      <c r="I435" s="44"/>
      <c r="J435" s="44"/>
      <c r="K435" s="44"/>
      <c r="L435" s="44"/>
      <c r="M435" s="44" t="str">
        <f t="shared" si="1"/>
        <v>#DIV/0!</v>
      </c>
      <c r="N435" s="44" t="str">
        <f t="shared" si="2"/>
        <v>#DIV/0!</v>
      </c>
      <c r="O435" s="44" t="str">
        <f t="shared" si="4"/>
        <v/>
      </c>
      <c r="P435" s="44" t="str">
        <f t="shared" si="3"/>
        <v>#DIV/0!</v>
      </c>
      <c r="Q435" s="44"/>
    </row>
    <row r="436">
      <c r="A436" s="38" t="s">
        <v>1626</v>
      </c>
      <c r="B436" s="39" t="s">
        <v>1627</v>
      </c>
      <c r="C436" s="40" t="s">
        <v>44</v>
      </c>
      <c r="D436" s="41" t="s">
        <v>45</v>
      </c>
      <c r="E436" s="51"/>
      <c r="F436" s="51"/>
      <c r="G436" s="51"/>
      <c r="H436" s="44"/>
      <c r="I436" s="44"/>
      <c r="J436" s="44"/>
      <c r="K436" s="44"/>
      <c r="L436" s="44"/>
      <c r="M436" s="44" t="str">
        <f t="shared" si="1"/>
        <v>#DIV/0!</v>
      </c>
      <c r="N436" s="44" t="str">
        <f t="shared" si="2"/>
        <v>#DIV/0!</v>
      </c>
      <c r="O436" s="44" t="str">
        <f t="shared" si="4"/>
        <v/>
      </c>
      <c r="P436" s="44" t="str">
        <f t="shared" si="3"/>
        <v>#DIV/0!</v>
      </c>
      <c r="Q436" s="44"/>
    </row>
    <row r="437">
      <c r="A437" s="38" t="s">
        <v>1628</v>
      </c>
      <c r="B437" s="39" t="s">
        <v>1629</v>
      </c>
      <c r="C437" s="40" t="s">
        <v>991</v>
      </c>
      <c r="D437" s="41" t="s">
        <v>113</v>
      </c>
      <c r="E437" s="51"/>
      <c r="F437" s="51"/>
      <c r="G437" s="51"/>
      <c r="H437" s="44"/>
      <c r="I437" s="44"/>
      <c r="J437" s="44"/>
      <c r="K437" s="44"/>
      <c r="L437" s="44"/>
      <c r="M437" s="44" t="str">
        <f t="shared" si="1"/>
        <v>#DIV/0!</v>
      </c>
      <c r="N437" s="44" t="str">
        <f t="shared" si="2"/>
        <v>#DIV/0!</v>
      </c>
      <c r="O437" s="44" t="str">
        <f t="shared" si="4"/>
        <v/>
      </c>
      <c r="P437" s="44" t="str">
        <f t="shared" si="3"/>
        <v>#DIV/0!</v>
      </c>
      <c r="Q437" s="44"/>
    </row>
    <row r="438">
      <c r="A438" s="38" t="s">
        <v>1630</v>
      </c>
      <c r="B438" s="39" t="s">
        <v>1631</v>
      </c>
      <c r="C438" s="40" t="s">
        <v>1632</v>
      </c>
      <c r="D438" s="41" t="s">
        <v>1633</v>
      </c>
      <c r="E438" s="51"/>
      <c r="F438" s="51"/>
      <c r="G438" s="51"/>
      <c r="H438" s="44"/>
      <c r="I438" s="44"/>
      <c r="J438" s="44"/>
      <c r="K438" s="44"/>
      <c r="L438" s="44"/>
      <c r="M438" s="44" t="str">
        <f t="shared" si="1"/>
        <v>#DIV/0!</v>
      </c>
      <c r="N438" s="44" t="str">
        <f t="shared" si="2"/>
        <v>#DIV/0!</v>
      </c>
      <c r="O438" s="44" t="str">
        <f t="shared" si="4"/>
        <v/>
      </c>
      <c r="P438" s="44" t="str">
        <f t="shared" si="3"/>
        <v>#DIV/0!</v>
      </c>
      <c r="Q438" s="44"/>
    </row>
    <row r="439">
      <c r="A439" s="38" t="s">
        <v>1634</v>
      </c>
      <c r="B439" s="39" t="s">
        <v>1635</v>
      </c>
      <c r="C439" s="40" t="s">
        <v>1636</v>
      </c>
      <c r="D439" s="42" t="s">
        <v>4942</v>
      </c>
      <c r="E439" s="51"/>
      <c r="F439" s="51"/>
      <c r="G439" s="51"/>
      <c r="H439" s="44"/>
      <c r="I439" s="44"/>
      <c r="J439" s="44"/>
      <c r="K439" s="44"/>
      <c r="L439" s="44"/>
      <c r="M439" s="44" t="str">
        <f t="shared" si="1"/>
        <v>#DIV/0!</v>
      </c>
      <c r="N439" s="44" t="str">
        <f t="shared" si="2"/>
        <v>#DIV/0!</v>
      </c>
      <c r="O439" s="44" t="str">
        <f t="shared" si="4"/>
        <v/>
      </c>
      <c r="P439" s="44" t="str">
        <f t="shared" si="3"/>
        <v>#DIV/0!</v>
      </c>
      <c r="Q439" s="44"/>
    </row>
    <row r="440">
      <c r="A440" s="38" t="s">
        <v>1637</v>
      </c>
      <c r="B440" s="39" t="s">
        <v>1638</v>
      </c>
      <c r="C440" s="40" t="s">
        <v>1639</v>
      </c>
      <c r="D440" s="41" t="s">
        <v>1640</v>
      </c>
      <c r="E440" s="51"/>
      <c r="F440" s="51"/>
      <c r="G440" s="51"/>
      <c r="H440" s="44"/>
      <c r="I440" s="44"/>
      <c r="J440" s="44"/>
      <c r="K440" s="44"/>
      <c r="L440" s="44"/>
      <c r="M440" s="44" t="str">
        <f t="shared" si="1"/>
        <v>#DIV/0!</v>
      </c>
      <c r="N440" s="44" t="str">
        <f t="shared" si="2"/>
        <v>#DIV/0!</v>
      </c>
      <c r="O440" s="44" t="str">
        <f t="shared" si="4"/>
        <v/>
      </c>
      <c r="P440" s="44" t="str">
        <f t="shared" si="3"/>
        <v>#DIV/0!</v>
      </c>
      <c r="Q440" s="44"/>
    </row>
    <row r="441">
      <c r="A441" s="38" t="s">
        <v>1641</v>
      </c>
      <c r="B441" s="39" t="s">
        <v>1642</v>
      </c>
      <c r="C441" s="40" t="s">
        <v>1643</v>
      </c>
      <c r="D441" s="42" t="s">
        <v>5004</v>
      </c>
      <c r="E441" s="51"/>
      <c r="F441" s="51"/>
      <c r="G441" s="51"/>
      <c r="H441" s="44"/>
      <c r="I441" s="44"/>
      <c r="J441" s="44"/>
      <c r="K441" s="44"/>
      <c r="L441" s="44"/>
      <c r="M441" s="44" t="str">
        <f t="shared" si="1"/>
        <v>#DIV/0!</v>
      </c>
      <c r="N441" s="44" t="str">
        <f t="shared" si="2"/>
        <v>#DIV/0!</v>
      </c>
      <c r="O441" s="44" t="str">
        <f t="shared" si="4"/>
        <v/>
      </c>
      <c r="P441" s="44" t="str">
        <f t="shared" si="3"/>
        <v>#DIV/0!</v>
      </c>
      <c r="Q441" s="44"/>
    </row>
    <row r="442">
      <c r="A442" s="38" t="s">
        <v>1645</v>
      </c>
      <c r="B442" s="39" t="s">
        <v>1646</v>
      </c>
      <c r="C442" s="40" t="s">
        <v>1647</v>
      </c>
      <c r="D442" s="42" t="s">
        <v>5005</v>
      </c>
      <c r="E442" s="51"/>
      <c r="F442" s="51"/>
      <c r="G442" s="51"/>
      <c r="H442" s="44"/>
      <c r="I442" s="44"/>
      <c r="J442" s="44"/>
      <c r="K442" s="44"/>
      <c r="L442" s="44"/>
      <c r="M442" s="44" t="str">
        <f t="shared" si="1"/>
        <v>#DIV/0!</v>
      </c>
      <c r="N442" s="44" t="str">
        <f t="shared" si="2"/>
        <v>#DIV/0!</v>
      </c>
      <c r="O442" s="44" t="str">
        <f t="shared" si="4"/>
        <v/>
      </c>
      <c r="P442" s="44" t="str">
        <f t="shared" si="3"/>
        <v>#DIV/0!</v>
      </c>
      <c r="Q442" s="44"/>
    </row>
    <row r="443">
      <c r="A443" s="38" t="s">
        <v>1649</v>
      </c>
      <c r="B443" s="39" t="s">
        <v>1650</v>
      </c>
      <c r="C443" s="40" t="s">
        <v>1651</v>
      </c>
      <c r="D443" s="42" t="s">
        <v>5006</v>
      </c>
      <c r="E443" s="51"/>
      <c r="F443" s="51"/>
      <c r="G443" s="51"/>
      <c r="H443" s="44"/>
      <c r="I443" s="44"/>
      <c r="J443" s="44"/>
      <c r="K443" s="44"/>
      <c r="L443" s="44"/>
      <c r="M443" s="44" t="str">
        <f t="shared" si="1"/>
        <v>#DIV/0!</v>
      </c>
      <c r="N443" s="44" t="str">
        <f t="shared" si="2"/>
        <v>#DIV/0!</v>
      </c>
      <c r="O443" s="44" t="str">
        <f t="shared" si="4"/>
        <v/>
      </c>
      <c r="P443" s="44" t="str">
        <f t="shared" si="3"/>
        <v>#DIV/0!</v>
      </c>
      <c r="Q443" s="44"/>
    </row>
    <row r="444">
      <c r="A444" s="38" t="s">
        <v>1653</v>
      </c>
      <c r="B444" s="39" t="s">
        <v>1654</v>
      </c>
      <c r="C444" s="40" t="s">
        <v>1655</v>
      </c>
      <c r="D444" s="41" t="s">
        <v>1656</v>
      </c>
      <c r="E444" s="51"/>
      <c r="F444" s="51"/>
      <c r="G444" s="51"/>
      <c r="H444" s="44"/>
      <c r="I444" s="44"/>
      <c r="J444" s="44"/>
      <c r="K444" s="44"/>
      <c r="L444" s="44"/>
      <c r="M444" s="44" t="str">
        <f t="shared" si="1"/>
        <v>#DIV/0!</v>
      </c>
      <c r="N444" s="44" t="str">
        <f t="shared" si="2"/>
        <v>#DIV/0!</v>
      </c>
      <c r="O444" s="44" t="str">
        <f t="shared" si="4"/>
        <v/>
      </c>
      <c r="P444" s="44" t="str">
        <f t="shared" si="3"/>
        <v>#DIV/0!</v>
      </c>
      <c r="Q444" s="44"/>
    </row>
    <row r="445">
      <c r="A445" s="38" t="s">
        <v>1657</v>
      </c>
      <c r="B445" s="39" t="s">
        <v>1658</v>
      </c>
      <c r="C445" s="40" t="s">
        <v>5007</v>
      </c>
      <c r="D445" s="42" t="s">
        <v>5008</v>
      </c>
      <c r="E445" s="51"/>
      <c r="F445" s="51"/>
      <c r="G445" s="51"/>
      <c r="H445" s="44"/>
      <c r="I445" s="44"/>
      <c r="J445" s="44"/>
      <c r="K445" s="44"/>
      <c r="L445" s="44"/>
      <c r="M445" s="44" t="str">
        <f t="shared" si="1"/>
        <v>#DIV/0!</v>
      </c>
      <c r="N445" s="44" t="str">
        <f t="shared" si="2"/>
        <v>#DIV/0!</v>
      </c>
      <c r="O445" s="44" t="str">
        <f t="shared" si="4"/>
        <v/>
      </c>
      <c r="P445" s="44" t="str">
        <f t="shared" si="3"/>
        <v>#DIV/0!</v>
      </c>
      <c r="Q445" s="44"/>
    </row>
    <row r="446">
      <c r="A446" s="38" t="s">
        <v>1661</v>
      </c>
      <c r="B446" s="39" t="s">
        <v>1662</v>
      </c>
      <c r="C446" s="40" t="s">
        <v>268</v>
      </c>
      <c r="D446" s="41" t="s">
        <v>137</v>
      </c>
      <c r="E446" s="51"/>
      <c r="F446" s="51"/>
      <c r="G446" s="51"/>
      <c r="H446" s="44"/>
      <c r="I446" s="44"/>
      <c r="J446" s="44"/>
      <c r="K446" s="44"/>
      <c r="L446" s="44"/>
      <c r="M446" s="44" t="str">
        <f t="shared" si="1"/>
        <v>#DIV/0!</v>
      </c>
      <c r="N446" s="44" t="str">
        <f t="shared" si="2"/>
        <v>#DIV/0!</v>
      </c>
      <c r="O446" s="44" t="str">
        <f t="shared" si="4"/>
        <v/>
      </c>
      <c r="P446" s="44" t="str">
        <f t="shared" si="3"/>
        <v>#DIV/0!</v>
      </c>
      <c r="Q446" s="44"/>
    </row>
    <row r="447">
      <c r="A447" s="38" t="s">
        <v>1663</v>
      </c>
      <c r="B447" s="39" t="s">
        <v>1664</v>
      </c>
      <c r="C447" s="40" t="s">
        <v>1665</v>
      </c>
      <c r="D447" s="42" t="s">
        <v>5009</v>
      </c>
      <c r="E447" s="51"/>
      <c r="F447" s="51"/>
      <c r="G447" s="51"/>
      <c r="H447" s="44"/>
      <c r="I447" s="44"/>
      <c r="J447" s="44"/>
      <c r="K447" s="44"/>
      <c r="L447" s="44"/>
      <c r="M447" s="44" t="str">
        <f t="shared" si="1"/>
        <v>#DIV/0!</v>
      </c>
      <c r="N447" s="44" t="str">
        <f t="shared" si="2"/>
        <v>#DIV/0!</v>
      </c>
      <c r="O447" s="44" t="str">
        <f t="shared" si="4"/>
        <v/>
      </c>
      <c r="P447" s="44" t="str">
        <f t="shared" si="3"/>
        <v>#DIV/0!</v>
      </c>
      <c r="Q447" s="44"/>
    </row>
    <row r="448">
      <c r="A448" s="38" t="s">
        <v>1667</v>
      </c>
      <c r="B448" s="39" t="s">
        <v>1668</v>
      </c>
      <c r="C448" s="40" t="s">
        <v>1669</v>
      </c>
      <c r="D448" s="42" t="s">
        <v>1670</v>
      </c>
      <c r="E448" s="51"/>
      <c r="F448" s="51"/>
      <c r="G448" s="51"/>
      <c r="H448" s="44"/>
      <c r="I448" s="44"/>
      <c r="J448" s="44"/>
      <c r="K448" s="44"/>
      <c r="L448" s="44"/>
      <c r="M448" s="44" t="str">
        <f t="shared" si="1"/>
        <v>#DIV/0!</v>
      </c>
      <c r="N448" s="44" t="str">
        <f t="shared" si="2"/>
        <v>#DIV/0!</v>
      </c>
      <c r="O448" s="44" t="str">
        <f t="shared" si="4"/>
        <v/>
      </c>
      <c r="P448" s="44" t="str">
        <f t="shared" si="3"/>
        <v>#DIV/0!</v>
      </c>
      <c r="Q448" s="44"/>
    </row>
    <row r="449">
      <c r="A449" s="38" t="s">
        <v>1671</v>
      </c>
      <c r="B449" s="39" t="s">
        <v>1672</v>
      </c>
      <c r="C449" s="40" t="s">
        <v>268</v>
      </c>
      <c r="D449" s="41" t="s">
        <v>137</v>
      </c>
      <c r="E449" s="51"/>
      <c r="F449" s="51"/>
      <c r="G449" s="51"/>
      <c r="H449" s="44"/>
      <c r="I449" s="44"/>
      <c r="J449" s="44"/>
      <c r="K449" s="44"/>
      <c r="L449" s="44"/>
      <c r="M449" s="44" t="str">
        <f t="shared" si="1"/>
        <v>#DIV/0!</v>
      </c>
      <c r="N449" s="44" t="str">
        <f t="shared" si="2"/>
        <v>#DIV/0!</v>
      </c>
      <c r="O449" s="44" t="str">
        <f t="shared" si="4"/>
        <v/>
      </c>
      <c r="P449" s="44" t="str">
        <f t="shared" si="3"/>
        <v>#DIV/0!</v>
      </c>
      <c r="Q449" s="44"/>
    </row>
    <row r="450">
      <c r="A450" s="38" t="s">
        <v>1673</v>
      </c>
      <c r="B450" s="39" t="s">
        <v>1674</v>
      </c>
      <c r="C450" s="40" t="s">
        <v>1675</v>
      </c>
      <c r="D450" s="41" t="s">
        <v>1676</v>
      </c>
      <c r="E450" s="51"/>
      <c r="F450" s="51"/>
      <c r="G450" s="51"/>
      <c r="H450" s="44"/>
      <c r="I450" s="44"/>
      <c r="J450" s="44"/>
      <c r="K450" s="44"/>
      <c r="L450" s="44"/>
      <c r="M450" s="44" t="str">
        <f t="shared" si="1"/>
        <v>#DIV/0!</v>
      </c>
      <c r="N450" s="44" t="str">
        <f t="shared" si="2"/>
        <v>#DIV/0!</v>
      </c>
      <c r="O450" s="44" t="str">
        <f t="shared" si="4"/>
        <v/>
      </c>
      <c r="P450" s="44" t="str">
        <f t="shared" si="3"/>
        <v>#DIV/0!</v>
      </c>
      <c r="Q450" s="44"/>
    </row>
    <row r="451">
      <c r="A451" s="38" t="s">
        <v>1677</v>
      </c>
      <c r="B451" s="39" t="s">
        <v>1678</v>
      </c>
      <c r="C451" s="40" t="s">
        <v>1679</v>
      </c>
      <c r="D451" s="41" t="s">
        <v>1680</v>
      </c>
      <c r="E451" s="51"/>
      <c r="F451" s="51"/>
      <c r="G451" s="51"/>
      <c r="H451" s="44"/>
      <c r="I451" s="44"/>
      <c r="J451" s="44"/>
      <c r="K451" s="44"/>
      <c r="L451" s="44"/>
      <c r="M451" s="44" t="str">
        <f t="shared" si="1"/>
        <v>#DIV/0!</v>
      </c>
      <c r="N451" s="44" t="str">
        <f t="shared" si="2"/>
        <v>#DIV/0!</v>
      </c>
      <c r="O451" s="44" t="str">
        <f t="shared" si="4"/>
        <v/>
      </c>
      <c r="P451" s="44" t="str">
        <f t="shared" si="3"/>
        <v>#DIV/0!</v>
      </c>
      <c r="Q451" s="44"/>
    </row>
    <row r="452">
      <c r="A452" s="38" t="s">
        <v>1681</v>
      </c>
      <c r="B452" s="39" t="s">
        <v>1682</v>
      </c>
      <c r="C452" s="40" t="s">
        <v>172</v>
      </c>
      <c r="D452" s="41" t="s">
        <v>173</v>
      </c>
      <c r="E452" s="51"/>
      <c r="F452" s="51"/>
      <c r="G452" s="51"/>
      <c r="H452" s="44"/>
      <c r="I452" s="44"/>
      <c r="J452" s="44"/>
      <c r="K452" s="44"/>
      <c r="L452" s="44"/>
      <c r="M452" s="44" t="str">
        <f t="shared" si="1"/>
        <v>#DIV/0!</v>
      </c>
      <c r="N452" s="44" t="str">
        <f t="shared" si="2"/>
        <v>#DIV/0!</v>
      </c>
      <c r="O452" s="44" t="str">
        <f t="shared" si="4"/>
        <v/>
      </c>
      <c r="P452" s="44" t="str">
        <f t="shared" si="3"/>
        <v>#DIV/0!</v>
      </c>
      <c r="Q452" s="44"/>
    </row>
    <row r="453">
      <c r="A453" s="38" t="s">
        <v>1683</v>
      </c>
      <c r="B453" s="39" t="s">
        <v>1684</v>
      </c>
      <c r="C453" s="40" t="s">
        <v>5010</v>
      </c>
      <c r="D453" s="42" t="s">
        <v>5011</v>
      </c>
      <c r="E453" s="51"/>
      <c r="F453" s="51"/>
      <c r="G453" s="51"/>
      <c r="H453" s="44"/>
      <c r="I453" s="44"/>
      <c r="J453" s="44"/>
      <c r="K453" s="44"/>
      <c r="L453" s="44"/>
      <c r="M453" s="44" t="str">
        <f t="shared" si="1"/>
        <v>#DIV/0!</v>
      </c>
      <c r="N453" s="44" t="str">
        <f t="shared" si="2"/>
        <v>#DIV/0!</v>
      </c>
      <c r="O453" s="44" t="str">
        <f t="shared" si="4"/>
        <v/>
      </c>
      <c r="P453" s="44" t="str">
        <f t="shared" si="3"/>
        <v>#DIV/0!</v>
      </c>
      <c r="Q453" s="44"/>
    </row>
    <row r="454">
      <c r="A454" s="38" t="s">
        <v>1687</v>
      </c>
      <c r="B454" s="39" t="s">
        <v>1688</v>
      </c>
      <c r="C454" s="40" t="s">
        <v>5012</v>
      </c>
      <c r="D454" s="41" t="s">
        <v>5013</v>
      </c>
      <c r="E454" s="51"/>
      <c r="F454" s="51"/>
      <c r="G454" s="51"/>
      <c r="H454" s="44"/>
      <c r="I454" s="44"/>
      <c r="J454" s="44"/>
      <c r="K454" s="44"/>
      <c r="L454" s="44"/>
      <c r="M454" s="44" t="str">
        <f t="shared" si="1"/>
        <v>#DIV/0!</v>
      </c>
      <c r="N454" s="44" t="str">
        <f t="shared" si="2"/>
        <v>#DIV/0!</v>
      </c>
      <c r="O454" s="44" t="str">
        <f t="shared" si="4"/>
        <v/>
      </c>
      <c r="P454" s="44" t="str">
        <f t="shared" si="3"/>
        <v>#DIV/0!</v>
      </c>
      <c r="Q454" s="44"/>
    </row>
    <row r="455">
      <c r="A455" s="38" t="s">
        <v>1691</v>
      </c>
      <c r="B455" s="39" t="s">
        <v>1692</v>
      </c>
      <c r="C455" s="40" t="s">
        <v>5014</v>
      </c>
      <c r="D455" s="41" t="s">
        <v>5015</v>
      </c>
      <c r="E455" s="51"/>
      <c r="F455" s="51"/>
      <c r="G455" s="51"/>
      <c r="H455" s="44"/>
      <c r="I455" s="44"/>
      <c r="J455" s="44"/>
      <c r="K455" s="44"/>
      <c r="L455" s="44"/>
      <c r="M455" s="44" t="str">
        <f t="shared" si="1"/>
        <v>#DIV/0!</v>
      </c>
      <c r="N455" s="44" t="str">
        <f t="shared" si="2"/>
        <v>#DIV/0!</v>
      </c>
      <c r="O455" s="44" t="str">
        <f t="shared" si="4"/>
        <v/>
      </c>
      <c r="P455" s="44" t="str">
        <f t="shared" si="3"/>
        <v>#DIV/0!</v>
      </c>
      <c r="Q455" s="44"/>
    </row>
    <row r="456">
      <c r="A456" s="38" t="s">
        <v>1695</v>
      </c>
      <c r="B456" s="39" t="s">
        <v>1696</v>
      </c>
      <c r="C456" s="40" t="s">
        <v>268</v>
      </c>
      <c r="D456" s="41" t="s">
        <v>137</v>
      </c>
      <c r="E456" s="51"/>
      <c r="F456" s="51"/>
      <c r="G456" s="51"/>
      <c r="H456" s="44"/>
      <c r="I456" s="44"/>
      <c r="J456" s="44"/>
      <c r="K456" s="44"/>
      <c r="L456" s="44"/>
      <c r="M456" s="44" t="str">
        <f t="shared" si="1"/>
        <v>#DIV/0!</v>
      </c>
      <c r="N456" s="44" t="str">
        <f t="shared" si="2"/>
        <v>#DIV/0!</v>
      </c>
      <c r="O456" s="44" t="str">
        <f t="shared" si="4"/>
        <v/>
      </c>
      <c r="P456" s="44" t="str">
        <f t="shared" si="3"/>
        <v>#DIV/0!</v>
      </c>
      <c r="Q456" s="44"/>
    </row>
    <row r="457">
      <c r="A457" s="38" t="s">
        <v>1697</v>
      </c>
      <c r="B457" s="39" t="s">
        <v>1698</v>
      </c>
      <c r="C457" s="40" t="s">
        <v>5016</v>
      </c>
      <c r="D457" s="42" t="s">
        <v>5017</v>
      </c>
      <c r="E457" s="51"/>
      <c r="F457" s="51"/>
      <c r="G457" s="51"/>
      <c r="H457" s="44"/>
      <c r="I457" s="44"/>
      <c r="J457" s="44"/>
      <c r="K457" s="44"/>
      <c r="L457" s="44"/>
      <c r="M457" s="44" t="str">
        <f t="shared" si="1"/>
        <v>#DIV/0!</v>
      </c>
      <c r="N457" s="44" t="str">
        <f t="shared" si="2"/>
        <v>#DIV/0!</v>
      </c>
      <c r="O457" s="44" t="str">
        <f t="shared" si="4"/>
        <v/>
      </c>
      <c r="P457" s="44" t="str">
        <f t="shared" si="3"/>
        <v>#DIV/0!</v>
      </c>
      <c r="Q457" s="44"/>
    </row>
    <row r="458">
      <c r="A458" s="38" t="s">
        <v>1701</v>
      </c>
      <c r="B458" s="39" t="s">
        <v>1702</v>
      </c>
      <c r="C458" s="40" t="s">
        <v>5018</v>
      </c>
      <c r="D458" s="41" t="s">
        <v>5019</v>
      </c>
      <c r="E458" s="51"/>
      <c r="F458" s="51"/>
      <c r="G458" s="51"/>
      <c r="H458" s="44"/>
      <c r="I458" s="44"/>
      <c r="J458" s="44"/>
      <c r="K458" s="44"/>
      <c r="L458" s="44"/>
      <c r="M458" s="44" t="str">
        <f t="shared" si="1"/>
        <v>#DIV/0!</v>
      </c>
      <c r="N458" s="44" t="str">
        <f t="shared" si="2"/>
        <v>#DIV/0!</v>
      </c>
      <c r="O458" s="44" t="str">
        <f t="shared" si="4"/>
        <v/>
      </c>
      <c r="P458" s="44" t="str">
        <f t="shared" si="3"/>
        <v>#DIV/0!</v>
      </c>
      <c r="Q458" s="44"/>
    </row>
    <row r="459">
      <c r="A459" s="38" t="s">
        <v>1705</v>
      </c>
      <c r="B459" s="39" t="s">
        <v>1706</v>
      </c>
      <c r="C459" s="40" t="s">
        <v>1707</v>
      </c>
      <c r="D459" s="42" t="s">
        <v>5020</v>
      </c>
      <c r="E459" s="51"/>
      <c r="F459" s="51"/>
      <c r="G459" s="51"/>
      <c r="H459" s="44"/>
      <c r="I459" s="44"/>
      <c r="J459" s="44"/>
      <c r="K459" s="44"/>
      <c r="L459" s="44"/>
      <c r="M459" s="44" t="str">
        <f t="shared" si="1"/>
        <v>#DIV/0!</v>
      </c>
      <c r="N459" s="44" t="str">
        <f t="shared" si="2"/>
        <v>#DIV/0!</v>
      </c>
      <c r="O459" s="44" t="str">
        <f t="shared" si="4"/>
        <v/>
      </c>
      <c r="P459" s="44" t="str">
        <f t="shared" si="3"/>
        <v>#DIV/0!</v>
      </c>
      <c r="Q459" s="44"/>
    </row>
    <row r="460">
      <c r="A460" s="38" t="s">
        <v>1709</v>
      </c>
      <c r="B460" s="39" t="s">
        <v>1710</v>
      </c>
      <c r="C460" s="40" t="s">
        <v>5021</v>
      </c>
      <c r="D460" s="42" t="s">
        <v>5022</v>
      </c>
      <c r="E460" s="51"/>
      <c r="F460" s="51"/>
      <c r="G460" s="51"/>
      <c r="H460" s="44"/>
      <c r="I460" s="44"/>
      <c r="J460" s="44"/>
      <c r="K460" s="44"/>
      <c r="L460" s="44"/>
      <c r="M460" s="44" t="str">
        <f t="shared" si="1"/>
        <v>#DIV/0!</v>
      </c>
      <c r="N460" s="44" t="str">
        <f t="shared" si="2"/>
        <v>#DIV/0!</v>
      </c>
      <c r="O460" s="44" t="str">
        <f t="shared" si="4"/>
        <v/>
      </c>
      <c r="P460" s="44" t="str">
        <f t="shared" si="3"/>
        <v>#DIV/0!</v>
      </c>
      <c r="Q460" s="44"/>
    </row>
    <row r="461">
      <c r="A461" s="38" t="s">
        <v>1713</v>
      </c>
      <c r="B461" s="39" t="s">
        <v>1714</v>
      </c>
      <c r="C461" s="40" t="s">
        <v>1715</v>
      </c>
      <c r="D461" s="42" t="s">
        <v>5023</v>
      </c>
      <c r="E461" s="51"/>
      <c r="F461" s="51"/>
      <c r="G461" s="51"/>
      <c r="H461" s="44"/>
      <c r="I461" s="44"/>
      <c r="J461" s="44"/>
      <c r="K461" s="44"/>
      <c r="L461" s="44"/>
      <c r="M461" s="44" t="str">
        <f t="shared" si="1"/>
        <v>#DIV/0!</v>
      </c>
      <c r="N461" s="44" t="str">
        <f t="shared" si="2"/>
        <v>#DIV/0!</v>
      </c>
      <c r="O461" s="44" t="str">
        <f t="shared" si="4"/>
        <v/>
      </c>
      <c r="P461" s="44" t="str">
        <f t="shared" si="3"/>
        <v>#DIV/0!</v>
      </c>
      <c r="Q461" s="44"/>
    </row>
    <row r="462">
      <c r="A462" s="38" t="s">
        <v>1717</v>
      </c>
      <c r="B462" s="39" t="s">
        <v>1718</v>
      </c>
      <c r="C462" s="40" t="s">
        <v>991</v>
      </c>
      <c r="D462" s="41" t="s">
        <v>113</v>
      </c>
      <c r="E462" s="51"/>
      <c r="F462" s="51"/>
      <c r="G462" s="51"/>
      <c r="H462" s="44"/>
      <c r="I462" s="44"/>
      <c r="J462" s="44"/>
      <c r="K462" s="44"/>
      <c r="L462" s="44"/>
      <c r="M462" s="44" t="str">
        <f t="shared" si="1"/>
        <v>#DIV/0!</v>
      </c>
      <c r="N462" s="44" t="str">
        <f t="shared" si="2"/>
        <v>#DIV/0!</v>
      </c>
      <c r="O462" s="44" t="str">
        <f t="shared" si="4"/>
        <v/>
      </c>
      <c r="P462" s="44" t="str">
        <f t="shared" si="3"/>
        <v>#DIV/0!</v>
      </c>
      <c r="Q462" s="44"/>
    </row>
    <row r="463">
      <c r="A463" s="38" t="s">
        <v>1719</v>
      </c>
      <c r="B463" s="39" t="s">
        <v>1720</v>
      </c>
      <c r="C463" s="40" t="s">
        <v>1721</v>
      </c>
      <c r="D463" s="42" t="s">
        <v>5024</v>
      </c>
      <c r="E463" s="51"/>
      <c r="F463" s="51"/>
      <c r="G463" s="51"/>
      <c r="H463" s="44"/>
      <c r="I463" s="44"/>
      <c r="J463" s="44"/>
      <c r="K463" s="44"/>
      <c r="L463" s="44"/>
      <c r="M463" s="44" t="str">
        <f t="shared" si="1"/>
        <v>#DIV/0!</v>
      </c>
      <c r="N463" s="44" t="str">
        <f t="shared" si="2"/>
        <v>#DIV/0!</v>
      </c>
      <c r="O463" s="44" t="str">
        <f t="shared" si="4"/>
        <v/>
      </c>
      <c r="P463" s="44" t="str">
        <f t="shared" si="3"/>
        <v>#DIV/0!</v>
      </c>
      <c r="Q463" s="44"/>
    </row>
    <row r="464">
      <c r="A464" s="38" t="s">
        <v>1723</v>
      </c>
      <c r="B464" s="39" t="s">
        <v>1724</v>
      </c>
      <c r="C464" s="40" t="s">
        <v>5025</v>
      </c>
      <c r="D464" s="42" t="s">
        <v>1726</v>
      </c>
      <c r="E464" s="51"/>
      <c r="F464" s="51"/>
      <c r="G464" s="51"/>
      <c r="H464" s="44"/>
      <c r="I464" s="44"/>
      <c r="J464" s="44"/>
      <c r="K464" s="44"/>
      <c r="L464" s="44"/>
      <c r="M464" s="44" t="str">
        <f t="shared" si="1"/>
        <v>#DIV/0!</v>
      </c>
      <c r="N464" s="44" t="str">
        <f t="shared" si="2"/>
        <v>#DIV/0!</v>
      </c>
      <c r="O464" s="44" t="str">
        <f t="shared" si="4"/>
        <v/>
      </c>
      <c r="P464" s="44" t="str">
        <f t="shared" si="3"/>
        <v>#DIV/0!</v>
      </c>
      <c r="Q464" s="44"/>
    </row>
    <row r="465">
      <c r="A465" s="38" t="s">
        <v>1727</v>
      </c>
      <c r="B465" s="39" t="s">
        <v>1728</v>
      </c>
      <c r="C465" s="40" t="s">
        <v>5026</v>
      </c>
      <c r="D465" s="41" t="s">
        <v>1730</v>
      </c>
      <c r="E465" s="51"/>
      <c r="F465" s="51"/>
      <c r="G465" s="51"/>
      <c r="H465" s="44"/>
      <c r="I465" s="44"/>
      <c r="J465" s="44"/>
      <c r="K465" s="44"/>
      <c r="L465" s="44"/>
      <c r="M465" s="44" t="str">
        <f t="shared" si="1"/>
        <v>#DIV/0!</v>
      </c>
      <c r="N465" s="44" t="str">
        <f t="shared" si="2"/>
        <v>#DIV/0!</v>
      </c>
      <c r="O465" s="44" t="str">
        <f t="shared" si="4"/>
        <v/>
      </c>
      <c r="P465" s="44" t="str">
        <f t="shared" si="3"/>
        <v>#DIV/0!</v>
      </c>
      <c r="Q465" s="44"/>
    </row>
    <row r="466">
      <c r="A466" s="38" t="s">
        <v>1731</v>
      </c>
      <c r="B466" s="39" t="s">
        <v>1732</v>
      </c>
      <c r="C466" s="40" t="s">
        <v>260</v>
      </c>
      <c r="D466" s="41" t="s">
        <v>261</v>
      </c>
      <c r="E466" s="51"/>
      <c r="F466" s="51"/>
      <c r="G466" s="51"/>
      <c r="H466" s="44"/>
      <c r="I466" s="44"/>
      <c r="J466" s="44"/>
      <c r="K466" s="44"/>
      <c r="L466" s="44"/>
      <c r="M466" s="44" t="str">
        <f t="shared" si="1"/>
        <v>#DIV/0!</v>
      </c>
      <c r="N466" s="44" t="str">
        <f t="shared" si="2"/>
        <v>#DIV/0!</v>
      </c>
      <c r="O466" s="44" t="str">
        <f t="shared" si="4"/>
        <v/>
      </c>
      <c r="P466" s="44" t="str">
        <f t="shared" si="3"/>
        <v>#DIV/0!</v>
      </c>
      <c r="Q466" s="44"/>
    </row>
    <row r="467">
      <c r="A467" s="38" t="s">
        <v>1733</v>
      </c>
      <c r="B467" s="39" t="s">
        <v>1734</v>
      </c>
      <c r="C467" s="40" t="s">
        <v>1735</v>
      </c>
      <c r="D467" s="41" t="s">
        <v>173</v>
      </c>
      <c r="E467" s="51"/>
      <c r="F467" s="51"/>
      <c r="G467" s="51"/>
      <c r="H467" s="44"/>
      <c r="I467" s="44"/>
      <c r="J467" s="44"/>
      <c r="K467" s="44"/>
      <c r="L467" s="44"/>
      <c r="M467" s="44" t="str">
        <f t="shared" si="1"/>
        <v>#DIV/0!</v>
      </c>
      <c r="N467" s="44" t="str">
        <f t="shared" si="2"/>
        <v>#DIV/0!</v>
      </c>
      <c r="O467" s="44" t="str">
        <f t="shared" si="4"/>
        <v/>
      </c>
      <c r="P467" s="44" t="str">
        <f t="shared" si="3"/>
        <v>#DIV/0!</v>
      </c>
      <c r="Q467" s="44"/>
    </row>
    <row r="468">
      <c r="A468" s="38" t="s">
        <v>1736</v>
      </c>
      <c r="B468" s="39" t="s">
        <v>1737</v>
      </c>
      <c r="C468" s="40" t="s">
        <v>5027</v>
      </c>
      <c r="D468" s="42" t="s">
        <v>5028</v>
      </c>
      <c r="E468" s="51"/>
      <c r="F468" s="51"/>
      <c r="G468" s="51"/>
      <c r="H468" s="44"/>
      <c r="I468" s="44"/>
      <c r="J468" s="44"/>
      <c r="K468" s="44"/>
      <c r="L468" s="44"/>
      <c r="M468" s="44" t="str">
        <f t="shared" si="1"/>
        <v>#DIV/0!</v>
      </c>
      <c r="N468" s="44" t="str">
        <f t="shared" si="2"/>
        <v>#DIV/0!</v>
      </c>
      <c r="O468" s="44" t="str">
        <f t="shared" si="4"/>
        <v/>
      </c>
      <c r="P468" s="44" t="str">
        <f t="shared" si="3"/>
        <v>#DIV/0!</v>
      </c>
      <c r="Q468" s="44"/>
    </row>
    <row r="469">
      <c r="A469" s="38" t="s">
        <v>1740</v>
      </c>
      <c r="B469" s="39" t="s">
        <v>1741</v>
      </c>
      <c r="C469" s="40" t="s">
        <v>268</v>
      </c>
      <c r="D469" s="41" t="s">
        <v>137</v>
      </c>
      <c r="E469" s="51"/>
      <c r="F469" s="51"/>
      <c r="G469" s="51"/>
      <c r="H469" s="44"/>
      <c r="I469" s="44"/>
      <c r="J469" s="44"/>
      <c r="K469" s="44"/>
      <c r="L469" s="44"/>
      <c r="M469" s="44" t="str">
        <f t="shared" si="1"/>
        <v>#DIV/0!</v>
      </c>
      <c r="N469" s="44" t="str">
        <f t="shared" si="2"/>
        <v>#DIV/0!</v>
      </c>
      <c r="O469" s="44" t="str">
        <f t="shared" si="4"/>
        <v/>
      </c>
      <c r="P469" s="44" t="str">
        <f t="shared" si="3"/>
        <v>#DIV/0!</v>
      </c>
      <c r="Q469" s="44"/>
    </row>
    <row r="470">
      <c r="A470" s="38" t="s">
        <v>1744</v>
      </c>
      <c r="B470" s="39" t="s">
        <v>1745</v>
      </c>
      <c r="C470" s="40" t="s">
        <v>1485</v>
      </c>
      <c r="D470" s="41" t="s">
        <v>284</v>
      </c>
      <c r="E470" s="51"/>
      <c r="F470" s="51"/>
      <c r="G470" s="51"/>
      <c r="H470" s="44"/>
      <c r="I470" s="44"/>
      <c r="J470" s="44"/>
      <c r="K470" s="44"/>
      <c r="L470" s="44"/>
      <c r="M470" s="44" t="str">
        <f t="shared" si="1"/>
        <v>#DIV/0!</v>
      </c>
      <c r="N470" s="44" t="str">
        <f t="shared" si="2"/>
        <v>#DIV/0!</v>
      </c>
      <c r="O470" s="44" t="str">
        <f t="shared" si="4"/>
        <v/>
      </c>
      <c r="P470" s="44" t="str">
        <f t="shared" si="3"/>
        <v>#DIV/0!</v>
      </c>
      <c r="Q470" s="44"/>
    </row>
    <row r="471">
      <c r="A471" s="38" t="s">
        <v>1746</v>
      </c>
      <c r="B471" s="39" t="s">
        <v>1747</v>
      </c>
      <c r="C471" s="40" t="s">
        <v>4996</v>
      </c>
      <c r="D471" s="41" t="s">
        <v>478</v>
      </c>
      <c r="E471" s="51"/>
      <c r="F471" s="51"/>
      <c r="G471" s="51"/>
      <c r="H471" s="44"/>
      <c r="I471" s="44"/>
      <c r="J471" s="44"/>
      <c r="K471" s="44"/>
      <c r="L471" s="44"/>
      <c r="M471" s="44" t="str">
        <f t="shared" si="1"/>
        <v>#DIV/0!</v>
      </c>
      <c r="N471" s="44" t="str">
        <f t="shared" si="2"/>
        <v>#DIV/0!</v>
      </c>
      <c r="O471" s="44" t="str">
        <f t="shared" si="4"/>
        <v/>
      </c>
      <c r="P471" s="44" t="str">
        <f t="shared" si="3"/>
        <v>#DIV/0!</v>
      </c>
      <c r="Q471" s="44"/>
    </row>
    <row r="472">
      <c r="A472" s="38" t="s">
        <v>1748</v>
      </c>
      <c r="B472" s="39" t="s">
        <v>1749</v>
      </c>
      <c r="C472" s="40" t="s">
        <v>268</v>
      </c>
      <c r="D472" s="41" t="s">
        <v>137</v>
      </c>
      <c r="E472" s="51"/>
      <c r="F472" s="51"/>
      <c r="G472" s="51"/>
      <c r="H472" s="44"/>
      <c r="I472" s="44"/>
      <c r="J472" s="44"/>
      <c r="K472" s="44"/>
      <c r="L472" s="44"/>
      <c r="M472" s="44" t="str">
        <f t="shared" si="1"/>
        <v>#DIV/0!</v>
      </c>
      <c r="N472" s="44" t="str">
        <f t="shared" si="2"/>
        <v>#DIV/0!</v>
      </c>
      <c r="O472" s="44" t="str">
        <f t="shared" si="4"/>
        <v/>
      </c>
      <c r="P472" s="44" t="str">
        <f t="shared" si="3"/>
        <v>#DIV/0!</v>
      </c>
      <c r="Q472" s="44"/>
    </row>
    <row r="473">
      <c r="A473" s="38" t="s">
        <v>1750</v>
      </c>
      <c r="B473" s="39" t="s">
        <v>1751</v>
      </c>
      <c r="C473" s="40" t="s">
        <v>5029</v>
      </c>
      <c r="D473" s="42" t="s">
        <v>5030</v>
      </c>
      <c r="E473" s="51"/>
      <c r="F473" s="51"/>
      <c r="G473" s="51"/>
      <c r="H473" s="44"/>
      <c r="I473" s="44"/>
      <c r="J473" s="44"/>
      <c r="K473" s="44"/>
      <c r="L473" s="44"/>
      <c r="M473" s="44" t="str">
        <f t="shared" si="1"/>
        <v>#DIV/0!</v>
      </c>
      <c r="N473" s="44" t="str">
        <f t="shared" si="2"/>
        <v>#DIV/0!</v>
      </c>
      <c r="O473" s="44" t="str">
        <f t="shared" si="4"/>
        <v/>
      </c>
      <c r="P473" s="44" t="str">
        <f t="shared" si="3"/>
        <v>#DIV/0!</v>
      </c>
      <c r="Q473" s="44"/>
    </row>
    <row r="474">
      <c r="A474" s="38" t="s">
        <v>1754</v>
      </c>
      <c r="B474" s="39" t="s">
        <v>1755</v>
      </c>
      <c r="C474" s="40" t="s">
        <v>4971</v>
      </c>
      <c r="D474" s="41" t="s">
        <v>2092</v>
      </c>
      <c r="E474" s="51"/>
      <c r="F474" s="51"/>
      <c r="G474" s="51"/>
      <c r="H474" s="44"/>
      <c r="I474" s="44"/>
      <c r="J474" s="44"/>
      <c r="K474" s="44"/>
      <c r="L474" s="44"/>
      <c r="M474" s="44" t="str">
        <f t="shared" si="1"/>
        <v>#DIV/0!</v>
      </c>
      <c r="N474" s="44" t="str">
        <f t="shared" si="2"/>
        <v>#DIV/0!</v>
      </c>
      <c r="O474" s="44" t="str">
        <f t="shared" si="4"/>
        <v/>
      </c>
      <c r="P474" s="44" t="str">
        <f t="shared" si="3"/>
        <v>#DIV/0!</v>
      </c>
      <c r="Q474" s="44"/>
    </row>
    <row r="475">
      <c r="A475" s="38" t="s">
        <v>1758</v>
      </c>
      <c r="B475" s="39" t="s">
        <v>1759</v>
      </c>
      <c r="C475" s="40" t="s">
        <v>1943</v>
      </c>
      <c r="D475" s="41" t="s">
        <v>937</v>
      </c>
      <c r="E475" s="51"/>
      <c r="F475" s="51"/>
      <c r="G475" s="51"/>
      <c r="H475" s="44"/>
      <c r="I475" s="44"/>
      <c r="J475" s="44"/>
      <c r="K475" s="44"/>
      <c r="L475" s="44"/>
      <c r="M475" s="44" t="str">
        <f t="shared" si="1"/>
        <v>#DIV/0!</v>
      </c>
      <c r="N475" s="44" t="str">
        <f t="shared" si="2"/>
        <v>#DIV/0!</v>
      </c>
      <c r="O475" s="44" t="str">
        <f t="shared" si="4"/>
        <v/>
      </c>
      <c r="P475" s="44" t="str">
        <f t="shared" si="3"/>
        <v>#DIV/0!</v>
      </c>
      <c r="Q475" s="44"/>
    </row>
    <row r="476">
      <c r="A476" s="38" t="s">
        <v>1761</v>
      </c>
      <c r="B476" s="39" t="s">
        <v>1762</v>
      </c>
      <c r="C476" s="40" t="s">
        <v>5031</v>
      </c>
      <c r="D476" s="41" t="s">
        <v>1764</v>
      </c>
      <c r="E476" s="51"/>
      <c r="F476" s="51"/>
      <c r="G476" s="51"/>
      <c r="H476" s="44"/>
      <c r="I476" s="44"/>
      <c r="J476" s="44"/>
      <c r="K476" s="44"/>
      <c r="L476" s="44"/>
      <c r="M476" s="44" t="str">
        <f t="shared" si="1"/>
        <v>#DIV/0!</v>
      </c>
      <c r="N476" s="44" t="str">
        <f t="shared" si="2"/>
        <v>#DIV/0!</v>
      </c>
      <c r="O476" s="44" t="str">
        <f t="shared" si="4"/>
        <v/>
      </c>
      <c r="P476" s="44" t="str">
        <f t="shared" si="3"/>
        <v>#DIV/0!</v>
      </c>
      <c r="Q476" s="44"/>
    </row>
    <row r="477">
      <c r="A477" s="38" t="s">
        <v>1765</v>
      </c>
      <c r="B477" s="39" t="s">
        <v>1766</v>
      </c>
      <c r="C477" s="40" t="s">
        <v>5032</v>
      </c>
      <c r="D477" s="41" t="s">
        <v>1768</v>
      </c>
      <c r="E477" s="51"/>
      <c r="F477" s="51"/>
      <c r="G477" s="51"/>
      <c r="H477" s="44"/>
      <c r="I477" s="44"/>
      <c r="J477" s="44"/>
      <c r="K477" s="44"/>
      <c r="L477" s="44"/>
      <c r="M477" s="44" t="str">
        <f t="shared" si="1"/>
        <v>#DIV/0!</v>
      </c>
      <c r="N477" s="44" t="str">
        <f t="shared" si="2"/>
        <v>#DIV/0!</v>
      </c>
      <c r="O477" s="44" t="str">
        <f t="shared" si="4"/>
        <v/>
      </c>
      <c r="P477" s="44" t="str">
        <f t="shared" si="3"/>
        <v>#DIV/0!</v>
      </c>
      <c r="Q477" s="44"/>
    </row>
    <row r="478">
      <c r="A478" s="38" t="s">
        <v>1769</v>
      </c>
      <c r="B478" s="39" t="s">
        <v>1770</v>
      </c>
      <c r="C478" s="40" t="s">
        <v>667</v>
      </c>
      <c r="D478" s="41" t="s">
        <v>668</v>
      </c>
      <c r="E478" s="51"/>
      <c r="F478" s="51"/>
      <c r="G478" s="51"/>
      <c r="H478" s="44"/>
      <c r="I478" s="44"/>
      <c r="J478" s="44"/>
      <c r="K478" s="44"/>
      <c r="L478" s="44"/>
      <c r="M478" s="44" t="str">
        <f t="shared" si="1"/>
        <v>#DIV/0!</v>
      </c>
      <c r="N478" s="44" t="str">
        <f t="shared" si="2"/>
        <v>#DIV/0!</v>
      </c>
      <c r="O478" s="44" t="str">
        <f t="shared" si="4"/>
        <v/>
      </c>
      <c r="P478" s="44" t="str">
        <f t="shared" si="3"/>
        <v>#DIV/0!</v>
      </c>
      <c r="Q478" s="44"/>
    </row>
    <row r="479">
      <c r="A479" s="38" t="s">
        <v>1772</v>
      </c>
      <c r="B479" s="39" t="s">
        <v>1773</v>
      </c>
      <c r="C479" s="40" t="s">
        <v>1774</v>
      </c>
      <c r="D479" s="41" t="s">
        <v>1215</v>
      </c>
      <c r="E479" s="51"/>
      <c r="F479" s="51"/>
      <c r="G479" s="51"/>
      <c r="H479" s="44"/>
      <c r="I479" s="44"/>
      <c r="J479" s="44"/>
      <c r="K479" s="44"/>
      <c r="L479" s="44"/>
      <c r="M479" s="44" t="str">
        <f t="shared" si="1"/>
        <v>#DIV/0!</v>
      </c>
      <c r="N479" s="44" t="str">
        <f t="shared" si="2"/>
        <v>#DIV/0!</v>
      </c>
      <c r="O479" s="44" t="str">
        <f t="shared" si="4"/>
        <v/>
      </c>
      <c r="P479" s="44" t="str">
        <f t="shared" si="3"/>
        <v>#DIV/0!</v>
      </c>
      <c r="Q479" s="44"/>
    </row>
    <row r="480">
      <c r="A480" s="38" t="s">
        <v>1775</v>
      </c>
      <c r="B480" s="39" t="s">
        <v>1776</v>
      </c>
      <c r="C480" s="40" t="s">
        <v>1777</v>
      </c>
      <c r="D480" s="41" t="s">
        <v>296</v>
      </c>
      <c r="E480" s="51"/>
      <c r="F480" s="51"/>
      <c r="G480" s="51"/>
      <c r="H480" s="44"/>
      <c r="I480" s="44"/>
      <c r="J480" s="44"/>
      <c r="K480" s="44"/>
      <c r="L480" s="44"/>
      <c r="M480" s="44" t="str">
        <f t="shared" si="1"/>
        <v>#DIV/0!</v>
      </c>
      <c r="N480" s="44" t="str">
        <f t="shared" si="2"/>
        <v>#DIV/0!</v>
      </c>
      <c r="O480" s="44" t="str">
        <f t="shared" si="4"/>
        <v/>
      </c>
      <c r="P480" s="44" t="str">
        <f t="shared" si="3"/>
        <v>#DIV/0!</v>
      </c>
      <c r="Q480" s="44"/>
    </row>
    <row r="481">
      <c r="A481" s="38" t="s">
        <v>1778</v>
      </c>
      <c r="B481" s="39" t="s">
        <v>1779</v>
      </c>
      <c r="C481" s="40" t="s">
        <v>5033</v>
      </c>
      <c r="D481" s="42" t="s">
        <v>5034</v>
      </c>
      <c r="E481" s="51"/>
      <c r="F481" s="51"/>
      <c r="G481" s="51"/>
      <c r="H481" s="44"/>
      <c r="I481" s="44"/>
      <c r="J481" s="44"/>
      <c r="K481" s="44"/>
      <c r="L481" s="44"/>
      <c r="M481" s="44" t="str">
        <f t="shared" si="1"/>
        <v>#DIV/0!</v>
      </c>
      <c r="N481" s="44" t="str">
        <f t="shared" si="2"/>
        <v>#DIV/0!</v>
      </c>
      <c r="O481" s="44" t="str">
        <f t="shared" si="4"/>
        <v/>
      </c>
      <c r="P481" s="44" t="str">
        <f t="shared" si="3"/>
        <v>#DIV/0!</v>
      </c>
      <c r="Q481" s="44"/>
    </row>
    <row r="482">
      <c r="A482" s="38" t="s">
        <v>1782</v>
      </c>
      <c r="B482" s="39" t="s">
        <v>1783</v>
      </c>
      <c r="C482" s="40" t="s">
        <v>5035</v>
      </c>
      <c r="D482" s="42" t="s">
        <v>5036</v>
      </c>
      <c r="E482" s="51"/>
      <c r="F482" s="51"/>
      <c r="G482" s="51"/>
      <c r="H482" s="44"/>
      <c r="I482" s="44"/>
      <c r="J482" s="44"/>
      <c r="K482" s="44"/>
      <c r="L482" s="44"/>
      <c r="M482" s="44" t="str">
        <f t="shared" si="1"/>
        <v>#DIV/0!</v>
      </c>
      <c r="N482" s="44" t="str">
        <f t="shared" si="2"/>
        <v>#DIV/0!</v>
      </c>
      <c r="O482" s="44" t="str">
        <f t="shared" si="4"/>
        <v/>
      </c>
      <c r="P482" s="44" t="str">
        <f t="shared" si="3"/>
        <v>#DIV/0!</v>
      </c>
      <c r="Q482" s="44"/>
    </row>
    <row r="483">
      <c r="A483" s="38" t="s">
        <v>1786</v>
      </c>
      <c r="B483" s="39" t="s">
        <v>1787</v>
      </c>
      <c r="C483" s="40" t="s">
        <v>5037</v>
      </c>
      <c r="D483" s="41" t="s">
        <v>1789</v>
      </c>
      <c r="E483" s="51"/>
      <c r="F483" s="51"/>
      <c r="G483" s="51"/>
      <c r="H483" s="44"/>
      <c r="I483" s="44"/>
      <c r="J483" s="44"/>
      <c r="K483" s="44"/>
      <c r="L483" s="44"/>
      <c r="M483" s="44" t="str">
        <f t="shared" si="1"/>
        <v>#DIV/0!</v>
      </c>
      <c r="N483" s="44" t="str">
        <f t="shared" si="2"/>
        <v>#DIV/0!</v>
      </c>
      <c r="O483" s="44" t="str">
        <f t="shared" si="4"/>
        <v/>
      </c>
      <c r="P483" s="44" t="str">
        <f t="shared" si="3"/>
        <v>#DIV/0!</v>
      </c>
      <c r="Q483" s="44"/>
    </row>
    <row r="484">
      <c r="A484" s="38" t="s">
        <v>1790</v>
      </c>
      <c r="B484" s="39" t="s">
        <v>1791</v>
      </c>
      <c r="C484" s="40" t="s">
        <v>5038</v>
      </c>
      <c r="D484" s="42" t="s">
        <v>5039</v>
      </c>
      <c r="E484" s="51"/>
      <c r="F484" s="51"/>
      <c r="G484" s="51"/>
      <c r="H484" s="44"/>
      <c r="I484" s="44"/>
      <c r="J484" s="44"/>
      <c r="K484" s="44"/>
      <c r="L484" s="44"/>
      <c r="M484" s="44" t="str">
        <f t="shared" si="1"/>
        <v>#DIV/0!</v>
      </c>
      <c r="N484" s="44" t="str">
        <f t="shared" si="2"/>
        <v>#DIV/0!</v>
      </c>
      <c r="O484" s="44" t="str">
        <f t="shared" si="4"/>
        <v/>
      </c>
      <c r="P484" s="44" t="str">
        <f t="shared" si="3"/>
        <v>#DIV/0!</v>
      </c>
      <c r="Q484" s="44"/>
    </row>
    <row r="485">
      <c r="A485" s="38" t="s">
        <v>1794</v>
      </c>
      <c r="B485" s="39" t="s">
        <v>1795</v>
      </c>
      <c r="C485" s="40" t="s">
        <v>811</v>
      </c>
      <c r="D485" s="41" t="s">
        <v>812</v>
      </c>
      <c r="E485" s="51"/>
      <c r="F485" s="51"/>
      <c r="G485" s="51"/>
      <c r="H485" s="44"/>
      <c r="I485" s="44"/>
      <c r="J485" s="44"/>
      <c r="K485" s="44"/>
      <c r="L485" s="44"/>
      <c r="M485" s="44" t="str">
        <f t="shared" si="1"/>
        <v>#DIV/0!</v>
      </c>
      <c r="N485" s="44" t="str">
        <f t="shared" si="2"/>
        <v>#DIV/0!</v>
      </c>
      <c r="O485" s="44" t="str">
        <f t="shared" si="4"/>
        <v/>
      </c>
      <c r="P485" s="44" t="str">
        <f t="shared" si="3"/>
        <v>#DIV/0!</v>
      </c>
      <c r="Q485" s="44"/>
    </row>
    <row r="486">
      <c r="A486" s="38" t="s">
        <v>1796</v>
      </c>
      <c r="B486" s="39" t="s">
        <v>1797</v>
      </c>
      <c r="C486" s="40" t="s">
        <v>1798</v>
      </c>
      <c r="D486" s="42" t="s">
        <v>5040</v>
      </c>
      <c r="E486" s="51"/>
      <c r="F486" s="51"/>
      <c r="G486" s="51"/>
      <c r="H486" s="44"/>
      <c r="I486" s="44"/>
      <c r="J486" s="44"/>
      <c r="K486" s="44"/>
      <c r="L486" s="44"/>
      <c r="M486" s="44" t="str">
        <f t="shared" si="1"/>
        <v>#DIV/0!</v>
      </c>
      <c r="N486" s="44" t="str">
        <f t="shared" si="2"/>
        <v>#DIV/0!</v>
      </c>
      <c r="O486" s="44" t="str">
        <f t="shared" si="4"/>
        <v/>
      </c>
      <c r="P486" s="44" t="str">
        <f t="shared" si="3"/>
        <v>#DIV/0!</v>
      </c>
      <c r="Q486" s="44"/>
    </row>
    <row r="487">
      <c r="A487" s="38" t="s">
        <v>1800</v>
      </c>
      <c r="B487" s="39" t="s">
        <v>1801</v>
      </c>
      <c r="C487" s="40" t="s">
        <v>1802</v>
      </c>
      <c r="D487" s="41" t="s">
        <v>1803</v>
      </c>
      <c r="E487" s="51"/>
      <c r="F487" s="51"/>
      <c r="G487" s="51"/>
      <c r="H487" s="44"/>
      <c r="I487" s="44"/>
      <c r="J487" s="44"/>
      <c r="K487" s="44"/>
      <c r="L487" s="44"/>
      <c r="M487" s="44" t="str">
        <f t="shared" si="1"/>
        <v>#DIV/0!</v>
      </c>
      <c r="N487" s="44" t="str">
        <f t="shared" si="2"/>
        <v>#DIV/0!</v>
      </c>
      <c r="O487" s="44" t="str">
        <f t="shared" si="4"/>
        <v/>
      </c>
      <c r="P487" s="44" t="str">
        <f t="shared" si="3"/>
        <v>#DIV/0!</v>
      </c>
      <c r="Q487" s="44"/>
    </row>
    <row r="488">
      <c r="A488" s="38" t="s">
        <v>1804</v>
      </c>
      <c r="B488" s="39" t="s">
        <v>1805</v>
      </c>
      <c r="C488" s="40" t="s">
        <v>5041</v>
      </c>
      <c r="D488" s="42" t="s">
        <v>5042</v>
      </c>
      <c r="E488" s="51"/>
      <c r="F488" s="51"/>
      <c r="G488" s="51"/>
      <c r="H488" s="44"/>
      <c r="I488" s="44"/>
      <c r="J488" s="44"/>
      <c r="K488" s="44"/>
      <c r="L488" s="44"/>
      <c r="M488" s="44" t="str">
        <f t="shared" si="1"/>
        <v>#DIV/0!</v>
      </c>
      <c r="N488" s="44" t="str">
        <f t="shared" si="2"/>
        <v>#DIV/0!</v>
      </c>
      <c r="O488" s="44" t="str">
        <f t="shared" si="4"/>
        <v/>
      </c>
      <c r="P488" s="44" t="str">
        <f t="shared" si="3"/>
        <v>#DIV/0!</v>
      </c>
      <c r="Q488" s="44"/>
    </row>
    <row r="489">
      <c r="A489" s="38" t="s">
        <v>1808</v>
      </c>
      <c r="B489" s="39" t="s">
        <v>1809</v>
      </c>
      <c r="C489" s="40" t="s">
        <v>268</v>
      </c>
      <c r="D489" s="41" t="s">
        <v>137</v>
      </c>
      <c r="E489" s="51"/>
      <c r="F489" s="51"/>
      <c r="G489" s="51"/>
      <c r="H489" s="44"/>
      <c r="I489" s="44"/>
      <c r="J489" s="44"/>
      <c r="K489" s="44"/>
      <c r="L489" s="44"/>
      <c r="M489" s="44" t="str">
        <f t="shared" si="1"/>
        <v>#DIV/0!</v>
      </c>
      <c r="N489" s="44" t="str">
        <f t="shared" si="2"/>
        <v>#DIV/0!</v>
      </c>
      <c r="O489" s="44" t="str">
        <f t="shared" si="4"/>
        <v/>
      </c>
      <c r="P489" s="44" t="str">
        <f t="shared" si="3"/>
        <v>#DIV/0!</v>
      </c>
      <c r="Q489" s="44"/>
    </row>
    <row r="490">
      <c r="A490" s="38" t="s">
        <v>1810</v>
      </c>
      <c r="B490" s="39" t="s">
        <v>1811</v>
      </c>
      <c r="C490" s="40" t="s">
        <v>268</v>
      </c>
      <c r="D490" s="41" t="s">
        <v>137</v>
      </c>
      <c r="E490" s="51"/>
      <c r="F490" s="51"/>
      <c r="G490" s="51"/>
      <c r="H490" s="44"/>
      <c r="I490" s="44"/>
      <c r="J490" s="44"/>
      <c r="K490" s="44"/>
      <c r="L490" s="44"/>
      <c r="M490" s="44" t="str">
        <f t="shared" si="1"/>
        <v>#DIV/0!</v>
      </c>
      <c r="N490" s="44" t="str">
        <f t="shared" si="2"/>
        <v>#DIV/0!</v>
      </c>
      <c r="O490" s="44" t="str">
        <f t="shared" si="4"/>
        <v/>
      </c>
      <c r="P490" s="44" t="str">
        <f t="shared" si="3"/>
        <v>#DIV/0!</v>
      </c>
      <c r="Q490" s="44"/>
    </row>
    <row r="491">
      <c r="A491" s="38" t="s">
        <v>1812</v>
      </c>
      <c r="B491" s="39" t="s">
        <v>1813</v>
      </c>
      <c r="C491" s="40" t="s">
        <v>1814</v>
      </c>
      <c r="D491" s="41" t="s">
        <v>1815</v>
      </c>
      <c r="E491" s="51"/>
      <c r="F491" s="51"/>
      <c r="G491" s="51"/>
      <c r="H491" s="44"/>
      <c r="I491" s="44"/>
      <c r="J491" s="44"/>
      <c r="K491" s="44"/>
      <c r="L491" s="44"/>
      <c r="M491" s="44" t="str">
        <f t="shared" si="1"/>
        <v>#DIV/0!</v>
      </c>
      <c r="N491" s="44" t="str">
        <f t="shared" si="2"/>
        <v>#DIV/0!</v>
      </c>
      <c r="O491" s="44" t="str">
        <f t="shared" si="4"/>
        <v/>
      </c>
      <c r="P491" s="44" t="str">
        <f t="shared" si="3"/>
        <v>#DIV/0!</v>
      </c>
      <c r="Q491" s="44"/>
    </row>
    <row r="492">
      <c r="A492" s="38" t="s">
        <v>1816</v>
      </c>
      <c r="B492" s="39" t="s">
        <v>1817</v>
      </c>
      <c r="C492" s="40" t="s">
        <v>1197</v>
      </c>
      <c r="D492" s="41" t="s">
        <v>896</v>
      </c>
      <c r="E492" s="51"/>
      <c r="F492" s="51"/>
      <c r="G492" s="51"/>
      <c r="H492" s="44"/>
      <c r="I492" s="44"/>
      <c r="J492" s="44"/>
      <c r="K492" s="44"/>
      <c r="L492" s="44"/>
      <c r="M492" s="44" t="str">
        <f t="shared" si="1"/>
        <v>#DIV/0!</v>
      </c>
      <c r="N492" s="44" t="str">
        <f t="shared" si="2"/>
        <v>#DIV/0!</v>
      </c>
      <c r="O492" s="44" t="str">
        <f t="shared" si="4"/>
        <v/>
      </c>
      <c r="P492" s="44" t="str">
        <f t="shared" si="3"/>
        <v>#DIV/0!</v>
      </c>
      <c r="Q492" s="44"/>
    </row>
    <row r="493">
      <c r="A493" s="38" t="s">
        <v>1818</v>
      </c>
      <c r="B493" s="39" t="s">
        <v>1819</v>
      </c>
      <c r="C493" s="40" t="s">
        <v>5043</v>
      </c>
      <c r="D493" s="42" t="s">
        <v>5044</v>
      </c>
      <c r="E493" s="51"/>
      <c r="F493" s="51"/>
      <c r="G493" s="51"/>
      <c r="H493" s="44"/>
      <c r="I493" s="44"/>
      <c r="J493" s="44"/>
      <c r="K493" s="44"/>
      <c r="L493" s="44"/>
      <c r="M493" s="44" t="str">
        <f t="shared" si="1"/>
        <v>#DIV/0!</v>
      </c>
      <c r="N493" s="44" t="str">
        <f t="shared" si="2"/>
        <v>#DIV/0!</v>
      </c>
      <c r="O493" s="44" t="str">
        <f t="shared" si="4"/>
        <v/>
      </c>
      <c r="P493" s="44" t="str">
        <f t="shared" si="3"/>
        <v>#DIV/0!</v>
      </c>
      <c r="Q493" s="44"/>
    </row>
    <row r="494">
      <c r="A494" s="38" t="s">
        <v>1822</v>
      </c>
      <c r="B494" s="39" t="s">
        <v>1823</v>
      </c>
      <c r="C494" s="40" t="s">
        <v>5045</v>
      </c>
      <c r="D494" s="41" t="s">
        <v>1825</v>
      </c>
      <c r="E494" s="51"/>
      <c r="F494" s="51"/>
      <c r="G494" s="51"/>
      <c r="H494" s="44"/>
      <c r="I494" s="44"/>
      <c r="J494" s="44"/>
      <c r="K494" s="44"/>
      <c r="L494" s="44"/>
      <c r="M494" s="44" t="str">
        <f t="shared" si="1"/>
        <v>#DIV/0!</v>
      </c>
      <c r="N494" s="44" t="str">
        <f t="shared" si="2"/>
        <v>#DIV/0!</v>
      </c>
      <c r="O494" s="44" t="str">
        <f t="shared" si="4"/>
        <v/>
      </c>
      <c r="P494" s="44" t="str">
        <f t="shared" si="3"/>
        <v>#DIV/0!</v>
      </c>
      <c r="Q494" s="44"/>
    </row>
    <row r="495">
      <c r="A495" s="38" t="s">
        <v>1826</v>
      </c>
      <c r="B495" s="39" t="s">
        <v>1827</v>
      </c>
      <c r="C495" s="40" t="s">
        <v>5046</v>
      </c>
      <c r="D495" s="42" t="s">
        <v>5047</v>
      </c>
      <c r="E495" s="51"/>
      <c r="F495" s="51"/>
      <c r="G495" s="51"/>
      <c r="H495" s="44"/>
      <c r="I495" s="44"/>
      <c r="J495" s="44"/>
      <c r="K495" s="44"/>
      <c r="L495" s="44"/>
      <c r="M495" s="44" t="str">
        <f t="shared" si="1"/>
        <v>#DIV/0!</v>
      </c>
      <c r="N495" s="44" t="str">
        <f t="shared" si="2"/>
        <v>#DIV/0!</v>
      </c>
      <c r="O495" s="44" t="str">
        <f t="shared" si="4"/>
        <v/>
      </c>
      <c r="P495" s="44" t="str">
        <f t="shared" si="3"/>
        <v>#DIV/0!</v>
      </c>
      <c r="Q495" s="44"/>
    </row>
    <row r="496">
      <c r="A496" s="38" t="s">
        <v>1830</v>
      </c>
      <c r="B496" s="39" t="s">
        <v>1831</v>
      </c>
      <c r="C496" s="40" t="s">
        <v>5048</v>
      </c>
      <c r="D496" s="42" t="s">
        <v>5049</v>
      </c>
      <c r="E496" s="51"/>
      <c r="F496" s="51"/>
      <c r="G496" s="51"/>
      <c r="H496" s="44"/>
      <c r="I496" s="44"/>
      <c r="J496" s="44"/>
      <c r="K496" s="44"/>
      <c r="L496" s="44"/>
      <c r="M496" s="44" t="str">
        <f t="shared" si="1"/>
        <v>#DIV/0!</v>
      </c>
      <c r="N496" s="44" t="str">
        <f t="shared" si="2"/>
        <v>#DIV/0!</v>
      </c>
      <c r="O496" s="44" t="str">
        <f t="shared" si="4"/>
        <v/>
      </c>
      <c r="P496" s="44" t="str">
        <f t="shared" si="3"/>
        <v>#DIV/0!</v>
      </c>
      <c r="Q496" s="44"/>
    </row>
    <row r="497">
      <c r="A497" s="38" t="s">
        <v>1834</v>
      </c>
      <c r="B497" s="39" t="s">
        <v>1835</v>
      </c>
      <c r="C497" s="40" t="s">
        <v>991</v>
      </c>
      <c r="D497" s="41" t="s">
        <v>113</v>
      </c>
      <c r="E497" s="51"/>
      <c r="F497" s="51"/>
      <c r="G497" s="51"/>
      <c r="H497" s="44"/>
      <c r="I497" s="44"/>
      <c r="J497" s="44"/>
      <c r="K497" s="44"/>
      <c r="L497" s="44"/>
      <c r="M497" s="44" t="str">
        <f t="shared" si="1"/>
        <v>#DIV/0!</v>
      </c>
      <c r="N497" s="44" t="str">
        <f t="shared" si="2"/>
        <v>#DIV/0!</v>
      </c>
      <c r="O497" s="44" t="str">
        <f t="shared" si="4"/>
        <v/>
      </c>
      <c r="P497" s="44" t="str">
        <f t="shared" si="3"/>
        <v>#DIV/0!</v>
      </c>
      <c r="Q497" s="44"/>
    </row>
    <row r="498">
      <c r="A498" s="38" t="s">
        <v>1836</v>
      </c>
      <c r="B498" s="39" t="s">
        <v>1837</v>
      </c>
      <c r="C498" s="40" t="s">
        <v>1838</v>
      </c>
      <c r="D498" s="41" t="s">
        <v>1839</v>
      </c>
      <c r="E498" s="51"/>
      <c r="F498" s="51"/>
      <c r="G498" s="51"/>
      <c r="H498" s="44"/>
      <c r="I498" s="44"/>
      <c r="J498" s="44"/>
      <c r="K498" s="44"/>
      <c r="L498" s="44"/>
      <c r="M498" s="44" t="str">
        <f t="shared" si="1"/>
        <v>#DIV/0!</v>
      </c>
      <c r="N498" s="44" t="str">
        <f t="shared" si="2"/>
        <v>#DIV/0!</v>
      </c>
      <c r="O498" s="44" t="str">
        <f t="shared" si="4"/>
        <v/>
      </c>
      <c r="P498" s="44" t="str">
        <f t="shared" si="3"/>
        <v>#DIV/0!</v>
      </c>
      <c r="Q498" s="44"/>
    </row>
    <row r="499">
      <c r="A499" s="38" t="s">
        <v>1840</v>
      </c>
      <c r="B499" s="39" t="s">
        <v>1841</v>
      </c>
      <c r="C499" s="40" t="s">
        <v>268</v>
      </c>
      <c r="D499" s="41" t="s">
        <v>137</v>
      </c>
      <c r="E499" s="51"/>
      <c r="F499" s="51"/>
      <c r="G499" s="51"/>
      <c r="H499" s="44"/>
      <c r="I499" s="44"/>
      <c r="J499" s="44"/>
      <c r="K499" s="44"/>
      <c r="L499" s="44"/>
      <c r="M499" s="44" t="str">
        <f t="shared" si="1"/>
        <v>#DIV/0!</v>
      </c>
      <c r="N499" s="44" t="str">
        <f t="shared" si="2"/>
        <v>#DIV/0!</v>
      </c>
      <c r="O499" s="44" t="str">
        <f t="shared" si="4"/>
        <v/>
      </c>
      <c r="P499" s="44" t="str">
        <f t="shared" si="3"/>
        <v>#DIV/0!</v>
      </c>
      <c r="Q499" s="44"/>
    </row>
    <row r="500">
      <c r="A500" s="38" t="s">
        <v>1842</v>
      </c>
      <c r="B500" s="39" t="s">
        <v>1843</v>
      </c>
      <c r="C500" s="40" t="s">
        <v>5050</v>
      </c>
      <c r="D500" s="42" t="s">
        <v>5051</v>
      </c>
      <c r="E500" s="51"/>
      <c r="F500" s="51"/>
      <c r="G500" s="51"/>
      <c r="H500" s="44"/>
      <c r="I500" s="44"/>
      <c r="J500" s="44"/>
      <c r="K500" s="44"/>
      <c r="L500" s="44"/>
      <c r="M500" s="44" t="str">
        <f t="shared" si="1"/>
        <v>#DIV/0!</v>
      </c>
      <c r="N500" s="44" t="str">
        <f t="shared" si="2"/>
        <v>#DIV/0!</v>
      </c>
      <c r="O500" s="44" t="str">
        <f t="shared" si="4"/>
        <v/>
      </c>
      <c r="P500" s="44" t="str">
        <f t="shared" si="3"/>
        <v>#DIV/0!</v>
      </c>
      <c r="Q500" s="44"/>
    </row>
    <row r="501">
      <c r="A501" s="38" t="s">
        <v>1846</v>
      </c>
      <c r="B501" s="39" t="s">
        <v>1847</v>
      </c>
      <c r="C501" s="40" t="s">
        <v>1848</v>
      </c>
      <c r="D501" s="41" t="s">
        <v>1849</v>
      </c>
      <c r="E501" s="51"/>
      <c r="F501" s="51"/>
      <c r="G501" s="51"/>
      <c r="H501" s="44"/>
      <c r="I501" s="44"/>
      <c r="J501" s="44"/>
      <c r="K501" s="44"/>
      <c r="L501" s="44"/>
      <c r="M501" s="44" t="str">
        <f t="shared" si="1"/>
        <v>#DIV/0!</v>
      </c>
      <c r="N501" s="44" t="str">
        <f t="shared" si="2"/>
        <v>#DIV/0!</v>
      </c>
      <c r="O501" s="44" t="str">
        <f t="shared" si="4"/>
        <v/>
      </c>
      <c r="P501" s="44" t="str">
        <f t="shared" si="3"/>
        <v>#DIV/0!</v>
      </c>
      <c r="Q501" s="44"/>
    </row>
    <row r="502">
      <c r="A502" s="38" t="s">
        <v>1850</v>
      </c>
      <c r="B502" s="39" t="s">
        <v>1851</v>
      </c>
      <c r="C502" s="40" t="s">
        <v>268</v>
      </c>
      <c r="D502" s="41" t="s">
        <v>137</v>
      </c>
      <c r="E502" s="51"/>
      <c r="F502" s="51"/>
      <c r="G502" s="51"/>
      <c r="H502" s="44"/>
      <c r="I502" s="44"/>
      <c r="J502" s="44"/>
      <c r="K502" s="44"/>
      <c r="L502" s="44"/>
      <c r="M502" s="44" t="str">
        <f t="shared" si="1"/>
        <v>#DIV/0!</v>
      </c>
      <c r="N502" s="44" t="str">
        <f t="shared" si="2"/>
        <v>#DIV/0!</v>
      </c>
      <c r="O502" s="44" t="str">
        <f t="shared" si="4"/>
        <v/>
      </c>
      <c r="P502" s="44" t="str">
        <f t="shared" si="3"/>
        <v>#DIV/0!</v>
      </c>
      <c r="Q502" s="44"/>
    </row>
    <row r="503">
      <c r="A503" s="38" t="s">
        <v>1852</v>
      </c>
      <c r="B503" s="39" t="s">
        <v>1853</v>
      </c>
      <c r="C503" s="40" t="s">
        <v>1854</v>
      </c>
      <c r="D503" s="41" t="s">
        <v>1855</v>
      </c>
      <c r="E503" s="51"/>
      <c r="F503" s="51"/>
      <c r="G503" s="51"/>
      <c r="H503" s="44"/>
      <c r="I503" s="44"/>
      <c r="J503" s="44"/>
      <c r="K503" s="44"/>
      <c r="L503" s="44"/>
      <c r="M503" s="44" t="str">
        <f t="shared" si="1"/>
        <v>#DIV/0!</v>
      </c>
      <c r="N503" s="44" t="str">
        <f t="shared" si="2"/>
        <v>#DIV/0!</v>
      </c>
      <c r="O503" s="44" t="str">
        <f t="shared" si="4"/>
        <v/>
      </c>
      <c r="P503" s="44" t="str">
        <f t="shared" si="3"/>
        <v>#DIV/0!</v>
      </c>
      <c r="Q503" s="44"/>
    </row>
    <row r="504">
      <c r="A504" s="38" t="s">
        <v>1856</v>
      </c>
      <c r="B504" s="39" t="s">
        <v>1857</v>
      </c>
      <c r="C504" s="40" t="s">
        <v>5052</v>
      </c>
      <c r="D504" s="41" t="s">
        <v>1859</v>
      </c>
      <c r="E504" s="51"/>
      <c r="F504" s="51"/>
      <c r="G504" s="51"/>
      <c r="H504" s="44"/>
      <c r="I504" s="44"/>
      <c r="J504" s="44"/>
      <c r="K504" s="44"/>
      <c r="L504" s="44"/>
      <c r="M504" s="44" t="str">
        <f t="shared" si="1"/>
        <v>#DIV/0!</v>
      </c>
      <c r="N504" s="44" t="str">
        <f t="shared" si="2"/>
        <v>#DIV/0!</v>
      </c>
      <c r="O504" s="44" t="str">
        <f t="shared" si="4"/>
        <v/>
      </c>
      <c r="P504" s="44" t="str">
        <f t="shared" si="3"/>
        <v>#DIV/0!</v>
      </c>
      <c r="Q504" s="44"/>
    </row>
    <row r="505">
      <c r="A505" s="38" t="s">
        <v>1860</v>
      </c>
      <c r="B505" s="39" t="s">
        <v>1861</v>
      </c>
      <c r="C505" s="40" t="s">
        <v>1862</v>
      </c>
      <c r="D505" s="42" t="s">
        <v>1863</v>
      </c>
      <c r="E505" s="51"/>
      <c r="F505" s="51"/>
      <c r="G505" s="51"/>
      <c r="H505" s="44"/>
      <c r="I505" s="44"/>
      <c r="J505" s="44"/>
      <c r="K505" s="44"/>
      <c r="L505" s="44"/>
      <c r="M505" s="44" t="str">
        <f t="shared" si="1"/>
        <v>#DIV/0!</v>
      </c>
      <c r="N505" s="44" t="str">
        <f t="shared" si="2"/>
        <v>#DIV/0!</v>
      </c>
      <c r="O505" s="44" t="str">
        <f t="shared" si="4"/>
        <v/>
      </c>
      <c r="P505" s="44" t="str">
        <f t="shared" si="3"/>
        <v>#DIV/0!</v>
      </c>
      <c r="Q505" s="44"/>
    </row>
    <row r="506">
      <c r="A506" s="38" t="s">
        <v>1864</v>
      </c>
      <c r="B506" s="39" t="s">
        <v>1865</v>
      </c>
      <c r="C506" s="40" t="s">
        <v>40</v>
      </c>
      <c r="D506" s="41" t="s">
        <v>41</v>
      </c>
      <c r="E506" s="51"/>
      <c r="F506" s="51"/>
      <c r="G506" s="51"/>
      <c r="H506" s="44"/>
      <c r="I506" s="44"/>
      <c r="J506" s="44"/>
      <c r="K506" s="44"/>
      <c r="L506" s="44"/>
      <c r="M506" s="44" t="str">
        <f t="shared" si="1"/>
        <v>#DIV/0!</v>
      </c>
      <c r="N506" s="44" t="str">
        <f t="shared" si="2"/>
        <v>#DIV/0!</v>
      </c>
      <c r="O506" s="44" t="str">
        <f t="shared" si="4"/>
        <v/>
      </c>
      <c r="P506" s="44" t="str">
        <f t="shared" si="3"/>
        <v>#DIV/0!</v>
      </c>
      <c r="Q506" s="44"/>
    </row>
    <row r="507">
      <c r="A507" s="38" t="s">
        <v>1868</v>
      </c>
      <c r="B507" s="39" t="s">
        <v>1869</v>
      </c>
      <c r="C507" s="40" t="s">
        <v>1870</v>
      </c>
      <c r="D507" s="42" t="s">
        <v>1871</v>
      </c>
      <c r="E507" s="51"/>
      <c r="F507" s="51"/>
      <c r="G507" s="51"/>
      <c r="H507" s="44"/>
      <c r="I507" s="44"/>
      <c r="J507" s="44"/>
      <c r="K507" s="44"/>
      <c r="L507" s="44"/>
      <c r="M507" s="44" t="str">
        <f t="shared" si="1"/>
        <v>#DIV/0!</v>
      </c>
      <c r="N507" s="44" t="str">
        <f t="shared" si="2"/>
        <v>#DIV/0!</v>
      </c>
      <c r="O507" s="44" t="str">
        <f t="shared" si="4"/>
        <v/>
      </c>
      <c r="P507" s="44" t="str">
        <f t="shared" si="3"/>
        <v>#DIV/0!</v>
      </c>
      <c r="Q507" s="44"/>
    </row>
    <row r="508">
      <c r="A508" s="38" t="s">
        <v>1872</v>
      </c>
      <c r="B508" s="39" t="s">
        <v>1873</v>
      </c>
      <c r="C508" s="40" t="s">
        <v>5053</v>
      </c>
      <c r="D508" s="42" t="s">
        <v>5054</v>
      </c>
      <c r="E508" s="51"/>
      <c r="F508" s="51"/>
      <c r="G508" s="51"/>
      <c r="H508" s="44"/>
      <c r="I508" s="44"/>
      <c r="J508" s="44"/>
      <c r="K508" s="44"/>
      <c r="L508" s="44"/>
      <c r="M508" s="44" t="str">
        <f t="shared" si="1"/>
        <v>#DIV/0!</v>
      </c>
      <c r="N508" s="44" t="str">
        <f t="shared" si="2"/>
        <v>#DIV/0!</v>
      </c>
      <c r="O508" s="44" t="str">
        <f t="shared" si="4"/>
        <v/>
      </c>
      <c r="P508" s="44" t="str">
        <f t="shared" si="3"/>
        <v>#DIV/0!</v>
      </c>
      <c r="Q508" s="44"/>
    </row>
    <row r="509">
      <c r="A509" s="38" t="s">
        <v>1876</v>
      </c>
      <c r="B509" s="39" t="s">
        <v>1877</v>
      </c>
      <c r="C509" s="40" t="s">
        <v>1878</v>
      </c>
      <c r="D509" s="41" t="s">
        <v>1879</v>
      </c>
      <c r="E509" s="51"/>
      <c r="F509" s="51"/>
      <c r="G509" s="51"/>
      <c r="H509" s="44"/>
      <c r="I509" s="44"/>
      <c r="J509" s="44"/>
      <c r="K509" s="44"/>
      <c r="L509" s="44"/>
      <c r="M509" s="44" t="str">
        <f t="shared" si="1"/>
        <v>#DIV/0!</v>
      </c>
      <c r="N509" s="44" t="str">
        <f t="shared" si="2"/>
        <v>#DIV/0!</v>
      </c>
      <c r="O509" s="44" t="str">
        <f t="shared" si="4"/>
        <v/>
      </c>
      <c r="P509" s="44" t="str">
        <f t="shared" si="3"/>
        <v>#DIV/0!</v>
      </c>
      <c r="Q509" s="44"/>
    </row>
    <row r="510">
      <c r="A510" s="38" t="s">
        <v>1880</v>
      </c>
      <c r="B510" s="39" t="s">
        <v>1881</v>
      </c>
      <c r="C510" s="40" t="s">
        <v>1174</v>
      </c>
      <c r="D510" s="41" t="s">
        <v>844</v>
      </c>
      <c r="E510" s="51"/>
      <c r="F510" s="51"/>
      <c r="G510" s="51"/>
      <c r="H510" s="44"/>
      <c r="I510" s="44"/>
      <c r="J510" s="44"/>
      <c r="K510" s="44"/>
      <c r="L510" s="44"/>
      <c r="M510" s="44" t="str">
        <f t="shared" si="1"/>
        <v>#DIV/0!</v>
      </c>
      <c r="N510" s="44" t="str">
        <f t="shared" si="2"/>
        <v>#DIV/0!</v>
      </c>
      <c r="O510" s="44" t="str">
        <f t="shared" si="4"/>
        <v/>
      </c>
      <c r="P510" s="44" t="str">
        <f t="shared" si="3"/>
        <v>#DIV/0!</v>
      </c>
      <c r="Q510" s="44"/>
    </row>
    <row r="511">
      <c r="A511" s="38" t="s">
        <v>1882</v>
      </c>
      <c r="B511" s="39" t="s">
        <v>1883</v>
      </c>
      <c r="C511" s="40" t="s">
        <v>1884</v>
      </c>
      <c r="D511" s="42" t="s">
        <v>5055</v>
      </c>
      <c r="E511" s="51"/>
      <c r="F511" s="51"/>
      <c r="G511" s="51"/>
      <c r="H511" s="44"/>
      <c r="I511" s="44"/>
      <c r="J511" s="44"/>
      <c r="K511" s="44"/>
      <c r="L511" s="44"/>
      <c r="M511" s="44" t="str">
        <f t="shared" si="1"/>
        <v>#DIV/0!</v>
      </c>
      <c r="N511" s="44" t="str">
        <f t="shared" si="2"/>
        <v>#DIV/0!</v>
      </c>
      <c r="O511" s="44" t="str">
        <f t="shared" si="4"/>
        <v/>
      </c>
      <c r="P511" s="44" t="str">
        <f t="shared" si="3"/>
        <v>#DIV/0!</v>
      </c>
      <c r="Q511" s="44"/>
    </row>
    <row r="512">
      <c r="A512" s="38" t="s">
        <v>1886</v>
      </c>
      <c r="B512" s="39" t="s">
        <v>1887</v>
      </c>
      <c r="C512" s="40" t="s">
        <v>268</v>
      </c>
      <c r="D512" s="41" t="s">
        <v>137</v>
      </c>
      <c r="E512" s="51"/>
      <c r="F512" s="51"/>
      <c r="G512" s="51"/>
      <c r="H512" s="44"/>
      <c r="I512" s="44"/>
      <c r="J512" s="44"/>
      <c r="K512" s="44"/>
      <c r="L512" s="44"/>
      <c r="M512" s="44" t="str">
        <f t="shared" si="1"/>
        <v>#DIV/0!</v>
      </c>
      <c r="N512" s="44" t="str">
        <f t="shared" si="2"/>
        <v>#DIV/0!</v>
      </c>
      <c r="O512" s="44" t="str">
        <f t="shared" si="4"/>
        <v/>
      </c>
      <c r="P512" s="44" t="str">
        <f t="shared" si="3"/>
        <v>#DIV/0!</v>
      </c>
      <c r="Q512" s="44"/>
    </row>
    <row r="513">
      <c r="A513" s="38" t="s">
        <v>1888</v>
      </c>
      <c r="B513" s="39" t="s">
        <v>1889</v>
      </c>
      <c r="C513" s="40" t="s">
        <v>1890</v>
      </c>
      <c r="D513" s="42" t="s">
        <v>5056</v>
      </c>
      <c r="E513" s="51"/>
      <c r="F513" s="51"/>
      <c r="G513" s="51"/>
      <c r="H513" s="44"/>
      <c r="I513" s="44"/>
      <c r="J513" s="44"/>
      <c r="K513" s="44"/>
      <c r="L513" s="44"/>
      <c r="M513" s="44" t="str">
        <f t="shared" si="1"/>
        <v>#DIV/0!</v>
      </c>
      <c r="N513" s="44" t="str">
        <f t="shared" si="2"/>
        <v>#DIV/0!</v>
      </c>
      <c r="O513" s="44" t="str">
        <f t="shared" si="4"/>
        <v/>
      </c>
      <c r="P513" s="44" t="str">
        <f t="shared" si="3"/>
        <v>#DIV/0!</v>
      </c>
      <c r="Q513" s="44"/>
    </row>
    <row r="514">
      <c r="A514" s="38" t="s">
        <v>1892</v>
      </c>
      <c r="B514" s="39" t="s">
        <v>1893</v>
      </c>
      <c r="C514" s="40" t="s">
        <v>1894</v>
      </c>
      <c r="D514" s="42" t="s">
        <v>5057</v>
      </c>
      <c r="E514" s="51"/>
      <c r="F514" s="51"/>
      <c r="G514" s="51"/>
      <c r="H514" s="44"/>
      <c r="I514" s="44"/>
      <c r="J514" s="44"/>
      <c r="K514" s="44"/>
      <c r="L514" s="44"/>
      <c r="M514" s="44" t="str">
        <f t="shared" si="1"/>
        <v>#DIV/0!</v>
      </c>
      <c r="N514" s="44" t="str">
        <f t="shared" si="2"/>
        <v>#DIV/0!</v>
      </c>
      <c r="O514" s="44" t="str">
        <f t="shared" si="4"/>
        <v/>
      </c>
      <c r="P514" s="44" t="str">
        <f t="shared" si="3"/>
        <v>#DIV/0!</v>
      </c>
      <c r="Q514" s="44"/>
    </row>
    <row r="515">
      <c r="A515" s="38" t="s">
        <v>1896</v>
      </c>
      <c r="B515" s="39" t="s">
        <v>1897</v>
      </c>
      <c r="C515" s="40" t="s">
        <v>268</v>
      </c>
      <c r="D515" s="41" t="s">
        <v>137</v>
      </c>
      <c r="E515" s="51"/>
      <c r="F515" s="51"/>
      <c r="G515" s="51"/>
      <c r="H515" s="44"/>
      <c r="I515" s="44"/>
      <c r="J515" s="44"/>
      <c r="K515" s="44"/>
      <c r="L515" s="44"/>
      <c r="M515" s="44" t="str">
        <f t="shared" si="1"/>
        <v>#DIV/0!</v>
      </c>
      <c r="N515" s="44" t="str">
        <f t="shared" si="2"/>
        <v>#DIV/0!</v>
      </c>
      <c r="O515" s="44" t="str">
        <f t="shared" si="4"/>
        <v/>
      </c>
      <c r="P515" s="44" t="str">
        <f t="shared" si="3"/>
        <v>#DIV/0!</v>
      </c>
      <c r="Q515" s="44"/>
    </row>
    <row r="516">
      <c r="A516" s="38" t="s">
        <v>1898</v>
      </c>
      <c r="B516" s="39" t="s">
        <v>1899</v>
      </c>
      <c r="C516" s="40" t="s">
        <v>1900</v>
      </c>
      <c r="D516" s="42" t="s">
        <v>5058</v>
      </c>
      <c r="E516" s="51"/>
      <c r="F516" s="51"/>
      <c r="G516" s="51"/>
      <c r="H516" s="44"/>
      <c r="I516" s="44"/>
      <c r="J516" s="44"/>
      <c r="K516" s="44"/>
      <c r="L516" s="44"/>
      <c r="M516" s="44" t="str">
        <f t="shared" si="1"/>
        <v>#DIV/0!</v>
      </c>
      <c r="N516" s="44" t="str">
        <f t="shared" si="2"/>
        <v>#DIV/0!</v>
      </c>
      <c r="O516" s="44" t="str">
        <f t="shared" si="4"/>
        <v/>
      </c>
      <c r="P516" s="44" t="str">
        <f t="shared" si="3"/>
        <v>#DIV/0!</v>
      </c>
      <c r="Q516" s="44"/>
    </row>
    <row r="517">
      <c r="A517" s="38" t="s">
        <v>1902</v>
      </c>
      <c r="B517" s="39" t="s">
        <v>1903</v>
      </c>
      <c r="C517" s="40" t="s">
        <v>5059</v>
      </c>
      <c r="D517" s="42" t="s">
        <v>5060</v>
      </c>
      <c r="E517" s="51"/>
      <c r="F517" s="51"/>
      <c r="G517" s="51"/>
      <c r="H517" s="44"/>
      <c r="I517" s="44"/>
      <c r="J517" s="44"/>
      <c r="K517" s="44"/>
      <c r="L517" s="44"/>
      <c r="M517" s="44" t="str">
        <f t="shared" si="1"/>
        <v>#DIV/0!</v>
      </c>
      <c r="N517" s="44" t="str">
        <f t="shared" si="2"/>
        <v>#DIV/0!</v>
      </c>
      <c r="O517" s="44" t="str">
        <f t="shared" si="4"/>
        <v/>
      </c>
      <c r="P517" s="44" t="str">
        <f t="shared" si="3"/>
        <v>#DIV/0!</v>
      </c>
      <c r="Q517" s="44"/>
    </row>
    <row r="518">
      <c r="A518" s="38" t="s">
        <v>1905</v>
      </c>
      <c r="B518" s="39" t="s">
        <v>1906</v>
      </c>
      <c r="C518" s="40" t="s">
        <v>1907</v>
      </c>
      <c r="D518" s="42" t="s">
        <v>5061</v>
      </c>
      <c r="E518" s="51"/>
      <c r="F518" s="51"/>
      <c r="G518" s="51"/>
      <c r="H518" s="44"/>
      <c r="I518" s="44"/>
      <c r="J518" s="44"/>
      <c r="K518" s="44"/>
      <c r="L518" s="44"/>
      <c r="M518" s="44" t="str">
        <f t="shared" si="1"/>
        <v>#DIV/0!</v>
      </c>
      <c r="N518" s="44" t="str">
        <f t="shared" si="2"/>
        <v>#DIV/0!</v>
      </c>
      <c r="O518" s="44" t="str">
        <f t="shared" si="4"/>
        <v/>
      </c>
      <c r="P518" s="44" t="str">
        <f t="shared" si="3"/>
        <v>#DIV/0!</v>
      </c>
      <c r="Q518" s="44"/>
    </row>
    <row r="519">
      <c r="A519" s="38" t="s">
        <v>1909</v>
      </c>
      <c r="B519" s="39" t="s">
        <v>1910</v>
      </c>
      <c r="C519" s="40" t="s">
        <v>4699</v>
      </c>
      <c r="D519" s="41" t="s">
        <v>360</v>
      </c>
      <c r="E519" s="51"/>
      <c r="F519" s="51"/>
      <c r="G519" s="51"/>
      <c r="H519" s="44"/>
      <c r="I519" s="44"/>
      <c r="J519" s="44"/>
      <c r="K519" s="44"/>
      <c r="L519" s="44"/>
      <c r="M519" s="44" t="str">
        <f t="shared" si="1"/>
        <v>#DIV/0!</v>
      </c>
      <c r="N519" s="44" t="str">
        <f t="shared" si="2"/>
        <v>#DIV/0!</v>
      </c>
      <c r="O519" s="44" t="str">
        <f t="shared" si="4"/>
        <v/>
      </c>
      <c r="P519" s="44" t="str">
        <f t="shared" si="3"/>
        <v>#DIV/0!</v>
      </c>
      <c r="Q519" s="44"/>
    </row>
    <row r="520">
      <c r="A520" s="38" t="s">
        <v>1912</v>
      </c>
      <c r="B520" s="39" t="s">
        <v>1913</v>
      </c>
      <c r="C520" s="40" t="s">
        <v>268</v>
      </c>
      <c r="D520" s="41" t="s">
        <v>137</v>
      </c>
      <c r="E520" s="51"/>
      <c r="F520" s="51"/>
      <c r="G520" s="51"/>
      <c r="H520" s="44"/>
      <c r="I520" s="44"/>
      <c r="J520" s="44"/>
      <c r="K520" s="44"/>
      <c r="L520" s="44"/>
      <c r="M520" s="44" t="str">
        <f t="shared" si="1"/>
        <v>#DIV/0!</v>
      </c>
      <c r="N520" s="44" t="str">
        <f t="shared" si="2"/>
        <v>#DIV/0!</v>
      </c>
      <c r="O520" s="44" t="str">
        <f t="shared" si="4"/>
        <v/>
      </c>
      <c r="P520" s="44" t="str">
        <f t="shared" si="3"/>
        <v>#DIV/0!</v>
      </c>
      <c r="Q520" s="44"/>
    </row>
    <row r="521">
      <c r="A521" s="38" t="s">
        <v>1915</v>
      </c>
      <c r="B521" s="39" t="s">
        <v>1916</v>
      </c>
      <c r="C521" s="40" t="s">
        <v>1917</v>
      </c>
      <c r="D521" s="42" t="s">
        <v>5062</v>
      </c>
      <c r="E521" s="51"/>
      <c r="F521" s="51"/>
      <c r="G521" s="51"/>
      <c r="H521" s="44"/>
      <c r="I521" s="44"/>
      <c r="J521" s="44"/>
      <c r="K521" s="44"/>
      <c r="L521" s="44"/>
      <c r="M521" s="44" t="str">
        <f t="shared" si="1"/>
        <v>#DIV/0!</v>
      </c>
      <c r="N521" s="44" t="str">
        <f t="shared" si="2"/>
        <v>#DIV/0!</v>
      </c>
      <c r="O521" s="44" t="str">
        <f t="shared" si="4"/>
        <v/>
      </c>
      <c r="P521" s="44" t="str">
        <f t="shared" si="3"/>
        <v>#DIV/0!</v>
      </c>
      <c r="Q521" s="44"/>
    </row>
    <row r="522">
      <c r="A522" s="38" t="s">
        <v>1919</v>
      </c>
      <c r="B522" s="39" t="s">
        <v>1920</v>
      </c>
      <c r="C522" s="40" t="s">
        <v>1100</v>
      </c>
      <c r="D522" s="41" t="s">
        <v>1101</v>
      </c>
      <c r="E522" s="51"/>
      <c r="F522" s="51"/>
      <c r="G522" s="51"/>
      <c r="H522" s="44"/>
      <c r="I522" s="44"/>
      <c r="J522" s="44"/>
      <c r="K522" s="44"/>
      <c r="L522" s="44"/>
      <c r="M522" s="44" t="str">
        <f t="shared" si="1"/>
        <v>#DIV/0!</v>
      </c>
      <c r="N522" s="44" t="str">
        <f t="shared" si="2"/>
        <v>#DIV/0!</v>
      </c>
      <c r="O522" s="44" t="str">
        <f t="shared" si="4"/>
        <v/>
      </c>
      <c r="P522" s="44" t="str">
        <f t="shared" si="3"/>
        <v>#DIV/0!</v>
      </c>
      <c r="Q522" s="44"/>
    </row>
    <row r="523">
      <c r="A523" s="38" t="s">
        <v>1922</v>
      </c>
      <c r="B523" s="39" t="s">
        <v>1923</v>
      </c>
      <c r="C523" s="40" t="s">
        <v>1924</v>
      </c>
      <c r="D523" s="41" t="s">
        <v>1925</v>
      </c>
      <c r="E523" s="51"/>
      <c r="F523" s="51"/>
      <c r="G523" s="51"/>
      <c r="H523" s="44"/>
      <c r="I523" s="44"/>
      <c r="J523" s="44"/>
      <c r="K523" s="44"/>
      <c r="L523" s="44"/>
      <c r="M523" s="44" t="str">
        <f t="shared" si="1"/>
        <v>#DIV/0!</v>
      </c>
      <c r="N523" s="44" t="str">
        <f t="shared" si="2"/>
        <v>#DIV/0!</v>
      </c>
      <c r="O523" s="44" t="str">
        <f t="shared" si="4"/>
        <v/>
      </c>
      <c r="P523" s="44" t="str">
        <f t="shared" si="3"/>
        <v>#DIV/0!</v>
      </c>
      <c r="Q523" s="44"/>
    </row>
    <row r="524">
      <c r="A524" s="38" t="s">
        <v>1926</v>
      </c>
      <c r="B524" s="39" t="s">
        <v>1927</v>
      </c>
      <c r="C524" s="40" t="s">
        <v>1928</v>
      </c>
      <c r="D524" s="42" t="s">
        <v>5063</v>
      </c>
      <c r="E524" s="51"/>
      <c r="F524" s="51"/>
      <c r="G524" s="51"/>
      <c r="H524" s="44"/>
      <c r="I524" s="44"/>
      <c r="J524" s="44"/>
      <c r="K524" s="44"/>
      <c r="L524" s="44"/>
      <c r="M524" s="44" t="str">
        <f t="shared" si="1"/>
        <v>#DIV/0!</v>
      </c>
      <c r="N524" s="44" t="str">
        <f t="shared" si="2"/>
        <v>#DIV/0!</v>
      </c>
      <c r="O524" s="44" t="str">
        <f t="shared" si="4"/>
        <v/>
      </c>
      <c r="P524" s="44" t="str">
        <f t="shared" si="3"/>
        <v>#DIV/0!</v>
      </c>
      <c r="Q524" s="44"/>
    </row>
    <row r="525">
      <c r="A525" s="38" t="s">
        <v>1930</v>
      </c>
      <c r="B525" s="39" t="s">
        <v>1931</v>
      </c>
      <c r="C525" s="40" t="s">
        <v>5064</v>
      </c>
      <c r="D525" s="42" t="s">
        <v>5065</v>
      </c>
      <c r="E525" s="51"/>
      <c r="F525" s="51"/>
      <c r="G525" s="51"/>
      <c r="H525" s="44"/>
      <c r="I525" s="44"/>
      <c r="J525" s="44"/>
      <c r="K525" s="44"/>
      <c r="L525" s="44"/>
      <c r="M525" s="44" t="str">
        <f t="shared" si="1"/>
        <v>#DIV/0!</v>
      </c>
      <c r="N525" s="44" t="str">
        <f t="shared" si="2"/>
        <v>#DIV/0!</v>
      </c>
      <c r="O525" s="44" t="str">
        <f t="shared" si="4"/>
        <v/>
      </c>
      <c r="P525" s="44" t="str">
        <f t="shared" si="3"/>
        <v>#DIV/0!</v>
      </c>
      <c r="Q525" s="44"/>
    </row>
    <row r="526">
      <c r="A526" s="38" t="s">
        <v>1934</v>
      </c>
      <c r="B526" s="39" t="s">
        <v>1935</v>
      </c>
      <c r="C526" s="40" t="s">
        <v>1936</v>
      </c>
      <c r="D526" s="42" t="s">
        <v>5066</v>
      </c>
      <c r="E526" s="51"/>
      <c r="F526" s="51"/>
      <c r="G526" s="51"/>
      <c r="H526" s="44"/>
      <c r="I526" s="44"/>
      <c r="J526" s="44"/>
      <c r="K526" s="44"/>
      <c r="L526" s="44"/>
      <c r="M526" s="44" t="str">
        <f t="shared" si="1"/>
        <v>#DIV/0!</v>
      </c>
      <c r="N526" s="44" t="str">
        <f t="shared" si="2"/>
        <v>#DIV/0!</v>
      </c>
      <c r="O526" s="44" t="str">
        <f t="shared" si="4"/>
        <v/>
      </c>
      <c r="P526" s="44" t="str">
        <f t="shared" si="3"/>
        <v>#DIV/0!</v>
      </c>
      <c r="Q526" s="44"/>
    </row>
    <row r="527">
      <c r="A527" s="38" t="s">
        <v>1938</v>
      </c>
      <c r="B527" s="39" t="s">
        <v>1939</v>
      </c>
      <c r="C527" s="40" t="s">
        <v>1940</v>
      </c>
      <c r="D527" s="41" t="s">
        <v>1105</v>
      </c>
      <c r="E527" s="51"/>
      <c r="F527" s="51"/>
      <c r="G527" s="51"/>
      <c r="H527" s="44"/>
      <c r="I527" s="44"/>
      <c r="J527" s="44"/>
      <c r="K527" s="44"/>
      <c r="L527" s="44"/>
      <c r="M527" s="44" t="str">
        <f t="shared" si="1"/>
        <v>#DIV/0!</v>
      </c>
      <c r="N527" s="44" t="str">
        <f t="shared" si="2"/>
        <v>#DIV/0!</v>
      </c>
      <c r="O527" s="44" t="str">
        <f t="shared" si="4"/>
        <v/>
      </c>
      <c r="P527" s="44" t="str">
        <f t="shared" si="3"/>
        <v>#DIV/0!</v>
      </c>
      <c r="Q527" s="44"/>
    </row>
    <row r="528">
      <c r="A528" s="38" t="s">
        <v>1941</v>
      </c>
      <c r="B528" s="39" t="s">
        <v>1942</v>
      </c>
      <c r="C528" s="40" t="s">
        <v>1943</v>
      </c>
      <c r="D528" s="41" t="s">
        <v>937</v>
      </c>
      <c r="E528" s="51"/>
      <c r="F528" s="51"/>
      <c r="G528" s="51"/>
      <c r="H528" s="44"/>
      <c r="I528" s="44"/>
      <c r="J528" s="44"/>
      <c r="K528" s="44"/>
      <c r="L528" s="44"/>
      <c r="M528" s="44" t="str">
        <f t="shared" si="1"/>
        <v>#DIV/0!</v>
      </c>
      <c r="N528" s="44" t="str">
        <f t="shared" si="2"/>
        <v>#DIV/0!</v>
      </c>
      <c r="O528" s="44" t="str">
        <f t="shared" si="4"/>
        <v/>
      </c>
      <c r="P528" s="44" t="str">
        <f t="shared" si="3"/>
        <v>#DIV/0!</v>
      </c>
      <c r="Q528" s="44"/>
    </row>
    <row r="529">
      <c r="A529" s="38" t="s">
        <v>1944</v>
      </c>
      <c r="B529" s="39" t="s">
        <v>1945</v>
      </c>
      <c r="C529" s="40" t="s">
        <v>5067</v>
      </c>
      <c r="D529" s="42" t="s">
        <v>5068</v>
      </c>
      <c r="E529" s="51"/>
      <c r="F529" s="51"/>
      <c r="G529" s="51"/>
      <c r="H529" s="44"/>
      <c r="I529" s="44"/>
      <c r="J529" s="44"/>
      <c r="K529" s="44"/>
      <c r="L529" s="44"/>
      <c r="M529" s="44" t="str">
        <f t="shared" si="1"/>
        <v>#DIV/0!</v>
      </c>
      <c r="N529" s="44" t="str">
        <f t="shared" si="2"/>
        <v>#DIV/0!</v>
      </c>
      <c r="O529" s="44" t="str">
        <f t="shared" si="4"/>
        <v/>
      </c>
      <c r="P529" s="44" t="str">
        <f t="shared" si="3"/>
        <v>#DIV/0!</v>
      </c>
      <c r="Q529" s="44"/>
    </row>
    <row r="530">
      <c r="A530" s="38" t="s">
        <v>1948</v>
      </c>
      <c r="B530" s="39" t="s">
        <v>1949</v>
      </c>
      <c r="C530" s="40" t="s">
        <v>268</v>
      </c>
      <c r="D530" s="41" t="s">
        <v>137</v>
      </c>
      <c r="E530" s="51"/>
      <c r="F530" s="51"/>
      <c r="G530" s="51"/>
      <c r="H530" s="44"/>
      <c r="I530" s="44"/>
      <c r="J530" s="44"/>
      <c r="K530" s="44"/>
      <c r="L530" s="44"/>
      <c r="M530" s="44" t="str">
        <f t="shared" si="1"/>
        <v>#DIV/0!</v>
      </c>
      <c r="N530" s="44" t="str">
        <f t="shared" si="2"/>
        <v>#DIV/0!</v>
      </c>
      <c r="O530" s="44" t="str">
        <f t="shared" si="4"/>
        <v/>
      </c>
      <c r="P530" s="44" t="str">
        <f t="shared" si="3"/>
        <v>#DIV/0!</v>
      </c>
      <c r="Q530" s="44"/>
    </row>
    <row r="531">
      <c r="A531" s="38" t="s">
        <v>1950</v>
      </c>
      <c r="B531" s="39" t="s">
        <v>1951</v>
      </c>
      <c r="C531" s="40" t="s">
        <v>5069</v>
      </c>
      <c r="D531" s="42" t="s">
        <v>5070</v>
      </c>
      <c r="E531" s="51"/>
      <c r="F531" s="51"/>
      <c r="G531" s="51"/>
      <c r="H531" s="44"/>
      <c r="I531" s="44"/>
      <c r="J531" s="44"/>
      <c r="K531" s="44"/>
      <c r="L531" s="44"/>
      <c r="M531" s="44" t="str">
        <f t="shared" si="1"/>
        <v>#DIV/0!</v>
      </c>
      <c r="N531" s="44" t="str">
        <f t="shared" si="2"/>
        <v>#DIV/0!</v>
      </c>
      <c r="O531" s="44" t="str">
        <f t="shared" si="4"/>
        <v/>
      </c>
      <c r="P531" s="44" t="str">
        <f t="shared" si="3"/>
        <v>#DIV/0!</v>
      </c>
      <c r="Q531" s="44"/>
    </row>
    <row r="532">
      <c r="A532" s="38" t="s">
        <v>1954</v>
      </c>
      <c r="B532" s="39" t="s">
        <v>1955</v>
      </c>
      <c r="C532" s="40" t="s">
        <v>268</v>
      </c>
      <c r="D532" s="41" t="s">
        <v>137</v>
      </c>
      <c r="E532" s="51"/>
      <c r="F532" s="51"/>
      <c r="G532" s="51"/>
      <c r="H532" s="44"/>
      <c r="I532" s="44"/>
      <c r="J532" s="44"/>
      <c r="K532" s="44"/>
      <c r="L532" s="44"/>
      <c r="M532" s="44" t="str">
        <f t="shared" si="1"/>
        <v>#DIV/0!</v>
      </c>
      <c r="N532" s="44" t="str">
        <f t="shared" si="2"/>
        <v>#DIV/0!</v>
      </c>
      <c r="O532" s="44" t="str">
        <f t="shared" si="4"/>
        <v/>
      </c>
      <c r="P532" s="44" t="str">
        <f t="shared" si="3"/>
        <v>#DIV/0!</v>
      </c>
      <c r="Q532" s="44"/>
    </row>
    <row r="533">
      <c r="A533" s="38" t="s">
        <v>1956</v>
      </c>
      <c r="B533" s="39" t="s">
        <v>1957</v>
      </c>
      <c r="C533" s="40" t="s">
        <v>1958</v>
      </c>
      <c r="D533" s="41" t="s">
        <v>1959</v>
      </c>
      <c r="E533" s="51"/>
      <c r="F533" s="51"/>
      <c r="G533" s="51"/>
      <c r="H533" s="44"/>
      <c r="I533" s="44"/>
      <c r="J533" s="44"/>
      <c r="K533" s="44"/>
      <c r="L533" s="44"/>
      <c r="M533" s="44" t="str">
        <f t="shared" si="1"/>
        <v>#DIV/0!</v>
      </c>
      <c r="N533" s="44" t="str">
        <f t="shared" si="2"/>
        <v>#DIV/0!</v>
      </c>
      <c r="O533" s="44" t="str">
        <f t="shared" si="4"/>
        <v/>
      </c>
      <c r="P533" s="44" t="str">
        <f t="shared" si="3"/>
        <v>#DIV/0!</v>
      </c>
      <c r="Q533" s="44"/>
    </row>
    <row r="534">
      <c r="A534" s="38" t="s">
        <v>1960</v>
      </c>
      <c r="B534" s="39" t="s">
        <v>1961</v>
      </c>
      <c r="C534" s="40" t="s">
        <v>1962</v>
      </c>
      <c r="D534" s="42" t="s">
        <v>5071</v>
      </c>
      <c r="E534" s="51"/>
      <c r="F534" s="51"/>
      <c r="G534" s="51"/>
      <c r="H534" s="44"/>
      <c r="I534" s="44"/>
      <c r="J534" s="44"/>
      <c r="K534" s="44"/>
      <c r="L534" s="44"/>
      <c r="M534" s="44" t="str">
        <f t="shared" si="1"/>
        <v>#DIV/0!</v>
      </c>
      <c r="N534" s="44" t="str">
        <f t="shared" si="2"/>
        <v>#DIV/0!</v>
      </c>
      <c r="O534" s="44" t="str">
        <f t="shared" si="4"/>
        <v/>
      </c>
      <c r="P534" s="44" t="str">
        <f t="shared" si="3"/>
        <v>#DIV/0!</v>
      </c>
      <c r="Q534" s="44"/>
    </row>
    <row r="535">
      <c r="A535" s="38" t="s">
        <v>1964</v>
      </c>
      <c r="B535" s="39" t="s">
        <v>1965</v>
      </c>
      <c r="C535" s="40" t="s">
        <v>148</v>
      </c>
      <c r="D535" s="41" t="s">
        <v>149</v>
      </c>
      <c r="E535" s="51"/>
      <c r="F535" s="51"/>
      <c r="G535" s="51"/>
      <c r="H535" s="44"/>
      <c r="I535" s="44"/>
      <c r="J535" s="44"/>
      <c r="K535" s="44"/>
      <c r="L535" s="44"/>
      <c r="M535" s="44" t="str">
        <f t="shared" si="1"/>
        <v>#DIV/0!</v>
      </c>
      <c r="N535" s="44" t="str">
        <f t="shared" si="2"/>
        <v>#DIV/0!</v>
      </c>
      <c r="O535" s="44" t="str">
        <f t="shared" si="4"/>
        <v/>
      </c>
      <c r="P535" s="44" t="str">
        <f t="shared" si="3"/>
        <v>#DIV/0!</v>
      </c>
      <c r="Q535" s="44"/>
    </row>
    <row r="536">
      <c r="A536" s="38" t="s">
        <v>1966</v>
      </c>
      <c r="B536" s="39" t="s">
        <v>1967</v>
      </c>
      <c r="C536" s="40" t="s">
        <v>1968</v>
      </c>
      <c r="D536" s="42" t="s">
        <v>5072</v>
      </c>
      <c r="E536" s="51"/>
      <c r="F536" s="51"/>
      <c r="G536" s="51"/>
      <c r="H536" s="44"/>
      <c r="I536" s="44"/>
      <c r="J536" s="44"/>
      <c r="K536" s="44"/>
      <c r="L536" s="44"/>
      <c r="M536" s="44" t="str">
        <f t="shared" si="1"/>
        <v>#DIV/0!</v>
      </c>
      <c r="N536" s="44" t="str">
        <f t="shared" si="2"/>
        <v>#DIV/0!</v>
      </c>
      <c r="O536" s="44" t="str">
        <f t="shared" si="4"/>
        <v/>
      </c>
      <c r="P536" s="44" t="str">
        <f t="shared" si="3"/>
        <v>#DIV/0!</v>
      </c>
      <c r="Q536" s="44"/>
    </row>
    <row r="537">
      <c r="A537" s="38" t="s">
        <v>1970</v>
      </c>
      <c r="B537" s="39" t="s">
        <v>1971</v>
      </c>
      <c r="C537" s="40" t="s">
        <v>1972</v>
      </c>
      <c r="D537" s="42" t="s">
        <v>5073</v>
      </c>
      <c r="E537" s="51"/>
      <c r="F537" s="51"/>
      <c r="G537" s="51"/>
      <c r="H537" s="44"/>
      <c r="I537" s="44"/>
      <c r="J537" s="44"/>
      <c r="K537" s="44"/>
      <c r="L537" s="44"/>
      <c r="M537" s="44" t="str">
        <f t="shared" si="1"/>
        <v>#DIV/0!</v>
      </c>
      <c r="N537" s="44" t="str">
        <f t="shared" si="2"/>
        <v>#DIV/0!</v>
      </c>
      <c r="O537" s="44" t="str">
        <f t="shared" si="4"/>
        <v/>
      </c>
      <c r="P537" s="44" t="str">
        <f t="shared" si="3"/>
        <v>#DIV/0!</v>
      </c>
      <c r="Q537" s="44"/>
    </row>
    <row r="538">
      <c r="A538" s="38" t="s">
        <v>1974</v>
      </c>
      <c r="B538" s="39" t="s">
        <v>1975</v>
      </c>
      <c r="C538" s="40" t="s">
        <v>1976</v>
      </c>
      <c r="D538" s="41" t="s">
        <v>1977</v>
      </c>
      <c r="E538" s="51"/>
      <c r="F538" s="51"/>
      <c r="G538" s="51"/>
      <c r="H538" s="44"/>
      <c r="I538" s="44"/>
      <c r="J538" s="44"/>
      <c r="K538" s="44"/>
      <c r="L538" s="44"/>
      <c r="M538" s="44" t="str">
        <f t="shared" si="1"/>
        <v>#DIV/0!</v>
      </c>
      <c r="N538" s="44" t="str">
        <f t="shared" si="2"/>
        <v>#DIV/0!</v>
      </c>
      <c r="O538" s="44" t="str">
        <f t="shared" si="4"/>
        <v/>
      </c>
      <c r="P538" s="44" t="str">
        <f t="shared" si="3"/>
        <v>#DIV/0!</v>
      </c>
      <c r="Q538" s="44"/>
    </row>
    <row r="539">
      <c r="A539" s="38" t="s">
        <v>1978</v>
      </c>
      <c r="B539" s="39" t="s">
        <v>1979</v>
      </c>
      <c r="C539" s="40" t="s">
        <v>1980</v>
      </c>
      <c r="D539" s="42" t="s">
        <v>5074</v>
      </c>
      <c r="E539" s="51"/>
      <c r="F539" s="51"/>
      <c r="G539" s="51"/>
      <c r="H539" s="44"/>
      <c r="I539" s="44"/>
      <c r="J539" s="44"/>
      <c r="K539" s="44"/>
      <c r="L539" s="44"/>
      <c r="M539" s="44" t="str">
        <f t="shared" si="1"/>
        <v>#DIV/0!</v>
      </c>
      <c r="N539" s="44" t="str">
        <f t="shared" si="2"/>
        <v>#DIV/0!</v>
      </c>
      <c r="O539" s="44" t="str">
        <f t="shared" si="4"/>
        <v/>
      </c>
      <c r="P539" s="44" t="str">
        <f t="shared" si="3"/>
        <v>#DIV/0!</v>
      </c>
      <c r="Q539" s="44"/>
    </row>
    <row r="540">
      <c r="A540" s="38" t="s">
        <v>1982</v>
      </c>
      <c r="B540" s="39" t="s">
        <v>1983</v>
      </c>
      <c r="C540" s="40" t="s">
        <v>1984</v>
      </c>
      <c r="D540" s="42" t="s">
        <v>5075</v>
      </c>
      <c r="E540" s="51"/>
      <c r="F540" s="51"/>
      <c r="G540" s="51"/>
      <c r="H540" s="44"/>
      <c r="I540" s="44"/>
      <c r="J540" s="44"/>
      <c r="K540" s="44"/>
      <c r="L540" s="44"/>
      <c r="M540" s="44" t="str">
        <f t="shared" si="1"/>
        <v>#DIV/0!</v>
      </c>
      <c r="N540" s="44" t="str">
        <f t="shared" si="2"/>
        <v>#DIV/0!</v>
      </c>
      <c r="O540" s="44" t="str">
        <f t="shared" si="4"/>
        <v/>
      </c>
      <c r="P540" s="44" t="str">
        <f t="shared" si="3"/>
        <v>#DIV/0!</v>
      </c>
      <c r="Q540" s="44"/>
    </row>
    <row r="541">
      <c r="A541" s="38" t="s">
        <v>1986</v>
      </c>
      <c r="B541" s="39" t="s">
        <v>1987</v>
      </c>
      <c r="C541" s="40" t="s">
        <v>5076</v>
      </c>
      <c r="D541" s="42" t="s">
        <v>5077</v>
      </c>
      <c r="E541" s="51"/>
      <c r="F541" s="51"/>
      <c r="G541" s="51"/>
      <c r="H541" s="44"/>
      <c r="I541" s="44"/>
      <c r="J541" s="44"/>
      <c r="K541" s="44"/>
      <c r="L541" s="44"/>
      <c r="M541" s="44" t="str">
        <f t="shared" si="1"/>
        <v>#DIV/0!</v>
      </c>
      <c r="N541" s="44" t="str">
        <f t="shared" si="2"/>
        <v>#DIV/0!</v>
      </c>
      <c r="O541" s="44" t="str">
        <f t="shared" si="4"/>
        <v/>
      </c>
      <c r="P541" s="44" t="str">
        <f t="shared" si="3"/>
        <v>#DIV/0!</v>
      </c>
      <c r="Q541" s="44"/>
    </row>
    <row r="542">
      <c r="A542" s="38" t="s">
        <v>1990</v>
      </c>
      <c r="B542" s="39" t="s">
        <v>1991</v>
      </c>
      <c r="C542" s="40" t="s">
        <v>1226</v>
      </c>
      <c r="D542" s="41" t="s">
        <v>1227</v>
      </c>
      <c r="E542" s="51"/>
      <c r="F542" s="51"/>
      <c r="G542" s="51"/>
      <c r="H542" s="44"/>
      <c r="I542" s="44"/>
      <c r="J542" s="44"/>
      <c r="K542" s="44"/>
      <c r="L542" s="44"/>
      <c r="M542" s="44" t="str">
        <f t="shared" si="1"/>
        <v>#DIV/0!</v>
      </c>
      <c r="N542" s="44" t="str">
        <f t="shared" si="2"/>
        <v>#DIV/0!</v>
      </c>
      <c r="O542" s="44" t="str">
        <f t="shared" si="4"/>
        <v/>
      </c>
      <c r="P542" s="44" t="str">
        <f t="shared" si="3"/>
        <v>#DIV/0!</v>
      </c>
      <c r="Q542" s="44"/>
    </row>
    <row r="543">
      <c r="A543" s="38" t="s">
        <v>1994</v>
      </c>
      <c r="B543" s="39" t="s">
        <v>1995</v>
      </c>
      <c r="C543" s="40" t="s">
        <v>5078</v>
      </c>
      <c r="D543" s="42" t="s">
        <v>5079</v>
      </c>
      <c r="E543" s="51"/>
      <c r="F543" s="51"/>
      <c r="G543" s="51"/>
      <c r="H543" s="44"/>
      <c r="I543" s="44"/>
      <c r="J543" s="44"/>
      <c r="K543" s="44"/>
      <c r="L543" s="44"/>
      <c r="M543" s="44" t="str">
        <f t="shared" si="1"/>
        <v>#DIV/0!</v>
      </c>
      <c r="N543" s="44" t="str">
        <f t="shared" si="2"/>
        <v>#DIV/0!</v>
      </c>
      <c r="O543" s="44" t="str">
        <f t="shared" si="4"/>
        <v/>
      </c>
      <c r="P543" s="44" t="str">
        <f t="shared" si="3"/>
        <v>#DIV/0!</v>
      </c>
      <c r="Q543" s="44"/>
    </row>
    <row r="544">
      <c r="A544" s="38" t="s">
        <v>1998</v>
      </c>
      <c r="B544" s="39" t="s">
        <v>1999</v>
      </c>
      <c r="C544" s="40" t="s">
        <v>2207</v>
      </c>
      <c r="D544" s="41" t="s">
        <v>2001</v>
      </c>
      <c r="E544" s="51"/>
      <c r="F544" s="51"/>
      <c r="G544" s="51"/>
      <c r="H544" s="44"/>
      <c r="I544" s="44"/>
      <c r="J544" s="44"/>
      <c r="K544" s="44"/>
      <c r="L544" s="44"/>
      <c r="M544" s="44" t="str">
        <f t="shared" si="1"/>
        <v>#DIV/0!</v>
      </c>
      <c r="N544" s="44" t="str">
        <f t="shared" si="2"/>
        <v>#DIV/0!</v>
      </c>
      <c r="O544" s="44" t="str">
        <f t="shared" si="4"/>
        <v/>
      </c>
      <c r="P544" s="44" t="str">
        <f t="shared" si="3"/>
        <v>#DIV/0!</v>
      </c>
      <c r="Q544" s="44"/>
    </row>
    <row r="545">
      <c r="A545" s="38" t="s">
        <v>2002</v>
      </c>
      <c r="B545" s="39" t="s">
        <v>2003</v>
      </c>
      <c r="C545" s="40" t="s">
        <v>5080</v>
      </c>
      <c r="D545" s="42" t="s">
        <v>5081</v>
      </c>
      <c r="E545" s="51"/>
      <c r="F545" s="51"/>
      <c r="G545" s="51"/>
      <c r="H545" s="44"/>
      <c r="I545" s="44"/>
      <c r="J545" s="44"/>
      <c r="K545" s="44"/>
      <c r="L545" s="44"/>
      <c r="M545" s="44" t="str">
        <f t="shared" si="1"/>
        <v>#DIV/0!</v>
      </c>
      <c r="N545" s="44" t="str">
        <f t="shared" si="2"/>
        <v>#DIV/0!</v>
      </c>
      <c r="O545" s="44" t="str">
        <f t="shared" si="4"/>
        <v/>
      </c>
      <c r="P545" s="44" t="str">
        <f t="shared" si="3"/>
        <v>#DIV/0!</v>
      </c>
      <c r="Q545" s="44"/>
    </row>
    <row r="546">
      <c r="A546" s="38" t="s">
        <v>2006</v>
      </c>
      <c r="B546" s="39" t="s">
        <v>2007</v>
      </c>
      <c r="C546" s="40" t="s">
        <v>5082</v>
      </c>
      <c r="D546" s="42" t="s">
        <v>5083</v>
      </c>
      <c r="E546" s="51"/>
      <c r="F546" s="51"/>
      <c r="G546" s="51"/>
      <c r="H546" s="44"/>
      <c r="I546" s="44"/>
      <c r="J546" s="44"/>
      <c r="K546" s="44"/>
      <c r="L546" s="44"/>
      <c r="M546" s="44" t="str">
        <f t="shared" si="1"/>
        <v>#DIV/0!</v>
      </c>
      <c r="N546" s="44" t="str">
        <f t="shared" si="2"/>
        <v>#DIV/0!</v>
      </c>
      <c r="O546" s="44" t="str">
        <f t="shared" si="4"/>
        <v/>
      </c>
      <c r="P546" s="44" t="str">
        <f t="shared" si="3"/>
        <v>#DIV/0!</v>
      </c>
      <c r="Q546" s="44"/>
    </row>
    <row r="547">
      <c r="A547" s="38" t="s">
        <v>2010</v>
      </c>
      <c r="B547" s="39" t="s">
        <v>2011</v>
      </c>
      <c r="C547" s="40" t="s">
        <v>2012</v>
      </c>
      <c r="D547" s="42" t="s">
        <v>5084</v>
      </c>
      <c r="E547" s="51"/>
      <c r="F547" s="51"/>
      <c r="G547" s="51"/>
      <c r="H547" s="44"/>
      <c r="I547" s="44"/>
      <c r="J547" s="44"/>
      <c r="K547" s="44"/>
      <c r="L547" s="44"/>
      <c r="M547" s="44" t="str">
        <f t="shared" si="1"/>
        <v>#DIV/0!</v>
      </c>
      <c r="N547" s="44" t="str">
        <f t="shared" si="2"/>
        <v>#DIV/0!</v>
      </c>
      <c r="O547" s="44" t="str">
        <f t="shared" si="4"/>
        <v/>
      </c>
      <c r="P547" s="44" t="str">
        <f t="shared" si="3"/>
        <v>#DIV/0!</v>
      </c>
      <c r="Q547" s="44"/>
    </row>
    <row r="548">
      <c r="A548" s="38" t="s">
        <v>2014</v>
      </c>
      <c r="B548" s="39" t="s">
        <v>2015</v>
      </c>
      <c r="C548" s="40" t="s">
        <v>1013</v>
      </c>
      <c r="D548" s="41" t="s">
        <v>1014</v>
      </c>
      <c r="E548" s="51"/>
      <c r="F548" s="51"/>
      <c r="G548" s="51"/>
      <c r="H548" s="44"/>
      <c r="I548" s="44"/>
      <c r="J548" s="44"/>
      <c r="K548" s="44"/>
      <c r="L548" s="44"/>
      <c r="M548" s="44" t="str">
        <f t="shared" si="1"/>
        <v>#DIV/0!</v>
      </c>
      <c r="N548" s="44" t="str">
        <f t="shared" si="2"/>
        <v>#DIV/0!</v>
      </c>
      <c r="O548" s="44" t="str">
        <f t="shared" si="4"/>
        <v/>
      </c>
      <c r="P548" s="44" t="str">
        <f t="shared" si="3"/>
        <v>#DIV/0!</v>
      </c>
      <c r="Q548" s="44"/>
    </row>
    <row r="549">
      <c r="A549" s="38" t="s">
        <v>2016</v>
      </c>
      <c r="B549" s="39" t="s">
        <v>2017</v>
      </c>
      <c r="C549" s="40" t="s">
        <v>5085</v>
      </c>
      <c r="D549" s="42" t="s">
        <v>5086</v>
      </c>
      <c r="E549" s="51"/>
      <c r="F549" s="51"/>
      <c r="G549" s="51"/>
      <c r="H549" s="44"/>
      <c r="I549" s="44"/>
      <c r="J549" s="44"/>
      <c r="K549" s="44"/>
      <c r="L549" s="44"/>
      <c r="M549" s="44" t="str">
        <f t="shared" si="1"/>
        <v>#DIV/0!</v>
      </c>
      <c r="N549" s="44" t="str">
        <f t="shared" si="2"/>
        <v>#DIV/0!</v>
      </c>
      <c r="O549" s="44" t="str">
        <f t="shared" si="4"/>
        <v/>
      </c>
      <c r="P549" s="44" t="str">
        <f t="shared" si="3"/>
        <v>#DIV/0!</v>
      </c>
      <c r="Q549" s="44"/>
    </row>
    <row r="550">
      <c r="A550" s="38" t="s">
        <v>2020</v>
      </c>
      <c r="B550" s="39" t="s">
        <v>2021</v>
      </c>
      <c r="C550" s="40" t="s">
        <v>5087</v>
      </c>
      <c r="D550" s="42" t="s">
        <v>5088</v>
      </c>
      <c r="E550" s="51"/>
      <c r="F550" s="51"/>
      <c r="G550" s="51"/>
      <c r="H550" s="44"/>
      <c r="I550" s="44"/>
      <c r="J550" s="44"/>
      <c r="K550" s="44"/>
      <c r="L550" s="44"/>
      <c r="M550" s="44" t="str">
        <f t="shared" si="1"/>
        <v>#DIV/0!</v>
      </c>
      <c r="N550" s="44" t="str">
        <f t="shared" si="2"/>
        <v>#DIV/0!</v>
      </c>
      <c r="O550" s="44" t="str">
        <f t="shared" si="4"/>
        <v/>
      </c>
      <c r="P550" s="44" t="str">
        <f t="shared" si="3"/>
        <v>#DIV/0!</v>
      </c>
      <c r="Q550" s="44"/>
    </row>
    <row r="551">
      <c r="A551" s="38" t="s">
        <v>2024</v>
      </c>
      <c r="B551" s="39" t="s">
        <v>2025</v>
      </c>
      <c r="C551" s="40" t="s">
        <v>5089</v>
      </c>
      <c r="D551" s="42" t="s">
        <v>5090</v>
      </c>
      <c r="E551" s="51"/>
      <c r="F551" s="51"/>
      <c r="G551" s="51"/>
      <c r="H551" s="44"/>
      <c r="I551" s="44"/>
      <c r="J551" s="44"/>
      <c r="K551" s="44"/>
      <c r="L551" s="44"/>
      <c r="M551" s="44" t="str">
        <f t="shared" si="1"/>
        <v>#DIV/0!</v>
      </c>
      <c r="N551" s="44" t="str">
        <f t="shared" si="2"/>
        <v>#DIV/0!</v>
      </c>
      <c r="O551" s="44" t="str">
        <f t="shared" si="4"/>
        <v/>
      </c>
      <c r="P551" s="44" t="str">
        <f t="shared" si="3"/>
        <v>#DIV/0!</v>
      </c>
      <c r="Q551" s="44"/>
    </row>
    <row r="552">
      <c r="A552" s="38" t="s">
        <v>2028</v>
      </c>
      <c r="B552" s="39" t="s">
        <v>2029</v>
      </c>
      <c r="C552" s="40" t="s">
        <v>5091</v>
      </c>
      <c r="D552" s="42" t="s">
        <v>5092</v>
      </c>
      <c r="E552" s="51"/>
      <c r="F552" s="51"/>
      <c r="G552" s="51"/>
      <c r="H552" s="44"/>
      <c r="I552" s="44"/>
      <c r="J552" s="44"/>
      <c r="K552" s="44"/>
      <c r="L552" s="44"/>
      <c r="M552" s="44" t="str">
        <f t="shared" si="1"/>
        <v>#DIV/0!</v>
      </c>
      <c r="N552" s="44" t="str">
        <f t="shared" si="2"/>
        <v>#DIV/0!</v>
      </c>
      <c r="O552" s="44" t="str">
        <f t="shared" si="4"/>
        <v/>
      </c>
      <c r="P552" s="44" t="str">
        <f t="shared" si="3"/>
        <v>#DIV/0!</v>
      </c>
      <c r="Q552" s="44"/>
    </row>
    <row r="553">
      <c r="A553" s="38" t="s">
        <v>2032</v>
      </c>
      <c r="B553" s="39" t="s">
        <v>2033</v>
      </c>
      <c r="C553" s="40" t="s">
        <v>2034</v>
      </c>
      <c r="D553" s="42" t="s">
        <v>5093</v>
      </c>
      <c r="E553" s="51"/>
      <c r="F553" s="51"/>
      <c r="G553" s="51"/>
      <c r="H553" s="44"/>
      <c r="I553" s="44"/>
      <c r="J553" s="44"/>
      <c r="K553" s="44"/>
      <c r="L553" s="44"/>
      <c r="M553" s="44" t="str">
        <f t="shared" si="1"/>
        <v>#DIV/0!</v>
      </c>
      <c r="N553" s="44" t="str">
        <f t="shared" si="2"/>
        <v>#DIV/0!</v>
      </c>
      <c r="O553" s="44" t="str">
        <f t="shared" si="4"/>
        <v/>
      </c>
      <c r="P553" s="44" t="str">
        <f t="shared" si="3"/>
        <v>#DIV/0!</v>
      </c>
      <c r="Q553" s="44"/>
    </row>
    <row r="554">
      <c r="A554" s="38" t="s">
        <v>2036</v>
      </c>
      <c r="B554" s="39" t="s">
        <v>2037</v>
      </c>
      <c r="C554" s="40" t="s">
        <v>2038</v>
      </c>
      <c r="D554" s="42" t="s">
        <v>2039</v>
      </c>
      <c r="E554" s="51"/>
      <c r="F554" s="51"/>
      <c r="G554" s="51"/>
      <c r="H554" s="44"/>
      <c r="I554" s="44"/>
      <c r="J554" s="44"/>
      <c r="K554" s="44"/>
      <c r="L554" s="44"/>
      <c r="M554" s="44" t="str">
        <f t="shared" si="1"/>
        <v>#DIV/0!</v>
      </c>
      <c r="N554" s="44" t="str">
        <f t="shared" si="2"/>
        <v>#DIV/0!</v>
      </c>
      <c r="O554" s="44" t="str">
        <f t="shared" si="4"/>
        <v/>
      </c>
      <c r="P554" s="44" t="str">
        <f t="shared" si="3"/>
        <v>#DIV/0!</v>
      </c>
      <c r="Q554" s="44"/>
    </row>
    <row r="555">
      <c r="A555" s="38" t="s">
        <v>2040</v>
      </c>
      <c r="B555" s="39" t="s">
        <v>2041</v>
      </c>
      <c r="C555" s="40" t="s">
        <v>5094</v>
      </c>
      <c r="D555" s="42" t="s">
        <v>5095</v>
      </c>
      <c r="E555" s="51"/>
      <c r="F555" s="51"/>
      <c r="G555" s="51"/>
      <c r="H555" s="44"/>
      <c r="I555" s="44"/>
      <c r="J555" s="44"/>
      <c r="K555" s="44"/>
      <c r="L555" s="44"/>
      <c r="M555" s="44" t="str">
        <f t="shared" si="1"/>
        <v>#DIV/0!</v>
      </c>
      <c r="N555" s="44" t="str">
        <f t="shared" si="2"/>
        <v>#DIV/0!</v>
      </c>
      <c r="O555" s="44" t="str">
        <f t="shared" si="4"/>
        <v/>
      </c>
      <c r="P555" s="44" t="str">
        <f t="shared" si="3"/>
        <v>#DIV/0!</v>
      </c>
      <c r="Q555" s="44"/>
    </row>
    <row r="556">
      <c r="A556" s="38" t="s">
        <v>2044</v>
      </c>
      <c r="B556" s="39" t="s">
        <v>2045</v>
      </c>
      <c r="C556" s="40" t="s">
        <v>5096</v>
      </c>
      <c r="D556" s="41" t="s">
        <v>2047</v>
      </c>
      <c r="E556" s="51"/>
      <c r="F556" s="51"/>
      <c r="G556" s="51"/>
      <c r="H556" s="44"/>
      <c r="I556" s="44"/>
      <c r="J556" s="44"/>
      <c r="K556" s="44"/>
      <c r="L556" s="44"/>
      <c r="M556" s="44" t="str">
        <f t="shared" si="1"/>
        <v>#DIV/0!</v>
      </c>
      <c r="N556" s="44" t="str">
        <f t="shared" si="2"/>
        <v>#DIV/0!</v>
      </c>
      <c r="O556" s="44" t="str">
        <f t="shared" si="4"/>
        <v/>
      </c>
      <c r="P556" s="44" t="str">
        <f t="shared" si="3"/>
        <v>#DIV/0!</v>
      </c>
      <c r="Q556" s="44"/>
    </row>
    <row r="557">
      <c r="A557" s="38" t="s">
        <v>2048</v>
      </c>
      <c r="B557" s="39" t="s">
        <v>2049</v>
      </c>
      <c r="C557" s="40" t="s">
        <v>681</v>
      </c>
      <c r="D557" s="41" t="s">
        <v>445</v>
      </c>
      <c r="E557" s="51"/>
      <c r="F557" s="51"/>
      <c r="G557" s="51"/>
      <c r="H557" s="44"/>
      <c r="I557" s="44"/>
      <c r="J557" s="44"/>
      <c r="K557" s="44"/>
      <c r="L557" s="44"/>
      <c r="M557" s="44" t="str">
        <f t="shared" si="1"/>
        <v>#DIV/0!</v>
      </c>
      <c r="N557" s="44" t="str">
        <f t="shared" si="2"/>
        <v>#DIV/0!</v>
      </c>
      <c r="O557" s="44" t="str">
        <f t="shared" si="4"/>
        <v/>
      </c>
      <c r="P557" s="44" t="str">
        <f t="shared" si="3"/>
        <v>#DIV/0!</v>
      </c>
      <c r="Q557" s="44"/>
    </row>
    <row r="558">
      <c r="A558" s="38" t="s">
        <v>2050</v>
      </c>
      <c r="B558" s="39" t="s">
        <v>2051</v>
      </c>
      <c r="C558" s="40" t="s">
        <v>5097</v>
      </c>
      <c r="D558" s="42" t="s">
        <v>5098</v>
      </c>
      <c r="E558" s="51"/>
      <c r="F558" s="51"/>
      <c r="G558" s="51"/>
      <c r="H558" s="44"/>
      <c r="I558" s="44"/>
      <c r="J558" s="44"/>
      <c r="K558" s="44"/>
      <c r="L558" s="44"/>
      <c r="M558" s="44" t="str">
        <f t="shared" si="1"/>
        <v>#DIV/0!</v>
      </c>
      <c r="N558" s="44" t="str">
        <f t="shared" si="2"/>
        <v>#DIV/0!</v>
      </c>
      <c r="O558" s="44" t="str">
        <f t="shared" si="4"/>
        <v/>
      </c>
      <c r="P558" s="44" t="str">
        <f t="shared" si="3"/>
        <v>#DIV/0!</v>
      </c>
      <c r="Q558" s="44"/>
    </row>
    <row r="559">
      <c r="A559" s="38" t="s">
        <v>2054</v>
      </c>
      <c r="B559" s="39" t="s">
        <v>2055</v>
      </c>
      <c r="C559" s="40" t="s">
        <v>5099</v>
      </c>
      <c r="D559" s="42" t="s">
        <v>5100</v>
      </c>
      <c r="E559" s="51"/>
      <c r="F559" s="51"/>
      <c r="G559" s="51"/>
      <c r="H559" s="44"/>
      <c r="I559" s="44"/>
      <c r="J559" s="44"/>
      <c r="K559" s="44"/>
      <c r="L559" s="44"/>
      <c r="M559" s="44" t="str">
        <f t="shared" si="1"/>
        <v>#DIV/0!</v>
      </c>
      <c r="N559" s="44" t="str">
        <f t="shared" si="2"/>
        <v>#DIV/0!</v>
      </c>
      <c r="O559" s="44" t="str">
        <f t="shared" si="4"/>
        <v/>
      </c>
      <c r="P559" s="44" t="str">
        <f t="shared" si="3"/>
        <v>#DIV/0!</v>
      </c>
      <c r="Q559" s="44"/>
    </row>
    <row r="560">
      <c r="A560" s="38" t="s">
        <v>2058</v>
      </c>
      <c r="B560" s="39" t="s">
        <v>2059</v>
      </c>
      <c r="C560" s="40" t="s">
        <v>2060</v>
      </c>
      <c r="D560" s="42" t="s">
        <v>5101</v>
      </c>
      <c r="E560" s="51"/>
      <c r="F560" s="51"/>
      <c r="G560" s="51"/>
      <c r="H560" s="44"/>
      <c r="I560" s="44"/>
      <c r="J560" s="44"/>
      <c r="K560" s="44"/>
      <c r="L560" s="44"/>
      <c r="M560" s="44" t="str">
        <f t="shared" si="1"/>
        <v>#DIV/0!</v>
      </c>
      <c r="N560" s="44" t="str">
        <f t="shared" si="2"/>
        <v>#DIV/0!</v>
      </c>
      <c r="O560" s="44" t="str">
        <f t="shared" si="4"/>
        <v/>
      </c>
      <c r="P560" s="44" t="str">
        <f t="shared" si="3"/>
        <v>#DIV/0!</v>
      </c>
      <c r="Q560" s="44"/>
    </row>
    <row r="561">
      <c r="A561" s="38" t="s">
        <v>2062</v>
      </c>
      <c r="B561" s="39" t="s">
        <v>2063</v>
      </c>
      <c r="C561" s="40" t="s">
        <v>2064</v>
      </c>
      <c r="D561" s="41" t="s">
        <v>441</v>
      </c>
      <c r="E561" s="51"/>
      <c r="F561" s="51"/>
      <c r="G561" s="51"/>
      <c r="H561" s="44"/>
      <c r="I561" s="44"/>
      <c r="J561" s="44"/>
      <c r="K561" s="44"/>
      <c r="L561" s="44"/>
      <c r="M561" s="44" t="str">
        <f t="shared" si="1"/>
        <v>#DIV/0!</v>
      </c>
      <c r="N561" s="44" t="str">
        <f t="shared" si="2"/>
        <v>#DIV/0!</v>
      </c>
      <c r="O561" s="44" t="str">
        <f t="shared" si="4"/>
        <v/>
      </c>
      <c r="P561" s="44" t="str">
        <f t="shared" si="3"/>
        <v>#DIV/0!</v>
      </c>
      <c r="Q561" s="44"/>
    </row>
    <row r="562">
      <c r="A562" s="38" t="s">
        <v>2065</v>
      </c>
      <c r="B562" s="39" t="s">
        <v>2066</v>
      </c>
      <c r="C562" s="40" t="s">
        <v>5102</v>
      </c>
      <c r="D562" s="42" t="s">
        <v>5103</v>
      </c>
      <c r="E562" s="51"/>
      <c r="F562" s="51"/>
      <c r="G562" s="51"/>
      <c r="H562" s="44"/>
      <c r="I562" s="44"/>
      <c r="J562" s="44"/>
      <c r="K562" s="44"/>
      <c r="L562" s="44"/>
      <c r="M562" s="44" t="str">
        <f t="shared" si="1"/>
        <v>#DIV/0!</v>
      </c>
      <c r="N562" s="44" t="str">
        <f t="shared" si="2"/>
        <v>#DIV/0!</v>
      </c>
      <c r="O562" s="44" t="str">
        <f t="shared" si="4"/>
        <v/>
      </c>
      <c r="P562" s="44" t="str">
        <f t="shared" si="3"/>
        <v>#DIV/0!</v>
      </c>
      <c r="Q562" s="44"/>
    </row>
    <row r="563">
      <c r="A563" s="38" t="s">
        <v>2069</v>
      </c>
      <c r="B563" s="39" t="s">
        <v>2070</v>
      </c>
      <c r="C563" s="40" t="s">
        <v>667</v>
      </c>
      <c r="D563" s="41" t="s">
        <v>668</v>
      </c>
      <c r="E563" s="51"/>
      <c r="F563" s="51"/>
      <c r="G563" s="51"/>
      <c r="H563" s="44"/>
      <c r="I563" s="44"/>
      <c r="J563" s="44"/>
      <c r="K563" s="44"/>
      <c r="L563" s="44"/>
      <c r="M563" s="44" t="str">
        <f t="shared" si="1"/>
        <v>#DIV/0!</v>
      </c>
      <c r="N563" s="44" t="str">
        <f t="shared" si="2"/>
        <v>#DIV/0!</v>
      </c>
      <c r="O563" s="44" t="str">
        <f t="shared" si="4"/>
        <v/>
      </c>
      <c r="P563" s="44" t="str">
        <f t="shared" si="3"/>
        <v>#DIV/0!</v>
      </c>
      <c r="Q563" s="44"/>
    </row>
    <row r="564">
      <c r="A564" s="38" t="s">
        <v>2071</v>
      </c>
      <c r="B564" s="39" t="s">
        <v>2072</v>
      </c>
      <c r="C564" s="40" t="s">
        <v>5104</v>
      </c>
      <c r="D564" s="41" t="s">
        <v>5105</v>
      </c>
      <c r="E564" s="51"/>
      <c r="F564" s="51"/>
      <c r="G564" s="51"/>
      <c r="H564" s="44"/>
      <c r="I564" s="44"/>
      <c r="J564" s="44"/>
      <c r="K564" s="44"/>
      <c r="L564" s="44"/>
      <c r="M564" s="44" t="str">
        <f t="shared" si="1"/>
        <v>#DIV/0!</v>
      </c>
      <c r="N564" s="44" t="str">
        <f t="shared" si="2"/>
        <v>#DIV/0!</v>
      </c>
      <c r="O564" s="44" t="str">
        <f t="shared" si="4"/>
        <v/>
      </c>
      <c r="P564" s="44" t="str">
        <f t="shared" si="3"/>
        <v>#DIV/0!</v>
      </c>
      <c r="Q564" s="44"/>
    </row>
    <row r="565">
      <c r="A565" s="38" t="s">
        <v>2074</v>
      </c>
      <c r="B565" s="39" t="s">
        <v>2075</v>
      </c>
      <c r="C565" s="40" t="s">
        <v>577</v>
      </c>
      <c r="D565" s="41" t="s">
        <v>296</v>
      </c>
      <c r="E565" s="51"/>
      <c r="F565" s="51"/>
      <c r="G565" s="51"/>
      <c r="H565" s="44"/>
      <c r="I565" s="44"/>
      <c r="J565" s="44"/>
      <c r="K565" s="44"/>
      <c r="L565" s="44"/>
      <c r="M565" s="44" t="str">
        <f t="shared" si="1"/>
        <v>#DIV/0!</v>
      </c>
      <c r="N565" s="44" t="str">
        <f t="shared" si="2"/>
        <v>#DIV/0!</v>
      </c>
      <c r="O565" s="44" t="str">
        <f t="shared" si="4"/>
        <v/>
      </c>
      <c r="P565" s="44" t="str">
        <f t="shared" si="3"/>
        <v>#DIV/0!</v>
      </c>
      <c r="Q565" s="44"/>
    </row>
    <row r="566">
      <c r="A566" s="38" t="s">
        <v>2076</v>
      </c>
      <c r="B566" s="39" t="s">
        <v>2077</v>
      </c>
      <c r="C566" s="40" t="s">
        <v>2078</v>
      </c>
      <c r="D566" s="41" t="s">
        <v>1271</v>
      </c>
      <c r="E566" s="51"/>
      <c r="F566" s="51"/>
      <c r="G566" s="51"/>
      <c r="H566" s="44"/>
      <c r="I566" s="44"/>
      <c r="J566" s="44"/>
      <c r="K566" s="44"/>
      <c r="L566" s="44"/>
      <c r="M566" s="44" t="str">
        <f t="shared" si="1"/>
        <v>#DIV/0!</v>
      </c>
      <c r="N566" s="44" t="str">
        <f t="shared" si="2"/>
        <v>#DIV/0!</v>
      </c>
      <c r="O566" s="44" t="str">
        <f t="shared" si="4"/>
        <v/>
      </c>
      <c r="P566" s="44" t="str">
        <f t="shared" si="3"/>
        <v>#DIV/0!</v>
      </c>
      <c r="Q566" s="44"/>
    </row>
    <row r="567">
      <c r="A567" s="38" t="s">
        <v>2079</v>
      </c>
      <c r="B567" s="39" t="s">
        <v>2080</v>
      </c>
      <c r="C567" s="40" t="s">
        <v>242</v>
      </c>
      <c r="D567" s="41" t="s">
        <v>243</v>
      </c>
      <c r="E567" s="51"/>
      <c r="F567" s="51"/>
      <c r="G567" s="51"/>
      <c r="H567" s="44"/>
      <c r="I567" s="44"/>
      <c r="J567" s="44"/>
      <c r="K567" s="44"/>
      <c r="L567" s="44"/>
      <c r="M567" s="44" t="str">
        <f t="shared" si="1"/>
        <v>#DIV/0!</v>
      </c>
      <c r="N567" s="44" t="str">
        <f t="shared" si="2"/>
        <v>#DIV/0!</v>
      </c>
      <c r="O567" s="44" t="str">
        <f t="shared" si="4"/>
        <v/>
      </c>
      <c r="P567" s="44" t="str">
        <f t="shared" si="3"/>
        <v>#DIV/0!</v>
      </c>
      <c r="Q567" s="44"/>
    </row>
    <row r="568">
      <c r="A568" s="38" t="s">
        <v>2081</v>
      </c>
      <c r="B568" s="39" t="s">
        <v>2082</v>
      </c>
      <c r="C568" s="40" t="s">
        <v>2083</v>
      </c>
      <c r="D568" s="41" t="s">
        <v>2084</v>
      </c>
      <c r="E568" s="51"/>
      <c r="F568" s="51"/>
      <c r="G568" s="51"/>
      <c r="H568" s="44"/>
      <c r="I568" s="44"/>
      <c r="J568" s="44"/>
      <c r="K568" s="44"/>
      <c r="L568" s="44"/>
      <c r="M568" s="44" t="str">
        <f t="shared" si="1"/>
        <v>#DIV/0!</v>
      </c>
      <c r="N568" s="44" t="str">
        <f t="shared" si="2"/>
        <v>#DIV/0!</v>
      </c>
      <c r="O568" s="44" t="str">
        <f t="shared" si="4"/>
        <v/>
      </c>
      <c r="P568" s="44" t="str">
        <f t="shared" si="3"/>
        <v>#DIV/0!</v>
      </c>
      <c r="Q568" s="44"/>
    </row>
    <row r="569">
      <c r="A569" s="38" t="s">
        <v>2085</v>
      </c>
      <c r="B569" s="39" t="s">
        <v>2086</v>
      </c>
      <c r="C569" s="40" t="s">
        <v>5106</v>
      </c>
      <c r="D569" s="42" t="s">
        <v>5107</v>
      </c>
      <c r="E569" s="51"/>
      <c r="F569" s="51"/>
      <c r="G569" s="51"/>
      <c r="H569" s="44"/>
      <c r="I569" s="44"/>
      <c r="J569" s="44"/>
      <c r="K569" s="44"/>
      <c r="L569" s="44"/>
      <c r="M569" s="44" t="str">
        <f t="shared" si="1"/>
        <v>#DIV/0!</v>
      </c>
      <c r="N569" s="44" t="str">
        <f t="shared" si="2"/>
        <v>#DIV/0!</v>
      </c>
      <c r="O569" s="44" t="str">
        <f t="shared" si="4"/>
        <v/>
      </c>
      <c r="P569" s="44" t="str">
        <f t="shared" si="3"/>
        <v>#DIV/0!</v>
      </c>
      <c r="Q569" s="44"/>
    </row>
    <row r="570">
      <c r="A570" s="38" t="s">
        <v>2089</v>
      </c>
      <c r="B570" s="39" t="s">
        <v>2090</v>
      </c>
      <c r="C570" s="40" t="s">
        <v>4971</v>
      </c>
      <c r="D570" s="41" t="s">
        <v>2092</v>
      </c>
      <c r="E570" s="51"/>
      <c r="F570" s="51"/>
      <c r="G570" s="51"/>
      <c r="H570" s="44"/>
      <c r="I570" s="44"/>
      <c r="J570" s="44"/>
      <c r="K570" s="44"/>
      <c r="L570" s="44"/>
      <c r="M570" s="44" t="str">
        <f t="shared" si="1"/>
        <v>#DIV/0!</v>
      </c>
      <c r="N570" s="44" t="str">
        <f t="shared" si="2"/>
        <v>#DIV/0!</v>
      </c>
      <c r="O570" s="44" t="str">
        <f t="shared" si="4"/>
        <v/>
      </c>
      <c r="P570" s="44" t="str">
        <f t="shared" si="3"/>
        <v>#DIV/0!</v>
      </c>
      <c r="Q570" s="44"/>
    </row>
    <row r="571">
      <c r="A571" s="38" t="s">
        <v>2093</v>
      </c>
      <c r="B571" s="39" t="s">
        <v>2094</v>
      </c>
      <c r="C571" s="40" t="s">
        <v>5108</v>
      </c>
      <c r="D571" s="42" t="s">
        <v>5109</v>
      </c>
      <c r="E571" s="51"/>
      <c r="F571" s="51"/>
      <c r="G571" s="51"/>
      <c r="H571" s="44"/>
      <c r="I571" s="44"/>
      <c r="J571" s="44"/>
      <c r="K571" s="44"/>
      <c r="L571" s="44"/>
      <c r="M571" s="44" t="str">
        <f t="shared" si="1"/>
        <v>#DIV/0!</v>
      </c>
      <c r="N571" s="44" t="str">
        <f t="shared" si="2"/>
        <v>#DIV/0!</v>
      </c>
      <c r="O571" s="44" t="str">
        <f t="shared" si="4"/>
        <v/>
      </c>
      <c r="P571" s="44" t="str">
        <f t="shared" si="3"/>
        <v>#DIV/0!</v>
      </c>
      <c r="Q571" s="44"/>
    </row>
    <row r="572">
      <c r="A572" s="38" t="s">
        <v>2097</v>
      </c>
      <c r="B572" s="39" t="s">
        <v>2098</v>
      </c>
      <c r="C572" s="40" t="s">
        <v>2099</v>
      </c>
      <c r="D572" s="42" t="s">
        <v>5110</v>
      </c>
      <c r="E572" s="51"/>
      <c r="F572" s="51"/>
      <c r="G572" s="51"/>
      <c r="H572" s="44"/>
      <c r="I572" s="44"/>
      <c r="J572" s="44"/>
      <c r="K572" s="44"/>
      <c r="L572" s="44"/>
      <c r="M572" s="44" t="str">
        <f t="shared" si="1"/>
        <v>#DIV/0!</v>
      </c>
      <c r="N572" s="44" t="str">
        <f t="shared" si="2"/>
        <v>#DIV/0!</v>
      </c>
      <c r="O572" s="44" t="str">
        <f t="shared" si="4"/>
        <v/>
      </c>
      <c r="P572" s="44" t="str">
        <f t="shared" si="3"/>
        <v>#DIV/0!</v>
      </c>
      <c r="Q572" s="44"/>
    </row>
    <row r="573">
      <c r="A573" s="38" t="s">
        <v>2101</v>
      </c>
      <c r="B573" s="39" t="s">
        <v>2102</v>
      </c>
      <c r="C573" s="40" t="s">
        <v>2103</v>
      </c>
      <c r="D573" s="41" t="s">
        <v>2104</v>
      </c>
      <c r="E573" s="51"/>
      <c r="F573" s="51"/>
      <c r="G573" s="51"/>
      <c r="H573" s="44"/>
      <c r="I573" s="44"/>
      <c r="J573" s="44"/>
      <c r="K573" s="44"/>
      <c r="L573" s="44"/>
      <c r="M573" s="44" t="str">
        <f t="shared" si="1"/>
        <v>#DIV/0!</v>
      </c>
      <c r="N573" s="44" t="str">
        <f t="shared" si="2"/>
        <v>#DIV/0!</v>
      </c>
      <c r="O573" s="44" t="str">
        <f t="shared" si="4"/>
        <v/>
      </c>
      <c r="P573" s="44" t="str">
        <f t="shared" si="3"/>
        <v>#DIV/0!</v>
      </c>
      <c r="Q573" s="44"/>
    </row>
    <row r="574">
      <c r="A574" s="38" t="s">
        <v>2105</v>
      </c>
      <c r="B574" s="39" t="s">
        <v>2106</v>
      </c>
      <c r="C574" s="40" t="s">
        <v>2107</v>
      </c>
      <c r="D574" s="41" t="s">
        <v>2108</v>
      </c>
      <c r="E574" s="51"/>
      <c r="F574" s="51"/>
      <c r="G574" s="51"/>
      <c r="H574" s="44"/>
      <c r="I574" s="44"/>
      <c r="J574" s="44"/>
      <c r="K574" s="44"/>
      <c r="L574" s="44"/>
      <c r="M574" s="44" t="str">
        <f t="shared" si="1"/>
        <v>#DIV/0!</v>
      </c>
      <c r="N574" s="44" t="str">
        <f t="shared" si="2"/>
        <v>#DIV/0!</v>
      </c>
      <c r="O574" s="44" t="str">
        <f t="shared" si="4"/>
        <v/>
      </c>
      <c r="P574" s="44" t="str">
        <f t="shared" si="3"/>
        <v>#DIV/0!</v>
      </c>
      <c r="Q574" s="44"/>
    </row>
    <row r="575">
      <c r="A575" s="38" t="s">
        <v>2109</v>
      </c>
      <c r="B575" s="39" t="s">
        <v>2110</v>
      </c>
      <c r="C575" s="40" t="s">
        <v>2111</v>
      </c>
      <c r="D575" s="42" t="s">
        <v>2112</v>
      </c>
      <c r="E575" s="51"/>
      <c r="F575" s="51"/>
      <c r="G575" s="51"/>
      <c r="H575" s="44"/>
      <c r="I575" s="44"/>
      <c r="J575" s="44"/>
      <c r="K575" s="44"/>
      <c r="L575" s="44"/>
      <c r="M575" s="44" t="str">
        <f t="shared" si="1"/>
        <v>#DIV/0!</v>
      </c>
      <c r="N575" s="44" t="str">
        <f t="shared" si="2"/>
        <v>#DIV/0!</v>
      </c>
      <c r="O575" s="44" t="str">
        <f t="shared" si="4"/>
        <v/>
      </c>
      <c r="P575" s="44" t="str">
        <f t="shared" si="3"/>
        <v>#DIV/0!</v>
      </c>
      <c r="Q575" s="44"/>
    </row>
    <row r="576">
      <c r="A576" s="38" t="s">
        <v>2113</v>
      </c>
      <c r="B576" s="39" t="s">
        <v>2114</v>
      </c>
      <c r="C576" s="40" t="s">
        <v>268</v>
      </c>
      <c r="D576" s="41" t="s">
        <v>137</v>
      </c>
      <c r="E576" s="51"/>
      <c r="F576" s="51"/>
      <c r="G576" s="51"/>
      <c r="H576" s="44"/>
      <c r="I576" s="44"/>
      <c r="J576" s="44"/>
      <c r="K576" s="44"/>
      <c r="L576" s="44"/>
      <c r="M576" s="44" t="str">
        <f t="shared" si="1"/>
        <v>#DIV/0!</v>
      </c>
      <c r="N576" s="44" t="str">
        <f t="shared" si="2"/>
        <v>#DIV/0!</v>
      </c>
      <c r="O576" s="44" t="str">
        <f t="shared" si="4"/>
        <v/>
      </c>
      <c r="P576" s="44" t="str">
        <f t="shared" si="3"/>
        <v>#DIV/0!</v>
      </c>
      <c r="Q576" s="44"/>
    </row>
    <row r="577">
      <c r="A577" s="38" t="s">
        <v>2115</v>
      </c>
      <c r="B577" s="39" t="s">
        <v>2116</v>
      </c>
      <c r="C577" s="40" t="s">
        <v>5111</v>
      </c>
      <c r="D577" s="42" t="s">
        <v>5112</v>
      </c>
      <c r="E577" s="51"/>
      <c r="F577" s="51"/>
      <c r="G577" s="51"/>
      <c r="H577" s="44"/>
      <c r="I577" s="44"/>
      <c r="J577" s="44"/>
      <c r="K577" s="44"/>
      <c r="L577" s="44"/>
      <c r="M577" s="44" t="str">
        <f t="shared" si="1"/>
        <v>#DIV/0!</v>
      </c>
      <c r="N577" s="44" t="str">
        <f t="shared" si="2"/>
        <v>#DIV/0!</v>
      </c>
      <c r="O577" s="44" t="str">
        <f t="shared" si="4"/>
        <v/>
      </c>
      <c r="P577" s="44" t="str">
        <f t="shared" si="3"/>
        <v>#DIV/0!</v>
      </c>
      <c r="Q577" s="44"/>
    </row>
    <row r="578">
      <c r="A578" s="38" t="s">
        <v>2119</v>
      </c>
      <c r="B578" s="39" t="s">
        <v>2120</v>
      </c>
      <c r="C578" s="40" t="s">
        <v>991</v>
      </c>
      <c r="D578" s="41" t="s">
        <v>113</v>
      </c>
      <c r="E578" s="51"/>
      <c r="F578" s="51"/>
      <c r="G578" s="51"/>
      <c r="H578" s="44"/>
      <c r="I578" s="44"/>
      <c r="J578" s="44"/>
      <c r="K578" s="44"/>
      <c r="L578" s="44"/>
      <c r="M578" s="44" t="str">
        <f t="shared" si="1"/>
        <v>#DIV/0!</v>
      </c>
      <c r="N578" s="44" t="str">
        <f t="shared" si="2"/>
        <v>#DIV/0!</v>
      </c>
      <c r="O578" s="44" t="str">
        <f t="shared" si="4"/>
        <v/>
      </c>
      <c r="P578" s="44" t="str">
        <f t="shared" si="3"/>
        <v>#DIV/0!</v>
      </c>
      <c r="Q578" s="44"/>
    </row>
    <row r="579">
      <c r="A579" s="38" t="s">
        <v>2122</v>
      </c>
      <c r="B579" s="39" t="s">
        <v>2123</v>
      </c>
      <c r="C579" s="40" t="s">
        <v>5113</v>
      </c>
      <c r="D579" s="42" t="s">
        <v>5114</v>
      </c>
      <c r="E579" s="51"/>
      <c r="F579" s="51"/>
      <c r="G579" s="51"/>
      <c r="H579" s="44"/>
      <c r="I579" s="44"/>
      <c r="J579" s="44"/>
      <c r="K579" s="44"/>
      <c r="L579" s="44"/>
      <c r="M579" s="44" t="str">
        <f t="shared" si="1"/>
        <v>#DIV/0!</v>
      </c>
      <c r="N579" s="44" t="str">
        <f t="shared" si="2"/>
        <v>#DIV/0!</v>
      </c>
      <c r="O579" s="44" t="str">
        <f t="shared" si="4"/>
        <v/>
      </c>
      <c r="P579" s="44" t="str">
        <f t="shared" si="3"/>
        <v>#DIV/0!</v>
      </c>
      <c r="Q579" s="44"/>
    </row>
    <row r="580">
      <c r="A580" s="38" t="s">
        <v>2126</v>
      </c>
      <c r="B580" s="39" t="s">
        <v>2127</v>
      </c>
      <c r="C580" s="40" t="s">
        <v>991</v>
      </c>
      <c r="D580" s="41" t="s">
        <v>113</v>
      </c>
      <c r="E580" s="51"/>
      <c r="F580" s="51"/>
      <c r="G580" s="51"/>
      <c r="H580" s="44"/>
      <c r="I580" s="44"/>
      <c r="J580" s="44"/>
      <c r="K580" s="44"/>
      <c r="L580" s="44"/>
      <c r="M580" s="44" t="str">
        <f t="shared" si="1"/>
        <v>#DIV/0!</v>
      </c>
      <c r="N580" s="44" t="str">
        <f t="shared" si="2"/>
        <v>#DIV/0!</v>
      </c>
      <c r="O580" s="44" t="str">
        <f t="shared" si="4"/>
        <v/>
      </c>
      <c r="P580" s="44" t="str">
        <f t="shared" si="3"/>
        <v>#DIV/0!</v>
      </c>
      <c r="Q580" s="44"/>
    </row>
    <row r="581">
      <c r="A581" s="38" t="s">
        <v>2128</v>
      </c>
      <c r="B581" s="39" t="s">
        <v>2129</v>
      </c>
      <c r="C581" s="40" t="s">
        <v>268</v>
      </c>
      <c r="D581" s="41" t="s">
        <v>137</v>
      </c>
      <c r="E581" s="51"/>
      <c r="F581" s="51"/>
      <c r="G581" s="51"/>
      <c r="H581" s="44"/>
      <c r="I581" s="44"/>
      <c r="J581" s="44"/>
      <c r="K581" s="44"/>
      <c r="L581" s="44"/>
      <c r="M581" s="44" t="str">
        <f t="shared" si="1"/>
        <v>#DIV/0!</v>
      </c>
      <c r="N581" s="44" t="str">
        <f t="shared" si="2"/>
        <v>#DIV/0!</v>
      </c>
      <c r="O581" s="44" t="str">
        <f t="shared" si="4"/>
        <v/>
      </c>
      <c r="P581" s="44" t="str">
        <f t="shared" si="3"/>
        <v>#DIV/0!</v>
      </c>
      <c r="Q581" s="44"/>
    </row>
    <row r="582">
      <c r="A582" s="38" t="s">
        <v>2130</v>
      </c>
      <c r="B582" s="39" t="s">
        <v>2131</v>
      </c>
      <c r="C582" s="40" t="s">
        <v>5115</v>
      </c>
      <c r="D582" s="42" t="s">
        <v>5116</v>
      </c>
      <c r="E582" s="51"/>
      <c r="F582" s="51"/>
      <c r="G582" s="51"/>
      <c r="H582" s="44"/>
      <c r="I582" s="44"/>
      <c r="J582" s="44"/>
      <c r="K582" s="44"/>
      <c r="L582" s="44"/>
      <c r="M582" s="44" t="str">
        <f t="shared" si="1"/>
        <v>#DIV/0!</v>
      </c>
      <c r="N582" s="44" t="str">
        <f t="shared" si="2"/>
        <v>#DIV/0!</v>
      </c>
      <c r="O582" s="44" t="str">
        <f t="shared" si="4"/>
        <v/>
      </c>
      <c r="P582" s="44" t="str">
        <f t="shared" si="3"/>
        <v>#DIV/0!</v>
      </c>
      <c r="Q582" s="44"/>
    </row>
    <row r="583">
      <c r="A583" s="38" t="s">
        <v>2134</v>
      </c>
      <c r="B583" s="39" t="s">
        <v>2135</v>
      </c>
      <c r="C583" s="40" t="s">
        <v>172</v>
      </c>
      <c r="D583" s="41" t="s">
        <v>173</v>
      </c>
      <c r="E583" s="51"/>
      <c r="F583" s="51"/>
      <c r="G583" s="51"/>
      <c r="H583" s="44"/>
      <c r="I583" s="44"/>
      <c r="J583" s="44"/>
      <c r="K583" s="44"/>
      <c r="L583" s="44"/>
      <c r="M583" s="44" t="str">
        <f t="shared" si="1"/>
        <v>#DIV/0!</v>
      </c>
      <c r="N583" s="44" t="str">
        <f t="shared" si="2"/>
        <v>#DIV/0!</v>
      </c>
      <c r="O583" s="44" t="str">
        <f t="shared" si="4"/>
        <v/>
      </c>
      <c r="P583" s="44" t="str">
        <f t="shared" si="3"/>
        <v>#DIV/0!</v>
      </c>
      <c r="Q583" s="44"/>
    </row>
    <row r="584">
      <c r="A584" s="38" t="s">
        <v>2136</v>
      </c>
      <c r="B584" s="39" t="s">
        <v>2137</v>
      </c>
      <c r="C584" s="40" t="s">
        <v>5117</v>
      </c>
      <c r="D584" s="42" t="s">
        <v>5118</v>
      </c>
      <c r="E584" s="51"/>
      <c r="F584" s="51"/>
      <c r="G584" s="51"/>
      <c r="H584" s="44"/>
      <c r="I584" s="44"/>
      <c r="J584" s="44"/>
      <c r="K584" s="44"/>
      <c r="L584" s="44"/>
      <c r="M584" s="44" t="str">
        <f t="shared" si="1"/>
        <v>#DIV/0!</v>
      </c>
      <c r="N584" s="44" t="str">
        <f t="shared" si="2"/>
        <v>#DIV/0!</v>
      </c>
      <c r="O584" s="44" t="str">
        <f t="shared" si="4"/>
        <v/>
      </c>
      <c r="P584" s="44" t="str">
        <f t="shared" si="3"/>
        <v>#DIV/0!</v>
      </c>
      <c r="Q584" s="44"/>
    </row>
    <row r="585">
      <c r="A585" s="38" t="s">
        <v>2140</v>
      </c>
      <c r="B585" s="39" t="s">
        <v>2141</v>
      </c>
      <c r="C585" s="40" t="s">
        <v>2142</v>
      </c>
      <c r="D585" s="42" t="s">
        <v>2143</v>
      </c>
      <c r="E585" s="51"/>
      <c r="F585" s="51"/>
      <c r="G585" s="51"/>
      <c r="H585" s="44"/>
      <c r="I585" s="44"/>
      <c r="J585" s="44"/>
      <c r="K585" s="44"/>
      <c r="L585" s="44"/>
      <c r="M585" s="44" t="str">
        <f t="shared" si="1"/>
        <v>#DIV/0!</v>
      </c>
      <c r="N585" s="44" t="str">
        <f t="shared" si="2"/>
        <v>#DIV/0!</v>
      </c>
      <c r="O585" s="44" t="str">
        <f t="shared" si="4"/>
        <v/>
      </c>
      <c r="P585" s="44" t="str">
        <f t="shared" si="3"/>
        <v>#DIV/0!</v>
      </c>
      <c r="Q585" s="44"/>
    </row>
    <row r="586">
      <c r="A586" s="38" t="s">
        <v>2144</v>
      </c>
      <c r="B586" s="39" t="s">
        <v>2145</v>
      </c>
      <c r="C586" s="40" t="s">
        <v>2146</v>
      </c>
      <c r="D586" s="41" t="s">
        <v>2147</v>
      </c>
      <c r="E586" s="51"/>
      <c r="F586" s="51"/>
      <c r="G586" s="51"/>
      <c r="H586" s="44"/>
      <c r="I586" s="44"/>
      <c r="J586" s="44"/>
      <c r="K586" s="44"/>
      <c r="L586" s="44"/>
      <c r="M586" s="44" t="str">
        <f t="shared" si="1"/>
        <v>#DIV/0!</v>
      </c>
      <c r="N586" s="44" t="str">
        <f t="shared" si="2"/>
        <v>#DIV/0!</v>
      </c>
      <c r="O586" s="44" t="str">
        <f t="shared" si="4"/>
        <v/>
      </c>
      <c r="P586" s="44" t="str">
        <f t="shared" si="3"/>
        <v>#DIV/0!</v>
      </c>
      <c r="Q586" s="44"/>
    </row>
    <row r="587">
      <c r="A587" s="38" t="s">
        <v>2148</v>
      </c>
      <c r="B587" s="39" t="s">
        <v>2149</v>
      </c>
      <c r="C587" s="40" t="s">
        <v>268</v>
      </c>
      <c r="D587" s="41" t="s">
        <v>137</v>
      </c>
      <c r="E587" s="51"/>
      <c r="F587" s="51"/>
      <c r="G587" s="51"/>
      <c r="H587" s="44"/>
      <c r="I587" s="44"/>
      <c r="J587" s="44"/>
      <c r="K587" s="44"/>
      <c r="L587" s="44"/>
      <c r="M587" s="44" t="str">
        <f t="shared" si="1"/>
        <v>#DIV/0!</v>
      </c>
      <c r="N587" s="44" t="str">
        <f t="shared" si="2"/>
        <v>#DIV/0!</v>
      </c>
      <c r="O587" s="44" t="str">
        <f t="shared" si="4"/>
        <v/>
      </c>
      <c r="P587" s="44" t="str">
        <f t="shared" si="3"/>
        <v>#DIV/0!</v>
      </c>
      <c r="Q587" s="44"/>
    </row>
    <row r="588">
      <c r="A588" s="38" t="s">
        <v>2150</v>
      </c>
      <c r="B588" s="39" t="s">
        <v>2151</v>
      </c>
      <c r="C588" s="40" t="s">
        <v>2152</v>
      </c>
      <c r="D588" s="42" t="s">
        <v>5119</v>
      </c>
      <c r="E588" s="51"/>
      <c r="F588" s="51"/>
      <c r="G588" s="51"/>
      <c r="H588" s="44"/>
      <c r="I588" s="44"/>
      <c r="J588" s="44"/>
      <c r="K588" s="44"/>
      <c r="L588" s="44"/>
      <c r="M588" s="44" t="str">
        <f t="shared" si="1"/>
        <v>#DIV/0!</v>
      </c>
      <c r="N588" s="44" t="str">
        <f t="shared" si="2"/>
        <v>#DIV/0!</v>
      </c>
      <c r="O588" s="44" t="str">
        <f t="shared" si="4"/>
        <v/>
      </c>
      <c r="P588" s="44" t="str">
        <f t="shared" si="3"/>
        <v>#DIV/0!</v>
      </c>
      <c r="Q588" s="44"/>
    </row>
    <row r="589">
      <c r="A589" s="38" t="s">
        <v>2154</v>
      </c>
      <c r="B589" s="39" t="s">
        <v>2155</v>
      </c>
      <c r="C589" s="40" t="s">
        <v>4808</v>
      </c>
      <c r="D589" s="41" t="s">
        <v>4809</v>
      </c>
      <c r="E589" s="51"/>
      <c r="F589" s="51"/>
      <c r="G589" s="51"/>
      <c r="H589" s="44"/>
      <c r="I589" s="44"/>
      <c r="J589" s="44"/>
      <c r="K589" s="44"/>
      <c r="L589" s="44"/>
      <c r="M589" s="44" t="str">
        <f t="shared" si="1"/>
        <v>#DIV/0!</v>
      </c>
      <c r="N589" s="44" t="str">
        <f t="shared" si="2"/>
        <v>#DIV/0!</v>
      </c>
      <c r="O589" s="44" t="str">
        <f t="shared" si="4"/>
        <v/>
      </c>
      <c r="P589" s="44" t="str">
        <f t="shared" si="3"/>
        <v>#DIV/0!</v>
      </c>
      <c r="Q589" s="44"/>
    </row>
    <row r="590">
      <c r="A590" s="38" t="s">
        <v>2156</v>
      </c>
      <c r="B590" s="39" t="s">
        <v>2157</v>
      </c>
      <c r="C590" s="40" t="s">
        <v>5120</v>
      </c>
      <c r="D590" s="41" t="s">
        <v>2159</v>
      </c>
      <c r="E590" s="51"/>
      <c r="F590" s="51"/>
      <c r="G590" s="51"/>
      <c r="H590" s="44"/>
      <c r="I590" s="44"/>
      <c r="J590" s="44"/>
      <c r="K590" s="44"/>
      <c r="L590" s="44"/>
      <c r="M590" s="44" t="str">
        <f t="shared" si="1"/>
        <v>#DIV/0!</v>
      </c>
      <c r="N590" s="44" t="str">
        <f t="shared" si="2"/>
        <v>#DIV/0!</v>
      </c>
      <c r="O590" s="44" t="str">
        <f t="shared" si="4"/>
        <v/>
      </c>
      <c r="P590" s="44" t="str">
        <f t="shared" si="3"/>
        <v>#DIV/0!</v>
      </c>
      <c r="Q590" s="44"/>
    </row>
    <row r="591">
      <c r="A591" s="38" t="s">
        <v>2160</v>
      </c>
      <c r="B591" s="39" t="s">
        <v>2161</v>
      </c>
      <c r="C591" s="40" t="s">
        <v>5121</v>
      </c>
      <c r="D591" s="42" t="s">
        <v>5122</v>
      </c>
      <c r="E591" s="51"/>
      <c r="F591" s="51"/>
      <c r="G591" s="51"/>
      <c r="H591" s="44"/>
      <c r="I591" s="44"/>
      <c r="J591" s="44"/>
      <c r="K591" s="44"/>
      <c r="L591" s="44"/>
      <c r="M591" s="44" t="str">
        <f t="shared" si="1"/>
        <v>#DIV/0!</v>
      </c>
      <c r="N591" s="44" t="str">
        <f t="shared" si="2"/>
        <v>#DIV/0!</v>
      </c>
      <c r="O591" s="44" t="str">
        <f t="shared" si="4"/>
        <v/>
      </c>
      <c r="P591" s="44" t="str">
        <f t="shared" si="3"/>
        <v>#DIV/0!</v>
      </c>
      <c r="Q591" s="44"/>
    </row>
    <row r="592">
      <c r="A592" s="38" t="s">
        <v>2164</v>
      </c>
      <c r="B592" s="39" t="s">
        <v>2165</v>
      </c>
      <c r="C592" s="40" t="s">
        <v>4699</v>
      </c>
      <c r="D592" s="41" t="s">
        <v>360</v>
      </c>
      <c r="E592" s="51"/>
      <c r="F592" s="51"/>
      <c r="G592" s="51"/>
      <c r="H592" s="44"/>
      <c r="I592" s="44"/>
      <c r="J592" s="44"/>
      <c r="K592" s="44"/>
      <c r="L592" s="44"/>
      <c r="M592" s="44" t="str">
        <f t="shared" si="1"/>
        <v>#DIV/0!</v>
      </c>
      <c r="N592" s="44" t="str">
        <f t="shared" si="2"/>
        <v>#DIV/0!</v>
      </c>
      <c r="O592" s="44" t="str">
        <f t="shared" si="4"/>
        <v/>
      </c>
      <c r="P592" s="44" t="str">
        <f t="shared" si="3"/>
        <v>#DIV/0!</v>
      </c>
      <c r="Q592" s="44"/>
    </row>
    <row r="593">
      <c r="A593" s="38" t="s">
        <v>2168</v>
      </c>
      <c r="B593" s="39" t="s">
        <v>2169</v>
      </c>
      <c r="C593" s="40" t="s">
        <v>2170</v>
      </c>
      <c r="D593" s="42" t="s">
        <v>2171</v>
      </c>
      <c r="E593" s="51"/>
      <c r="F593" s="51"/>
      <c r="G593" s="51"/>
      <c r="H593" s="44"/>
      <c r="I593" s="44"/>
      <c r="J593" s="44"/>
      <c r="K593" s="44"/>
      <c r="L593" s="44"/>
      <c r="M593" s="44" t="str">
        <f t="shared" si="1"/>
        <v>#DIV/0!</v>
      </c>
      <c r="N593" s="44" t="str">
        <f t="shared" si="2"/>
        <v>#DIV/0!</v>
      </c>
      <c r="O593" s="44" t="str">
        <f t="shared" si="4"/>
        <v/>
      </c>
      <c r="P593" s="44" t="str">
        <f t="shared" si="3"/>
        <v>#DIV/0!</v>
      </c>
      <c r="Q593" s="44"/>
    </row>
    <row r="594">
      <c r="A594" s="38" t="s">
        <v>2172</v>
      </c>
      <c r="B594" s="39" t="s">
        <v>2173</v>
      </c>
      <c r="C594" s="40" t="s">
        <v>2174</v>
      </c>
      <c r="D594" s="42" t="s">
        <v>5123</v>
      </c>
      <c r="E594" s="51"/>
      <c r="F594" s="51"/>
      <c r="G594" s="51"/>
      <c r="H594" s="44"/>
      <c r="I594" s="44"/>
      <c r="J594" s="44"/>
      <c r="K594" s="44"/>
      <c r="L594" s="44"/>
      <c r="M594" s="44" t="str">
        <f t="shared" si="1"/>
        <v>#DIV/0!</v>
      </c>
      <c r="N594" s="44" t="str">
        <f t="shared" si="2"/>
        <v>#DIV/0!</v>
      </c>
      <c r="O594" s="44" t="str">
        <f t="shared" si="4"/>
        <v/>
      </c>
      <c r="P594" s="44" t="str">
        <f t="shared" si="3"/>
        <v>#DIV/0!</v>
      </c>
      <c r="Q594" s="44"/>
    </row>
    <row r="595">
      <c r="A595" s="38" t="s">
        <v>2176</v>
      </c>
      <c r="B595" s="39" t="s">
        <v>2177</v>
      </c>
      <c r="C595" s="40" t="s">
        <v>584</v>
      </c>
      <c r="D595" s="41" t="s">
        <v>585</v>
      </c>
      <c r="E595" s="51"/>
      <c r="F595" s="51"/>
      <c r="G595" s="51"/>
      <c r="H595" s="44"/>
      <c r="I595" s="44"/>
      <c r="J595" s="44"/>
      <c r="K595" s="44"/>
      <c r="L595" s="44"/>
      <c r="M595" s="44" t="str">
        <f t="shared" si="1"/>
        <v>#DIV/0!</v>
      </c>
      <c r="N595" s="44" t="str">
        <f t="shared" si="2"/>
        <v>#DIV/0!</v>
      </c>
      <c r="O595" s="44" t="str">
        <f t="shared" si="4"/>
        <v/>
      </c>
      <c r="P595" s="44" t="str">
        <f t="shared" si="3"/>
        <v>#DIV/0!</v>
      </c>
      <c r="Q595" s="44"/>
    </row>
    <row r="596">
      <c r="A596" s="38" t="s">
        <v>2179</v>
      </c>
      <c r="B596" s="39" t="s">
        <v>2180</v>
      </c>
      <c r="C596" s="40" t="s">
        <v>2181</v>
      </c>
      <c r="D596" s="42" t="s">
        <v>5124</v>
      </c>
      <c r="E596" s="51"/>
      <c r="F596" s="51"/>
      <c r="G596" s="51"/>
      <c r="H596" s="44"/>
      <c r="I596" s="44"/>
      <c r="J596" s="44"/>
      <c r="K596" s="44"/>
      <c r="L596" s="44"/>
      <c r="M596" s="44" t="str">
        <f t="shared" si="1"/>
        <v>#DIV/0!</v>
      </c>
      <c r="N596" s="44" t="str">
        <f t="shared" si="2"/>
        <v>#DIV/0!</v>
      </c>
      <c r="O596" s="44" t="str">
        <f t="shared" si="4"/>
        <v/>
      </c>
      <c r="P596" s="44" t="str">
        <f t="shared" si="3"/>
        <v>#DIV/0!</v>
      </c>
      <c r="Q596" s="44"/>
    </row>
    <row r="597">
      <c r="A597" s="38" t="s">
        <v>2183</v>
      </c>
      <c r="B597" s="39" t="s">
        <v>2184</v>
      </c>
      <c r="C597" s="40" t="s">
        <v>5125</v>
      </c>
      <c r="D597" s="41" t="s">
        <v>2186</v>
      </c>
      <c r="E597" s="51"/>
      <c r="F597" s="51"/>
      <c r="G597" s="51"/>
      <c r="H597" s="44"/>
      <c r="I597" s="44"/>
      <c r="J597" s="44"/>
      <c r="K597" s="44"/>
      <c r="L597" s="44"/>
      <c r="M597" s="44" t="str">
        <f t="shared" si="1"/>
        <v>#DIV/0!</v>
      </c>
      <c r="N597" s="44" t="str">
        <f t="shared" si="2"/>
        <v>#DIV/0!</v>
      </c>
      <c r="O597" s="44" t="str">
        <f t="shared" si="4"/>
        <v/>
      </c>
      <c r="P597" s="44" t="str">
        <f t="shared" si="3"/>
        <v>#DIV/0!</v>
      </c>
      <c r="Q597" s="44"/>
    </row>
    <row r="598">
      <c r="A598" s="38" t="s">
        <v>2187</v>
      </c>
      <c r="B598" s="39" t="s">
        <v>2188</v>
      </c>
      <c r="C598" s="40" t="s">
        <v>2189</v>
      </c>
      <c r="D598" s="42" t="s">
        <v>5126</v>
      </c>
      <c r="E598" s="51"/>
      <c r="F598" s="51"/>
      <c r="G598" s="51"/>
      <c r="H598" s="44"/>
      <c r="I598" s="44"/>
      <c r="J598" s="44"/>
      <c r="K598" s="44"/>
      <c r="L598" s="44"/>
      <c r="M598" s="44" t="str">
        <f t="shared" si="1"/>
        <v>#DIV/0!</v>
      </c>
      <c r="N598" s="44" t="str">
        <f t="shared" si="2"/>
        <v>#DIV/0!</v>
      </c>
      <c r="O598" s="44" t="str">
        <f t="shared" si="4"/>
        <v/>
      </c>
      <c r="P598" s="44" t="str">
        <f t="shared" si="3"/>
        <v>#DIV/0!</v>
      </c>
      <c r="Q598" s="44"/>
    </row>
    <row r="599">
      <c r="A599" s="38" t="s">
        <v>2191</v>
      </c>
      <c r="B599" s="39" t="s">
        <v>2192</v>
      </c>
      <c r="C599" s="40" t="s">
        <v>2193</v>
      </c>
      <c r="D599" s="41" t="s">
        <v>205</v>
      </c>
      <c r="E599" s="51"/>
      <c r="F599" s="51"/>
      <c r="G599" s="51"/>
      <c r="H599" s="44"/>
      <c r="I599" s="44"/>
      <c r="J599" s="44"/>
      <c r="K599" s="44"/>
      <c r="L599" s="44"/>
      <c r="M599" s="44" t="str">
        <f t="shared" si="1"/>
        <v>#DIV/0!</v>
      </c>
      <c r="N599" s="44" t="str">
        <f t="shared" si="2"/>
        <v>#DIV/0!</v>
      </c>
      <c r="O599" s="44" t="str">
        <f t="shared" si="4"/>
        <v/>
      </c>
      <c r="P599" s="44" t="str">
        <f t="shared" si="3"/>
        <v>#DIV/0!</v>
      </c>
      <c r="Q599" s="44"/>
    </row>
    <row r="600">
      <c r="A600" s="38" t="s">
        <v>2194</v>
      </c>
      <c r="B600" s="39" t="s">
        <v>2195</v>
      </c>
      <c r="C600" s="40" t="s">
        <v>2196</v>
      </c>
      <c r="D600" s="42" t="s">
        <v>864</v>
      </c>
      <c r="E600" s="51"/>
      <c r="F600" s="51"/>
      <c r="G600" s="51"/>
      <c r="H600" s="44"/>
      <c r="I600" s="44"/>
      <c r="J600" s="44"/>
      <c r="K600" s="44"/>
      <c r="L600" s="44"/>
      <c r="M600" s="44" t="str">
        <f t="shared" si="1"/>
        <v>#DIV/0!</v>
      </c>
      <c r="N600" s="44" t="str">
        <f t="shared" si="2"/>
        <v>#DIV/0!</v>
      </c>
      <c r="O600" s="44" t="str">
        <f t="shared" si="4"/>
        <v/>
      </c>
      <c r="P600" s="44" t="str">
        <f t="shared" si="3"/>
        <v>#DIV/0!</v>
      </c>
      <c r="Q600" s="44"/>
    </row>
    <row r="601">
      <c r="A601" s="38" t="s">
        <v>2197</v>
      </c>
      <c r="B601" s="39" t="s">
        <v>2198</v>
      </c>
      <c r="C601" s="40" t="s">
        <v>2199</v>
      </c>
      <c r="D601" s="42" t="s">
        <v>5127</v>
      </c>
      <c r="E601" s="51"/>
      <c r="F601" s="51"/>
      <c r="G601" s="51"/>
      <c r="H601" s="44"/>
      <c r="I601" s="44"/>
      <c r="J601" s="44"/>
      <c r="K601" s="44"/>
      <c r="L601" s="44"/>
      <c r="M601" s="44" t="str">
        <f t="shared" si="1"/>
        <v>#DIV/0!</v>
      </c>
      <c r="N601" s="44" t="str">
        <f t="shared" si="2"/>
        <v>#DIV/0!</v>
      </c>
      <c r="O601" s="44" t="str">
        <f t="shared" si="4"/>
        <v/>
      </c>
      <c r="P601" s="44" t="str">
        <f t="shared" si="3"/>
        <v>#DIV/0!</v>
      </c>
      <c r="Q601" s="44"/>
    </row>
    <row r="602">
      <c r="A602" s="38" t="s">
        <v>2201</v>
      </c>
      <c r="B602" s="39" t="s">
        <v>2202</v>
      </c>
      <c r="C602" s="40" t="s">
        <v>5128</v>
      </c>
      <c r="D602" s="42" t="s">
        <v>5129</v>
      </c>
      <c r="E602" s="51"/>
      <c r="F602" s="51"/>
      <c r="G602" s="51"/>
      <c r="H602" s="44"/>
      <c r="I602" s="44"/>
      <c r="J602" s="44"/>
      <c r="K602" s="44"/>
      <c r="L602" s="44"/>
      <c r="M602" s="44" t="str">
        <f t="shared" si="1"/>
        <v>#DIV/0!</v>
      </c>
      <c r="N602" s="44" t="str">
        <f t="shared" si="2"/>
        <v>#DIV/0!</v>
      </c>
      <c r="O602" s="44" t="str">
        <f t="shared" si="4"/>
        <v/>
      </c>
      <c r="P602" s="44" t="str">
        <f t="shared" si="3"/>
        <v>#DIV/0!</v>
      </c>
      <c r="Q602" s="44"/>
    </row>
    <row r="603">
      <c r="A603" s="38" t="s">
        <v>2205</v>
      </c>
      <c r="B603" s="39" t="s">
        <v>2206</v>
      </c>
      <c r="C603" s="40" t="s">
        <v>2207</v>
      </c>
      <c r="D603" s="41" t="s">
        <v>2001</v>
      </c>
      <c r="E603" s="51"/>
      <c r="F603" s="51"/>
      <c r="G603" s="51"/>
      <c r="H603" s="44"/>
      <c r="I603" s="44"/>
      <c r="J603" s="44"/>
      <c r="K603" s="44"/>
      <c r="L603" s="44"/>
      <c r="M603" s="44" t="str">
        <f t="shared" si="1"/>
        <v>#DIV/0!</v>
      </c>
      <c r="N603" s="44" t="str">
        <f t="shared" si="2"/>
        <v>#DIV/0!</v>
      </c>
      <c r="O603" s="44" t="str">
        <f t="shared" si="4"/>
        <v/>
      </c>
      <c r="P603" s="44" t="str">
        <f t="shared" si="3"/>
        <v>#DIV/0!</v>
      </c>
      <c r="Q603" s="44"/>
    </row>
    <row r="604">
      <c r="A604" s="38" t="s">
        <v>2208</v>
      </c>
      <c r="B604" s="39" t="s">
        <v>2209</v>
      </c>
      <c r="C604" s="40" t="s">
        <v>5130</v>
      </c>
      <c r="D604" s="42" t="s">
        <v>5131</v>
      </c>
      <c r="E604" s="51"/>
      <c r="F604" s="51"/>
      <c r="G604" s="51"/>
      <c r="H604" s="44"/>
      <c r="I604" s="44"/>
      <c r="J604" s="44"/>
      <c r="K604" s="44"/>
      <c r="L604" s="44"/>
      <c r="M604" s="44" t="str">
        <f t="shared" si="1"/>
        <v>#DIV/0!</v>
      </c>
      <c r="N604" s="44" t="str">
        <f t="shared" si="2"/>
        <v>#DIV/0!</v>
      </c>
      <c r="O604" s="44" t="str">
        <f t="shared" si="4"/>
        <v/>
      </c>
      <c r="P604" s="44" t="str">
        <f t="shared" si="3"/>
        <v>#DIV/0!</v>
      </c>
      <c r="Q604" s="44"/>
    </row>
    <row r="605">
      <c r="A605" s="38" t="s">
        <v>2212</v>
      </c>
      <c r="B605" s="39" t="s">
        <v>2213</v>
      </c>
      <c r="C605" s="40" t="s">
        <v>2214</v>
      </c>
      <c r="D605" s="42" t="s">
        <v>872</v>
      </c>
      <c r="E605" s="51"/>
      <c r="F605" s="51"/>
      <c r="G605" s="51"/>
      <c r="H605" s="44"/>
      <c r="I605" s="44"/>
      <c r="J605" s="44"/>
      <c r="K605" s="44"/>
      <c r="L605" s="44"/>
      <c r="M605" s="44" t="str">
        <f t="shared" si="1"/>
        <v>#DIV/0!</v>
      </c>
      <c r="N605" s="44" t="str">
        <f t="shared" si="2"/>
        <v>#DIV/0!</v>
      </c>
      <c r="O605" s="44" t="str">
        <f t="shared" si="4"/>
        <v/>
      </c>
      <c r="P605" s="44" t="str">
        <f t="shared" si="3"/>
        <v>#DIV/0!</v>
      </c>
      <c r="Q605" s="44"/>
    </row>
    <row r="606">
      <c r="A606" s="38" t="s">
        <v>2215</v>
      </c>
      <c r="B606" s="39" t="s">
        <v>2216</v>
      </c>
      <c r="C606" s="40" t="s">
        <v>1485</v>
      </c>
      <c r="D606" s="41" t="s">
        <v>284</v>
      </c>
      <c r="E606" s="51"/>
      <c r="F606" s="51"/>
      <c r="G606" s="51"/>
      <c r="H606" s="44"/>
      <c r="I606" s="44"/>
      <c r="J606" s="44"/>
      <c r="K606" s="44"/>
      <c r="L606" s="44"/>
      <c r="M606" s="44" t="str">
        <f t="shared" si="1"/>
        <v>#DIV/0!</v>
      </c>
      <c r="N606" s="44" t="str">
        <f t="shared" si="2"/>
        <v>#DIV/0!</v>
      </c>
      <c r="O606" s="44" t="str">
        <f t="shared" si="4"/>
        <v/>
      </c>
      <c r="P606" s="44" t="str">
        <f t="shared" si="3"/>
        <v>#DIV/0!</v>
      </c>
      <c r="Q606" s="44"/>
    </row>
    <row r="607">
      <c r="A607" s="38" t="s">
        <v>2217</v>
      </c>
      <c r="B607" s="39" t="s">
        <v>2218</v>
      </c>
      <c r="C607" s="40" t="s">
        <v>5132</v>
      </c>
      <c r="D607" s="42" t="s">
        <v>5133</v>
      </c>
      <c r="E607" s="51"/>
      <c r="F607" s="51"/>
      <c r="G607" s="51"/>
      <c r="H607" s="44"/>
      <c r="I607" s="44"/>
      <c r="J607" s="44"/>
      <c r="K607" s="44"/>
      <c r="L607" s="44"/>
      <c r="M607" s="44" t="str">
        <f t="shared" si="1"/>
        <v>#DIV/0!</v>
      </c>
      <c r="N607" s="44" t="str">
        <f t="shared" si="2"/>
        <v>#DIV/0!</v>
      </c>
      <c r="O607" s="44" t="str">
        <f t="shared" si="4"/>
        <v/>
      </c>
      <c r="P607" s="44" t="str">
        <f t="shared" si="3"/>
        <v>#DIV/0!</v>
      </c>
      <c r="Q607" s="44"/>
    </row>
    <row r="608">
      <c r="A608" s="38" t="s">
        <v>2221</v>
      </c>
      <c r="B608" s="39" t="s">
        <v>2222</v>
      </c>
      <c r="C608" s="40" t="s">
        <v>2223</v>
      </c>
      <c r="D608" s="42" t="s">
        <v>2224</v>
      </c>
      <c r="E608" s="51"/>
      <c r="F608" s="51"/>
      <c r="G608" s="51"/>
      <c r="H608" s="44"/>
      <c r="I608" s="44"/>
      <c r="J608" s="44"/>
      <c r="K608" s="44"/>
      <c r="L608" s="44"/>
      <c r="M608" s="44" t="str">
        <f t="shared" si="1"/>
        <v>#DIV/0!</v>
      </c>
      <c r="N608" s="44" t="str">
        <f t="shared" si="2"/>
        <v>#DIV/0!</v>
      </c>
      <c r="O608" s="44" t="str">
        <f t="shared" si="4"/>
        <v/>
      </c>
      <c r="P608" s="44" t="str">
        <f t="shared" si="3"/>
        <v>#DIV/0!</v>
      </c>
      <c r="Q608" s="44"/>
    </row>
    <row r="609">
      <c r="A609" s="38" t="s">
        <v>2225</v>
      </c>
      <c r="B609" s="39" t="s">
        <v>2226</v>
      </c>
      <c r="C609" s="40" t="s">
        <v>5134</v>
      </c>
      <c r="D609" s="41" t="s">
        <v>2228</v>
      </c>
      <c r="E609" s="51"/>
      <c r="F609" s="51"/>
      <c r="G609" s="51"/>
      <c r="H609" s="44"/>
      <c r="I609" s="44"/>
      <c r="J609" s="44"/>
      <c r="K609" s="44"/>
      <c r="L609" s="44"/>
      <c r="M609" s="44" t="str">
        <f t="shared" si="1"/>
        <v>#DIV/0!</v>
      </c>
      <c r="N609" s="44" t="str">
        <f t="shared" si="2"/>
        <v>#DIV/0!</v>
      </c>
      <c r="O609" s="44" t="str">
        <f t="shared" si="4"/>
        <v/>
      </c>
      <c r="P609" s="44" t="str">
        <f t="shared" si="3"/>
        <v>#DIV/0!</v>
      </c>
      <c r="Q609" s="44"/>
    </row>
    <row r="610">
      <c r="A610" s="38" t="s">
        <v>2229</v>
      </c>
      <c r="B610" s="39" t="s">
        <v>2230</v>
      </c>
      <c r="C610" s="40" t="s">
        <v>2231</v>
      </c>
      <c r="D610" s="42" t="s">
        <v>5135</v>
      </c>
      <c r="E610" s="51"/>
      <c r="F610" s="51"/>
      <c r="G610" s="51"/>
      <c r="H610" s="44"/>
      <c r="I610" s="44"/>
      <c r="J610" s="44"/>
      <c r="K610" s="44"/>
      <c r="L610" s="44"/>
      <c r="M610" s="44" t="str">
        <f t="shared" si="1"/>
        <v>#DIV/0!</v>
      </c>
      <c r="N610" s="44" t="str">
        <f t="shared" si="2"/>
        <v>#DIV/0!</v>
      </c>
      <c r="O610" s="44" t="str">
        <f t="shared" si="4"/>
        <v/>
      </c>
      <c r="P610" s="44" t="str">
        <f t="shared" si="3"/>
        <v>#DIV/0!</v>
      </c>
      <c r="Q610" s="44"/>
    </row>
    <row r="611">
      <c r="A611" s="38" t="s">
        <v>2233</v>
      </c>
      <c r="B611" s="39" t="s">
        <v>2234</v>
      </c>
      <c r="C611" s="40" t="s">
        <v>2235</v>
      </c>
      <c r="D611" s="41" t="s">
        <v>2236</v>
      </c>
      <c r="E611" s="51"/>
      <c r="F611" s="51"/>
      <c r="G611" s="51"/>
      <c r="H611" s="44"/>
      <c r="I611" s="44"/>
      <c r="J611" s="44"/>
      <c r="K611" s="44"/>
      <c r="L611" s="44"/>
      <c r="M611" s="44" t="str">
        <f t="shared" si="1"/>
        <v>#DIV/0!</v>
      </c>
      <c r="N611" s="44" t="str">
        <f t="shared" si="2"/>
        <v>#DIV/0!</v>
      </c>
      <c r="O611" s="44" t="str">
        <f t="shared" si="4"/>
        <v/>
      </c>
      <c r="P611" s="44" t="str">
        <f t="shared" si="3"/>
        <v>#DIV/0!</v>
      </c>
      <c r="Q611" s="44"/>
    </row>
    <row r="612">
      <c r="A612" s="38" t="s">
        <v>2237</v>
      </c>
      <c r="B612" s="39" t="s">
        <v>2238</v>
      </c>
      <c r="C612" s="40" t="s">
        <v>268</v>
      </c>
      <c r="D612" s="41" t="s">
        <v>137</v>
      </c>
      <c r="E612" s="51"/>
      <c r="F612" s="51"/>
      <c r="G612" s="51"/>
      <c r="H612" s="44"/>
      <c r="I612" s="44"/>
      <c r="J612" s="44"/>
      <c r="K612" s="44"/>
      <c r="L612" s="44"/>
      <c r="M612" s="44" t="str">
        <f t="shared" si="1"/>
        <v>#DIV/0!</v>
      </c>
      <c r="N612" s="44" t="str">
        <f t="shared" si="2"/>
        <v>#DIV/0!</v>
      </c>
      <c r="O612" s="44" t="str">
        <f t="shared" si="4"/>
        <v/>
      </c>
      <c r="P612" s="44" t="str">
        <f t="shared" si="3"/>
        <v>#DIV/0!</v>
      </c>
      <c r="Q612" s="44"/>
    </row>
    <row r="613">
      <c r="A613" s="38" t="s">
        <v>2239</v>
      </c>
      <c r="B613" s="39" t="s">
        <v>2240</v>
      </c>
      <c r="C613" s="40" t="s">
        <v>2241</v>
      </c>
      <c r="D613" s="42" t="s">
        <v>2242</v>
      </c>
      <c r="E613" s="51"/>
      <c r="F613" s="51"/>
      <c r="G613" s="51"/>
      <c r="H613" s="44"/>
      <c r="I613" s="44"/>
      <c r="J613" s="44"/>
      <c r="K613" s="44"/>
      <c r="L613" s="44"/>
      <c r="M613" s="44" t="str">
        <f t="shared" si="1"/>
        <v>#DIV/0!</v>
      </c>
      <c r="N613" s="44" t="str">
        <f t="shared" si="2"/>
        <v>#DIV/0!</v>
      </c>
      <c r="O613" s="44" t="str">
        <f t="shared" si="4"/>
        <v/>
      </c>
      <c r="P613" s="44" t="str">
        <f t="shared" si="3"/>
        <v>#DIV/0!</v>
      </c>
      <c r="Q613" s="44"/>
    </row>
    <row r="614">
      <c r="A614" s="38" t="s">
        <v>2243</v>
      </c>
      <c r="B614" s="39" t="s">
        <v>2244</v>
      </c>
      <c r="C614" s="40" t="s">
        <v>2245</v>
      </c>
      <c r="D614" s="41" t="s">
        <v>2246</v>
      </c>
      <c r="E614" s="51"/>
      <c r="F614" s="51"/>
      <c r="G614" s="51"/>
      <c r="H614" s="44"/>
      <c r="I614" s="44"/>
      <c r="J614" s="44"/>
      <c r="K614" s="44"/>
      <c r="L614" s="44"/>
      <c r="M614" s="44" t="str">
        <f t="shared" si="1"/>
        <v>#DIV/0!</v>
      </c>
      <c r="N614" s="44" t="str">
        <f t="shared" si="2"/>
        <v>#DIV/0!</v>
      </c>
      <c r="O614" s="44" t="str">
        <f t="shared" si="4"/>
        <v/>
      </c>
      <c r="P614" s="44" t="str">
        <f t="shared" si="3"/>
        <v>#DIV/0!</v>
      </c>
      <c r="Q614" s="44"/>
    </row>
    <row r="615">
      <c r="A615" s="38" t="s">
        <v>2247</v>
      </c>
      <c r="B615" s="39" t="s">
        <v>2248</v>
      </c>
      <c r="C615" s="40" t="s">
        <v>681</v>
      </c>
      <c r="D615" s="41" t="s">
        <v>445</v>
      </c>
      <c r="E615" s="51"/>
      <c r="F615" s="51"/>
      <c r="G615" s="51"/>
      <c r="H615" s="44"/>
      <c r="I615" s="44"/>
      <c r="J615" s="44"/>
      <c r="K615" s="44"/>
      <c r="L615" s="44"/>
      <c r="M615" s="44" t="str">
        <f t="shared" si="1"/>
        <v>#DIV/0!</v>
      </c>
      <c r="N615" s="44" t="str">
        <f t="shared" si="2"/>
        <v>#DIV/0!</v>
      </c>
      <c r="O615" s="44" t="str">
        <f t="shared" si="4"/>
        <v/>
      </c>
      <c r="P615" s="44" t="str">
        <f t="shared" si="3"/>
        <v>#DIV/0!</v>
      </c>
      <c r="Q615" s="44"/>
    </row>
    <row r="616">
      <c r="A616" s="38" t="s">
        <v>2249</v>
      </c>
      <c r="B616" s="39" t="s">
        <v>2250</v>
      </c>
      <c r="C616" s="40" t="s">
        <v>1174</v>
      </c>
      <c r="D616" s="41" t="s">
        <v>844</v>
      </c>
      <c r="E616" s="51"/>
      <c r="F616" s="51"/>
      <c r="G616" s="51"/>
      <c r="H616" s="44"/>
      <c r="I616" s="44"/>
      <c r="J616" s="44"/>
      <c r="K616" s="44"/>
      <c r="L616" s="44"/>
      <c r="M616" s="44" t="str">
        <f t="shared" si="1"/>
        <v>#DIV/0!</v>
      </c>
      <c r="N616" s="44" t="str">
        <f t="shared" si="2"/>
        <v>#DIV/0!</v>
      </c>
      <c r="O616" s="44" t="str">
        <f t="shared" si="4"/>
        <v/>
      </c>
      <c r="P616" s="44" t="str">
        <f t="shared" si="3"/>
        <v>#DIV/0!</v>
      </c>
      <c r="Q616" s="44"/>
    </row>
    <row r="617">
      <c r="A617" s="38" t="s">
        <v>2251</v>
      </c>
      <c r="B617" s="39" t="s">
        <v>2252</v>
      </c>
      <c r="C617" s="40" t="s">
        <v>2253</v>
      </c>
      <c r="D617" s="42" t="s">
        <v>2254</v>
      </c>
      <c r="E617" s="51"/>
      <c r="F617" s="51"/>
      <c r="G617" s="51"/>
      <c r="H617" s="44"/>
      <c r="I617" s="44"/>
      <c r="J617" s="44"/>
      <c r="K617" s="44"/>
      <c r="L617" s="44"/>
      <c r="M617" s="44" t="str">
        <f t="shared" si="1"/>
        <v>#DIV/0!</v>
      </c>
      <c r="N617" s="44" t="str">
        <f t="shared" si="2"/>
        <v>#DIV/0!</v>
      </c>
      <c r="O617" s="44" t="str">
        <f t="shared" si="4"/>
        <v/>
      </c>
      <c r="P617" s="44" t="str">
        <f t="shared" si="3"/>
        <v>#DIV/0!</v>
      </c>
      <c r="Q617" s="44"/>
    </row>
    <row r="618">
      <c r="A618" s="38" t="s">
        <v>2255</v>
      </c>
      <c r="B618" s="39" t="s">
        <v>2256</v>
      </c>
      <c r="C618" s="40" t="s">
        <v>5136</v>
      </c>
      <c r="D618" s="42" t="s">
        <v>2258</v>
      </c>
      <c r="E618" s="51"/>
      <c r="F618" s="51"/>
      <c r="G618" s="51"/>
      <c r="H618" s="44"/>
      <c r="I618" s="44"/>
      <c r="J618" s="44"/>
      <c r="K618" s="44"/>
      <c r="L618" s="44"/>
      <c r="M618" s="44" t="str">
        <f t="shared" si="1"/>
        <v>#DIV/0!</v>
      </c>
      <c r="N618" s="44" t="str">
        <f t="shared" si="2"/>
        <v>#DIV/0!</v>
      </c>
      <c r="O618" s="44" t="str">
        <f t="shared" si="4"/>
        <v/>
      </c>
      <c r="P618" s="44" t="str">
        <f t="shared" si="3"/>
        <v>#DIV/0!</v>
      </c>
      <c r="Q618" s="44"/>
    </row>
    <row r="619">
      <c r="A619" s="38" t="s">
        <v>2259</v>
      </c>
      <c r="B619" s="39" t="s">
        <v>2260</v>
      </c>
      <c r="C619" s="40" t="s">
        <v>5137</v>
      </c>
      <c r="D619" s="42" t="s">
        <v>5138</v>
      </c>
      <c r="E619" s="51"/>
      <c r="F619" s="51"/>
      <c r="G619" s="51"/>
      <c r="H619" s="44"/>
      <c r="I619" s="44"/>
      <c r="J619" s="44"/>
      <c r="K619" s="44"/>
      <c r="L619" s="44"/>
      <c r="M619" s="44" t="str">
        <f t="shared" si="1"/>
        <v>#DIV/0!</v>
      </c>
      <c r="N619" s="44" t="str">
        <f t="shared" si="2"/>
        <v>#DIV/0!</v>
      </c>
      <c r="O619" s="44" t="str">
        <f t="shared" si="4"/>
        <v/>
      </c>
      <c r="P619" s="44" t="str">
        <f t="shared" si="3"/>
        <v>#DIV/0!</v>
      </c>
      <c r="Q619" s="44"/>
    </row>
    <row r="620">
      <c r="A620" s="38" t="s">
        <v>2263</v>
      </c>
      <c r="B620" s="39" t="s">
        <v>2264</v>
      </c>
      <c r="C620" s="40" t="s">
        <v>1154</v>
      </c>
      <c r="D620" s="41" t="s">
        <v>1155</v>
      </c>
      <c r="E620" s="51"/>
      <c r="F620" s="51"/>
      <c r="G620" s="51"/>
      <c r="H620" s="44"/>
      <c r="I620" s="44"/>
      <c r="J620" s="44"/>
      <c r="K620" s="44"/>
      <c r="L620" s="44"/>
      <c r="M620" s="44" t="str">
        <f t="shared" si="1"/>
        <v>#DIV/0!</v>
      </c>
      <c r="N620" s="44" t="str">
        <f t="shared" si="2"/>
        <v>#DIV/0!</v>
      </c>
      <c r="O620" s="44" t="str">
        <f t="shared" si="4"/>
        <v/>
      </c>
      <c r="P620" s="44" t="str">
        <f t="shared" si="3"/>
        <v>#DIV/0!</v>
      </c>
      <c r="Q620" s="44"/>
    </row>
    <row r="621">
      <c r="A621" s="38" t="s">
        <v>2265</v>
      </c>
      <c r="B621" s="39" t="s">
        <v>2266</v>
      </c>
      <c r="C621" s="40" t="s">
        <v>1924</v>
      </c>
      <c r="D621" s="41" t="s">
        <v>1925</v>
      </c>
      <c r="E621" s="51"/>
      <c r="F621" s="51"/>
      <c r="G621" s="51"/>
      <c r="H621" s="44"/>
      <c r="I621" s="44"/>
      <c r="J621" s="44"/>
      <c r="K621" s="44"/>
      <c r="L621" s="44"/>
      <c r="M621" s="44" t="str">
        <f t="shared" si="1"/>
        <v>#DIV/0!</v>
      </c>
      <c r="N621" s="44" t="str">
        <f t="shared" si="2"/>
        <v>#DIV/0!</v>
      </c>
      <c r="O621" s="44" t="str">
        <f t="shared" si="4"/>
        <v/>
      </c>
      <c r="P621" s="44" t="str">
        <f t="shared" si="3"/>
        <v>#DIV/0!</v>
      </c>
      <c r="Q621" s="44"/>
    </row>
    <row r="622">
      <c r="A622" s="38" t="s">
        <v>2267</v>
      </c>
      <c r="B622" s="39" t="s">
        <v>2268</v>
      </c>
      <c r="C622" s="40" t="s">
        <v>268</v>
      </c>
      <c r="D622" s="41" t="s">
        <v>137</v>
      </c>
      <c r="E622" s="51"/>
      <c r="F622" s="51"/>
      <c r="G622" s="51"/>
      <c r="H622" s="44"/>
      <c r="I622" s="44"/>
      <c r="J622" s="44"/>
      <c r="K622" s="44"/>
      <c r="L622" s="44"/>
      <c r="M622" s="44" t="str">
        <f t="shared" si="1"/>
        <v>#DIV/0!</v>
      </c>
      <c r="N622" s="44" t="str">
        <f t="shared" si="2"/>
        <v>#DIV/0!</v>
      </c>
      <c r="O622" s="44" t="str">
        <f t="shared" si="4"/>
        <v/>
      </c>
      <c r="P622" s="44" t="str">
        <f t="shared" si="3"/>
        <v>#DIV/0!</v>
      </c>
      <c r="Q622" s="44"/>
    </row>
    <row r="623">
      <c r="A623" s="38" t="s">
        <v>2269</v>
      </c>
      <c r="B623" s="39" t="s">
        <v>2270</v>
      </c>
      <c r="C623" s="40" t="s">
        <v>5139</v>
      </c>
      <c r="D623" s="42" t="s">
        <v>5140</v>
      </c>
      <c r="E623" s="51"/>
      <c r="F623" s="51"/>
      <c r="G623" s="51"/>
      <c r="H623" s="44"/>
      <c r="I623" s="44"/>
      <c r="J623" s="44"/>
      <c r="K623" s="44"/>
      <c r="L623" s="44"/>
      <c r="M623" s="44" t="str">
        <f t="shared" si="1"/>
        <v>#DIV/0!</v>
      </c>
      <c r="N623" s="44" t="str">
        <f t="shared" si="2"/>
        <v>#DIV/0!</v>
      </c>
      <c r="O623" s="44" t="str">
        <f t="shared" si="4"/>
        <v/>
      </c>
      <c r="P623" s="44" t="str">
        <f t="shared" si="3"/>
        <v>#DIV/0!</v>
      </c>
      <c r="Q623" s="44"/>
    </row>
    <row r="624">
      <c r="A624" s="38" t="s">
        <v>2273</v>
      </c>
      <c r="B624" s="39" t="s">
        <v>2274</v>
      </c>
      <c r="C624" s="40" t="s">
        <v>5141</v>
      </c>
      <c r="D624" s="42" t="s">
        <v>5142</v>
      </c>
      <c r="E624" s="51"/>
      <c r="F624" s="51"/>
      <c r="G624" s="51"/>
      <c r="H624" s="44"/>
      <c r="I624" s="44"/>
      <c r="J624" s="44"/>
      <c r="K624" s="44"/>
      <c r="L624" s="44"/>
      <c r="M624" s="44" t="str">
        <f t="shared" si="1"/>
        <v>#DIV/0!</v>
      </c>
      <c r="N624" s="44" t="str">
        <f t="shared" si="2"/>
        <v>#DIV/0!</v>
      </c>
      <c r="O624" s="44" t="str">
        <f t="shared" si="4"/>
        <v/>
      </c>
      <c r="P624" s="44" t="str">
        <f t="shared" si="3"/>
        <v>#DIV/0!</v>
      </c>
      <c r="Q624" s="44"/>
    </row>
    <row r="625">
      <c r="A625" s="38" t="s">
        <v>2277</v>
      </c>
      <c r="B625" s="39" t="s">
        <v>2278</v>
      </c>
      <c r="C625" s="40" t="s">
        <v>1059</v>
      </c>
      <c r="D625" s="42" t="s">
        <v>864</v>
      </c>
      <c r="E625" s="51"/>
      <c r="F625" s="51"/>
      <c r="G625" s="51"/>
      <c r="H625" s="44"/>
      <c r="I625" s="44"/>
      <c r="J625" s="44"/>
      <c r="K625" s="44"/>
      <c r="L625" s="44"/>
      <c r="M625" s="44" t="str">
        <f t="shared" si="1"/>
        <v>#DIV/0!</v>
      </c>
      <c r="N625" s="44" t="str">
        <f t="shared" si="2"/>
        <v>#DIV/0!</v>
      </c>
      <c r="O625" s="44" t="str">
        <f t="shared" si="4"/>
        <v/>
      </c>
      <c r="P625" s="44" t="str">
        <f t="shared" si="3"/>
        <v>#DIV/0!</v>
      </c>
      <c r="Q625" s="44"/>
    </row>
    <row r="626">
      <c r="A626" s="38" t="s">
        <v>2279</v>
      </c>
      <c r="B626" s="39" t="s">
        <v>2280</v>
      </c>
      <c r="C626" s="40" t="s">
        <v>2281</v>
      </c>
      <c r="D626" s="42" t="s">
        <v>5143</v>
      </c>
      <c r="E626" s="51"/>
      <c r="F626" s="51"/>
      <c r="G626" s="51"/>
      <c r="H626" s="44"/>
      <c r="I626" s="44"/>
      <c r="J626" s="44"/>
      <c r="K626" s="44"/>
      <c r="L626" s="44"/>
      <c r="M626" s="44" t="str">
        <f t="shared" si="1"/>
        <v>#DIV/0!</v>
      </c>
      <c r="N626" s="44" t="str">
        <f t="shared" si="2"/>
        <v>#DIV/0!</v>
      </c>
      <c r="O626" s="44" t="str">
        <f t="shared" si="4"/>
        <v/>
      </c>
      <c r="P626" s="44" t="str">
        <f t="shared" si="3"/>
        <v>#DIV/0!</v>
      </c>
      <c r="Q626" s="44"/>
    </row>
    <row r="627">
      <c r="A627" s="38" t="s">
        <v>2283</v>
      </c>
      <c r="B627" s="39" t="s">
        <v>2284</v>
      </c>
      <c r="C627" s="45" t="s">
        <v>2285</v>
      </c>
      <c r="D627" s="41" t="s">
        <v>2286</v>
      </c>
      <c r="E627" s="51"/>
      <c r="F627" s="51"/>
      <c r="G627" s="51"/>
      <c r="H627" s="44"/>
      <c r="I627" s="44"/>
      <c r="J627" s="44"/>
      <c r="K627" s="44"/>
      <c r="L627" s="44"/>
      <c r="M627" s="44" t="str">
        <f t="shared" si="1"/>
        <v>#DIV/0!</v>
      </c>
      <c r="N627" s="44" t="str">
        <f t="shared" si="2"/>
        <v>#DIV/0!</v>
      </c>
      <c r="O627" s="44" t="str">
        <f t="shared" si="4"/>
        <v/>
      </c>
      <c r="P627" s="44" t="str">
        <f t="shared" si="3"/>
        <v>#DIV/0!</v>
      </c>
      <c r="Q627" s="44"/>
    </row>
    <row r="628">
      <c r="A628" s="38" t="s">
        <v>2287</v>
      </c>
      <c r="B628" s="39" t="s">
        <v>2288</v>
      </c>
      <c r="C628" s="40" t="s">
        <v>1262</v>
      </c>
      <c r="D628" s="41" t="s">
        <v>1263</v>
      </c>
      <c r="E628" s="51"/>
      <c r="F628" s="51"/>
      <c r="G628" s="51"/>
      <c r="H628" s="44"/>
      <c r="I628" s="44"/>
      <c r="J628" s="44"/>
      <c r="K628" s="44"/>
      <c r="L628" s="44"/>
      <c r="M628" s="44" t="str">
        <f t="shared" si="1"/>
        <v>#DIV/0!</v>
      </c>
      <c r="N628" s="44" t="str">
        <f t="shared" si="2"/>
        <v>#DIV/0!</v>
      </c>
      <c r="O628" s="44" t="str">
        <f t="shared" si="4"/>
        <v/>
      </c>
      <c r="P628" s="44" t="str">
        <f t="shared" si="3"/>
        <v>#DIV/0!</v>
      </c>
      <c r="Q628" s="44"/>
    </row>
    <row r="629">
      <c r="A629" s="38" t="s">
        <v>2290</v>
      </c>
      <c r="B629" s="39" t="s">
        <v>2291</v>
      </c>
      <c r="C629" s="40" t="s">
        <v>5144</v>
      </c>
      <c r="D629" s="42" t="s">
        <v>5145</v>
      </c>
      <c r="E629" s="51"/>
      <c r="F629" s="51"/>
      <c r="G629" s="51"/>
      <c r="H629" s="44"/>
      <c r="I629" s="44"/>
      <c r="J629" s="44"/>
      <c r="K629" s="44"/>
      <c r="L629" s="44"/>
      <c r="M629" s="44" t="str">
        <f t="shared" si="1"/>
        <v>#DIV/0!</v>
      </c>
      <c r="N629" s="44" t="str">
        <f t="shared" si="2"/>
        <v>#DIV/0!</v>
      </c>
      <c r="O629" s="44" t="str">
        <f t="shared" si="4"/>
        <v/>
      </c>
      <c r="P629" s="44" t="str">
        <f t="shared" si="3"/>
        <v>#DIV/0!</v>
      </c>
      <c r="Q629" s="44"/>
    </row>
    <row r="630">
      <c r="A630" s="38" t="s">
        <v>2294</v>
      </c>
      <c r="B630" s="39" t="s">
        <v>2295</v>
      </c>
      <c r="C630" s="40" t="s">
        <v>5146</v>
      </c>
      <c r="D630" s="42" t="s">
        <v>5147</v>
      </c>
      <c r="E630" s="51"/>
      <c r="F630" s="51"/>
      <c r="G630" s="51"/>
      <c r="H630" s="44"/>
      <c r="I630" s="44"/>
      <c r="J630" s="44"/>
      <c r="K630" s="44"/>
      <c r="L630" s="44"/>
      <c r="M630" s="44" t="str">
        <f t="shared" si="1"/>
        <v>#DIV/0!</v>
      </c>
      <c r="N630" s="44" t="str">
        <f t="shared" si="2"/>
        <v>#DIV/0!</v>
      </c>
      <c r="O630" s="44" t="str">
        <f t="shared" si="4"/>
        <v/>
      </c>
      <c r="P630" s="44" t="str">
        <f t="shared" si="3"/>
        <v>#DIV/0!</v>
      </c>
      <c r="Q630" s="44"/>
    </row>
    <row r="631">
      <c r="A631" s="38" t="s">
        <v>2297</v>
      </c>
      <c r="B631" s="39" t="s">
        <v>2298</v>
      </c>
      <c r="C631" s="40" t="s">
        <v>2299</v>
      </c>
      <c r="D631" s="42" t="s">
        <v>5148</v>
      </c>
      <c r="E631" s="51"/>
      <c r="F631" s="51"/>
      <c r="G631" s="51"/>
      <c r="H631" s="44"/>
      <c r="I631" s="44"/>
      <c r="J631" s="44"/>
      <c r="K631" s="44"/>
      <c r="L631" s="44"/>
      <c r="M631" s="44" t="str">
        <f t="shared" si="1"/>
        <v>#DIV/0!</v>
      </c>
      <c r="N631" s="44" t="str">
        <f t="shared" si="2"/>
        <v>#DIV/0!</v>
      </c>
      <c r="O631" s="44" t="str">
        <f t="shared" si="4"/>
        <v/>
      </c>
      <c r="P631" s="44" t="str">
        <f t="shared" si="3"/>
        <v>#DIV/0!</v>
      </c>
      <c r="Q631" s="44"/>
    </row>
    <row r="632">
      <c r="A632" s="38" t="s">
        <v>2301</v>
      </c>
      <c r="B632" s="39" t="s">
        <v>2302</v>
      </c>
      <c r="C632" s="40" t="s">
        <v>5149</v>
      </c>
      <c r="D632" s="42" t="s">
        <v>5150</v>
      </c>
      <c r="E632" s="51"/>
      <c r="F632" s="51"/>
      <c r="G632" s="51"/>
      <c r="H632" s="44"/>
      <c r="I632" s="44"/>
      <c r="J632" s="44"/>
      <c r="K632" s="44"/>
      <c r="L632" s="44"/>
      <c r="M632" s="44" t="str">
        <f t="shared" si="1"/>
        <v>#DIV/0!</v>
      </c>
      <c r="N632" s="44" t="str">
        <f t="shared" si="2"/>
        <v>#DIV/0!</v>
      </c>
      <c r="O632" s="44" t="str">
        <f t="shared" si="4"/>
        <v/>
      </c>
      <c r="P632" s="44" t="str">
        <f t="shared" si="3"/>
        <v>#DIV/0!</v>
      </c>
      <c r="Q632" s="44"/>
    </row>
    <row r="633">
      <c r="A633" s="38" t="s">
        <v>2305</v>
      </c>
      <c r="B633" s="39" t="s">
        <v>2306</v>
      </c>
      <c r="C633" s="40" t="s">
        <v>2307</v>
      </c>
      <c r="D633" s="41" t="s">
        <v>2308</v>
      </c>
      <c r="E633" s="51"/>
      <c r="F633" s="51"/>
      <c r="G633" s="51"/>
      <c r="H633" s="44"/>
      <c r="I633" s="44"/>
      <c r="J633" s="44"/>
      <c r="K633" s="44"/>
      <c r="L633" s="44"/>
      <c r="M633" s="44" t="str">
        <f t="shared" si="1"/>
        <v>#DIV/0!</v>
      </c>
      <c r="N633" s="44" t="str">
        <f t="shared" si="2"/>
        <v>#DIV/0!</v>
      </c>
      <c r="O633" s="44" t="str">
        <f t="shared" si="4"/>
        <v/>
      </c>
      <c r="P633" s="44" t="str">
        <f t="shared" si="3"/>
        <v>#DIV/0!</v>
      </c>
      <c r="Q633" s="44"/>
    </row>
    <row r="634">
      <c r="A634" s="38" t="s">
        <v>2309</v>
      </c>
      <c r="B634" s="39" t="s">
        <v>2310</v>
      </c>
      <c r="C634" s="40" t="s">
        <v>5151</v>
      </c>
      <c r="D634" s="42" t="s">
        <v>5152</v>
      </c>
      <c r="E634" s="51"/>
      <c r="F634" s="51"/>
      <c r="G634" s="51"/>
      <c r="H634" s="44"/>
      <c r="I634" s="44"/>
      <c r="J634" s="44"/>
      <c r="K634" s="44"/>
      <c r="L634" s="44"/>
      <c r="M634" s="44" t="str">
        <f t="shared" si="1"/>
        <v>#DIV/0!</v>
      </c>
      <c r="N634" s="44" t="str">
        <f t="shared" si="2"/>
        <v>#DIV/0!</v>
      </c>
      <c r="O634" s="44" t="str">
        <f t="shared" si="4"/>
        <v/>
      </c>
      <c r="P634" s="44" t="str">
        <f t="shared" si="3"/>
        <v>#DIV/0!</v>
      </c>
      <c r="Q634" s="44"/>
    </row>
    <row r="635">
      <c r="A635" s="38" t="s">
        <v>2313</v>
      </c>
      <c r="B635" s="39" t="s">
        <v>2314</v>
      </c>
      <c r="C635" s="40" t="s">
        <v>5153</v>
      </c>
      <c r="D635" s="42" t="s">
        <v>5154</v>
      </c>
      <c r="E635" s="51"/>
      <c r="F635" s="51"/>
      <c r="G635" s="51"/>
      <c r="H635" s="44"/>
      <c r="I635" s="44"/>
      <c r="J635" s="44"/>
      <c r="K635" s="44"/>
      <c r="L635" s="44"/>
      <c r="M635" s="44" t="str">
        <f t="shared" si="1"/>
        <v>#DIV/0!</v>
      </c>
      <c r="N635" s="44" t="str">
        <f t="shared" si="2"/>
        <v>#DIV/0!</v>
      </c>
      <c r="O635" s="44" t="str">
        <f t="shared" si="4"/>
        <v/>
      </c>
      <c r="P635" s="44" t="str">
        <f t="shared" si="3"/>
        <v>#DIV/0!</v>
      </c>
      <c r="Q635" s="44"/>
    </row>
    <row r="636">
      <c r="A636" s="38" t="s">
        <v>2317</v>
      </c>
      <c r="B636" s="39" t="s">
        <v>2318</v>
      </c>
      <c r="C636" s="40" t="s">
        <v>1777</v>
      </c>
      <c r="D636" s="41" t="s">
        <v>296</v>
      </c>
      <c r="E636" s="51"/>
      <c r="F636" s="51"/>
      <c r="G636" s="51"/>
      <c r="H636" s="44"/>
      <c r="I636" s="44"/>
      <c r="J636" s="44"/>
      <c r="K636" s="44"/>
      <c r="L636" s="44"/>
      <c r="M636" s="44" t="str">
        <f t="shared" si="1"/>
        <v>#DIV/0!</v>
      </c>
      <c r="N636" s="44" t="str">
        <f t="shared" si="2"/>
        <v>#DIV/0!</v>
      </c>
      <c r="O636" s="44" t="str">
        <f t="shared" si="4"/>
        <v/>
      </c>
      <c r="P636" s="44" t="str">
        <f t="shared" si="3"/>
        <v>#DIV/0!</v>
      </c>
      <c r="Q636" s="44"/>
    </row>
    <row r="637">
      <c r="A637" s="38" t="s">
        <v>2319</v>
      </c>
      <c r="B637" s="39" t="s">
        <v>2320</v>
      </c>
      <c r="C637" s="40" t="s">
        <v>1059</v>
      </c>
      <c r="D637" s="42" t="s">
        <v>864</v>
      </c>
      <c r="E637" s="51"/>
      <c r="F637" s="51"/>
      <c r="G637" s="51"/>
      <c r="H637" s="44"/>
      <c r="I637" s="44"/>
      <c r="J637" s="44"/>
      <c r="K637" s="44"/>
      <c r="L637" s="44"/>
      <c r="M637" s="44" t="str">
        <f t="shared" si="1"/>
        <v>#DIV/0!</v>
      </c>
      <c r="N637" s="44" t="str">
        <f t="shared" si="2"/>
        <v>#DIV/0!</v>
      </c>
      <c r="O637" s="44" t="str">
        <f t="shared" si="4"/>
        <v/>
      </c>
      <c r="P637" s="44" t="str">
        <f t="shared" si="3"/>
        <v>#DIV/0!</v>
      </c>
      <c r="Q637" s="44"/>
    </row>
    <row r="638">
      <c r="A638" s="38" t="s">
        <v>2321</v>
      </c>
      <c r="B638" s="39" t="s">
        <v>2322</v>
      </c>
      <c r="C638" s="40" t="s">
        <v>5155</v>
      </c>
      <c r="D638" s="42" t="s">
        <v>5156</v>
      </c>
      <c r="E638" s="51"/>
      <c r="F638" s="51"/>
      <c r="G638" s="51"/>
      <c r="H638" s="44"/>
      <c r="I638" s="44"/>
      <c r="J638" s="44"/>
      <c r="K638" s="44"/>
      <c r="L638" s="44"/>
      <c r="M638" s="44" t="str">
        <f t="shared" si="1"/>
        <v>#DIV/0!</v>
      </c>
      <c r="N638" s="44" t="str">
        <f t="shared" si="2"/>
        <v>#DIV/0!</v>
      </c>
      <c r="O638" s="44" t="str">
        <f t="shared" si="4"/>
        <v/>
      </c>
      <c r="P638" s="44" t="str">
        <f t="shared" si="3"/>
        <v>#DIV/0!</v>
      </c>
      <c r="Q638" s="44"/>
    </row>
    <row r="639">
      <c r="A639" s="38" t="s">
        <v>2325</v>
      </c>
      <c r="B639" s="39" t="s">
        <v>2326</v>
      </c>
      <c r="C639" s="40" t="s">
        <v>172</v>
      </c>
      <c r="D639" s="41" t="s">
        <v>173</v>
      </c>
      <c r="E639" s="51"/>
      <c r="F639" s="51"/>
      <c r="G639" s="51"/>
      <c r="H639" s="44"/>
      <c r="I639" s="44"/>
      <c r="J639" s="44"/>
      <c r="K639" s="44"/>
      <c r="L639" s="44"/>
      <c r="M639" s="44" t="str">
        <f t="shared" si="1"/>
        <v>#DIV/0!</v>
      </c>
      <c r="N639" s="44" t="str">
        <f t="shared" si="2"/>
        <v>#DIV/0!</v>
      </c>
      <c r="O639" s="44" t="str">
        <f t="shared" si="4"/>
        <v/>
      </c>
      <c r="P639" s="44" t="str">
        <f t="shared" si="3"/>
        <v>#DIV/0!</v>
      </c>
      <c r="Q639" s="44"/>
    </row>
    <row r="640">
      <c r="A640" s="38" t="s">
        <v>2327</v>
      </c>
      <c r="B640" s="39" t="s">
        <v>2328</v>
      </c>
      <c r="C640" s="40" t="s">
        <v>5157</v>
      </c>
      <c r="D640" s="42" t="s">
        <v>5158</v>
      </c>
      <c r="E640" s="51"/>
      <c r="F640" s="51"/>
      <c r="G640" s="51"/>
      <c r="H640" s="44"/>
      <c r="I640" s="44"/>
      <c r="J640" s="44"/>
      <c r="K640" s="44"/>
      <c r="L640" s="44"/>
      <c r="M640" s="44" t="str">
        <f t="shared" si="1"/>
        <v>#DIV/0!</v>
      </c>
      <c r="N640" s="44" t="str">
        <f t="shared" si="2"/>
        <v>#DIV/0!</v>
      </c>
      <c r="O640" s="44" t="str">
        <f t="shared" si="4"/>
        <v/>
      </c>
      <c r="P640" s="44" t="str">
        <f t="shared" si="3"/>
        <v>#DIV/0!</v>
      </c>
      <c r="Q640" s="44"/>
    </row>
    <row r="641">
      <c r="A641" s="38" t="s">
        <v>2331</v>
      </c>
      <c r="B641" s="39" t="s">
        <v>2332</v>
      </c>
      <c r="C641" s="40" t="s">
        <v>2333</v>
      </c>
      <c r="D641" s="42" t="s">
        <v>2334</v>
      </c>
      <c r="E641" s="51"/>
      <c r="F641" s="51"/>
      <c r="G641" s="51"/>
      <c r="H641" s="44"/>
      <c r="I641" s="44"/>
      <c r="J641" s="44"/>
      <c r="K641" s="44"/>
      <c r="L641" s="44"/>
      <c r="M641" s="44" t="str">
        <f t="shared" si="1"/>
        <v>#DIV/0!</v>
      </c>
      <c r="N641" s="44" t="str">
        <f t="shared" si="2"/>
        <v>#DIV/0!</v>
      </c>
      <c r="O641" s="44" t="str">
        <f t="shared" si="4"/>
        <v/>
      </c>
      <c r="P641" s="44" t="str">
        <f t="shared" si="3"/>
        <v>#DIV/0!</v>
      </c>
      <c r="Q641" s="44"/>
    </row>
    <row r="642">
      <c r="A642" s="38" t="s">
        <v>2335</v>
      </c>
      <c r="B642" s="39" t="s">
        <v>2336</v>
      </c>
      <c r="C642" s="40" t="s">
        <v>5159</v>
      </c>
      <c r="D642" s="42" t="s">
        <v>5160</v>
      </c>
      <c r="E642" s="51"/>
      <c r="F642" s="51"/>
      <c r="G642" s="51"/>
      <c r="H642" s="44"/>
      <c r="I642" s="44"/>
      <c r="J642" s="44"/>
      <c r="K642" s="44"/>
      <c r="L642" s="44"/>
      <c r="M642" s="44" t="str">
        <f t="shared" si="1"/>
        <v>#DIV/0!</v>
      </c>
      <c r="N642" s="44" t="str">
        <f t="shared" si="2"/>
        <v>#DIV/0!</v>
      </c>
      <c r="O642" s="44" t="str">
        <f t="shared" si="4"/>
        <v/>
      </c>
      <c r="P642" s="44" t="str">
        <f t="shared" si="3"/>
        <v>#DIV/0!</v>
      </c>
      <c r="Q642" s="44"/>
    </row>
    <row r="643">
      <c r="A643" s="38" t="s">
        <v>2339</v>
      </c>
      <c r="B643" s="39" t="s">
        <v>2340</v>
      </c>
      <c r="C643" s="40" t="s">
        <v>5161</v>
      </c>
      <c r="D643" s="42" t="s">
        <v>5162</v>
      </c>
      <c r="E643" s="51"/>
      <c r="F643" s="51"/>
      <c r="G643" s="51"/>
      <c r="H643" s="44"/>
      <c r="I643" s="44"/>
      <c r="J643" s="44"/>
      <c r="K643" s="44"/>
      <c r="L643" s="44"/>
      <c r="M643" s="44" t="str">
        <f t="shared" si="1"/>
        <v>#DIV/0!</v>
      </c>
      <c r="N643" s="44" t="str">
        <f t="shared" si="2"/>
        <v>#DIV/0!</v>
      </c>
      <c r="O643" s="44" t="str">
        <f t="shared" si="4"/>
        <v/>
      </c>
      <c r="P643" s="44" t="str">
        <f t="shared" si="3"/>
        <v>#DIV/0!</v>
      </c>
      <c r="Q643" s="44"/>
    </row>
    <row r="644">
      <c r="A644" s="38" t="s">
        <v>2343</v>
      </c>
      <c r="B644" s="39" t="s">
        <v>2344</v>
      </c>
      <c r="C644" s="40" t="s">
        <v>2345</v>
      </c>
      <c r="D644" s="41" t="s">
        <v>2346</v>
      </c>
      <c r="E644" s="51"/>
      <c r="F644" s="51"/>
      <c r="G644" s="51"/>
      <c r="H644" s="44"/>
      <c r="I644" s="44"/>
      <c r="J644" s="44"/>
      <c r="K644" s="44"/>
      <c r="L644" s="44"/>
      <c r="M644" s="44" t="str">
        <f t="shared" si="1"/>
        <v>#DIV/0!</v>
      </c>
      <c r="N644" s="44" t="str">
        <f t="shared" si="2"/>
        <v>#DIV/0!</v>
      </c>
      <c r="O644" s="44" t="str">
        <f t="shared" si="4"/>
        <v/>
      </c>
      <c r="P644" s="44" t="str">
        <f t="shared" si="3"/>
        <v>#DIV/0!</v>
      </c>
      <c r="Q644" s="44"/>
    </row>
    <row r="645">
      <c r="A645" s="38" t="s">
        <v>2347</v>
      </c>
      <c r="B645" s="39" t="s">
        <v>2348</v>
      </c>
      <c r="C645" s="40" t="s">
        <v>5163</v>
      </c>
      <c r="D645" s="42" t="s">
        <v>5164</v>
      </c>
      <c r="E645" s="51"/>
      <c r="F645" s="51"/>
      <c r="G645" s="51"/>
      <c r="H645" s="44"/>
      <c r="I645" s="44"/>
      <c r="J645" s="44"/>
      <c r="K645" s="44"/>
      <c r="L645" s="44"/>
      <c r="M645" s="44" t="str">
        <f t="shared" si="1"/>
        <v>#DIV/0!</v>
      </c>
      <c r="N645" s="44" t="str">
        <f t="shared" si="2"/>
        <v>#DIV/0!</v>
      </c>
      <c r="O645" s="44" t="str">
        <f t="shared" si="4"/>
        <v/>
      </c>
      <c r="P645" s="44" t="str">
        <f t="shared" si="3"/>
        <v>#DIV/0!</v>
      </c>
      <c r="Q645" s="44"/>
    </row>
    <row r="646">
      <c r="A646" s="38" t="s">
        <v>2351</v>
      </c>
      <c r="B646" s="39" t="s">
        <v>2352</v>
      </c>
      <c r="C646" s="40" t="s">
        <v>2353</v>
      </c>
      <c r="D646" s="42" t="s">
        <v>2354</v>
      </c>
      <c r="E646" s="51"/>
      <c r="F646" s="51"/>
      <c r="G646" s="51"/>
      <c r="H646" s="44"/>
      <c r="I646" s="44"/>
      <c r="J646" s="44"/>
      <c r="K646" s="44"/>
      <c r="L646" s="44"/>
      <c r="M646" s="44" t="str">
        <f t="shared" si="1"/>
        <v>#DIV/0!</v>
      </c>
      <c r="N646" s="44" t="str">
        <f t="shared" si="2"/>
        <v>#DIV/0!</v>
      </c>
      <c r="O646" s="44" t="str">
        <f t="shared" si="4"/>
        <v/>
      </c>
      <c r="P646" s="44" t="str">
        <f t="shared" si="3"/>
        <v>#DIV/0!</v>
      </c>
      <c r="Q646" s="44"/>
    </row>
    <row r="647">
      <c r="A647" s="38" t="s">
        <v>2355</v>
      </c>
      <c r="B647" s="39" t="s">
        <v>2356</v>
      </c>
      <c r="C647" s="40" t="s">
        <v>2357</v>
      </c>
      <c r="D647" s="42" t="s">
        <v>5165</v>
      </c>
      <c r="E647" s="51"/>
      <c r="F647" s="51"/>
      <c r="G647" s="51"/>
      <c r="H647" s="44"/>
      <c r="I647" s="44"/>
      <c r="J647" s="44"/>
      <c r="K647" s="44"/>
      <c r="L647" s="44"/>
      <c r="M647" s="44" t="str">
        <f t="shared" si="1"/>
        <v>#DIV/0!</v>
      </c>
      <c r="N647" s="44" t="str">
        <f t="shared" si="2"/>
        <v>#DIV/0!</v>
      </c>
      <c r="O647" s="44" t="str">
        <f t="shared" si="4"/>
        <v/>
      </c>
      <c r="P647" s="44" t="str">
        <f t="shared" si="3"/>
        <v>#DIV/0!</v>
      </c>
      <c r="Q647" s="44"/>
    </row>
    <row r="648">
      <c r="A648" s="38" t="s">
        <v>2359</v>
      </c>
      <c r="B648" s="39" t="s">
        <v>2360</v>
      </c>
      <c r="C648" s="40" t="s">
        <v>5166</v>
      </c>
      <c r="D648" s="42" t="s">
        <v>5167</v>
      </c>
      <c r="E648" s="51"/>
      <c r="F648" s="51"/>
      <c r="G648" s="51"/>
      <c r="H648" s="44"/>
      <c r="I648" s="44"/>
      <c r="J648" s="44"/>
      <c r="K648" s="44"/>
      <c r="L648" s="44"/>
      <c r="M648" s="44" t="str">
        <f t="shared" si="1"/>
        <v>#DIV/0!</v>
      </c>
      <c r="N648" s="44" t="str">
        <f t="shared" si="2"/>
        <v>#DIV/0!</v>
      </c>
      <c r="O648" s="44" t="str">
        <f t="shared" si="4"/>
        <v/>
      </c>
      <c r="P648" s="44" t="str">
        <f t="shared" si="3"/>
        <v>#DIV/0!</v>
      </c>
      <c r="Q648" s="44"/>
    </row>
    <row r="649">
      <c r="A649" s="38" t="s">
        <v>2363</v>
      </c>
      <c r="B649" s="39" t="s">
        <v>2364</v>
      </c>
      <c r="C649" s="40" t="s">
        <v>2365</v>
      </c>
      <c r="D649" s="42" t="s">
        <v>5168</v>
      </c>
      <c r="E649" s="51"/>
      <c r="F649" s="51"/>
      <c r="G649" s="51"/>
      <c r="H649" s="44"/>
      <c r="I649" s="44"/>
      <c r="J649" s="44"/>
      <c r="K649" s="44"/>
      <c r="L649" s="44"/>
      <c r="M649" s="44" t="str">
        <f t="shared" si="1"/>
        <v>#DIV/0!</v>
      </c>
      <c r="N649" s="44" t="str">
        <f t="shared" si="2"/>
        <v>#DIV/0!</v>
      </c>
      <c r="O649" s="44" t="str">
        <f t="shared" si="4"/>
        <v/>
      </c>
      <c r="P649" s="44" t="str">
        <f t="shared" si="3"/>
        <v>#DIV/0!</v>
      </c>
      <c r="Q649" s="44"/>
    </row>
    <row r="650">
      <c r="A650" s="38" t="s">
        <v>2367</v>
      </c>
      <c r="B650" s="39" t="s">
        <v>2368</v>
      </c>
      <c r="C650" s="40" t="s">
        <v>2369</v>
      </c>
      <c r="D650" s="41" t="s">
        <v>2370</v>
      </c>
      <c r="E650" s="51"/>
      <c r="F650" s="51"/>
      <c r="G650" s="51"/>
      <c r="H650" s="44"/>
      <c r="I650" s="44"/>
      <c r="J650" s="44"/>
      <c r="K650" s="44"/>
      <c r="L650" s="44"/>
      <c r="M650" s="44" t="str">
        <f t="shared" si="1"/>
        <v>#DIV/0!</v>
      </c>
      <c r="N650" s="44" t="str">
        <f t="shared" si="2"/>
        <v>#DIV/0!</v>
      </c>
      <c r="O650" s="44" t="str">
        <f t="shared" si="4"/>
        <v/>
      </c>
      <c r="P650" s="44" t="str">
        <f t="shared" si="3"/>
        <v>#DIV/0!</v>
      </c>
      <c r="Q650" s="44"/>
    </row>
    <row r="651">
      <c r="A651" s="38" t="s">
        <v>2371</v>
      </c>
      <c r="B651" s="39" t="s">
        <v>2372</v>
      </c>
      <c r="C651" s="40" t="s">
        <v>2373</v>
      </c>
      <c r="D651" s="41" t="s">
        <v>2374</v>
      </c>
      <c r="E651" s="51"/>
      <c r="F651" s="51"/>
      <c r="G651" s="51"/>
      <c r="H651" s="44"/>
      <c r="I651" s="44"/>
      <c r="J651" s="44"/>
      <c r="K651" s="44"/>
      <c r="L651" s="44"/>
      <c r="M651" s="44" t="str">
        <f t="shared" si="1"/>
        <v>#DIV/0!</v>
      </c>
      <c r="N651" s="44" t="str">
        <f t="shared" si="2"/>
        <v>#DIV/0!</v>
      </c>
      <c r="O651" s="44" t="str">
        <f t="shared" si="4"/>
        <v/>
      </c>
      <c r="P651" s="44" t="str">
        <f t="shared" si="3"/>
        <v>#DIV/0!</v>
      </c>
      <c r="Q651" s="44"/>
    </row>
    <row r="652">
      <c r="A652" s="38" t="s">
        <v>2375</v>
      </c>
      <c r="B652" s="39" t="s">
        <v>2376</v>
      </c>
      <c r="C652" s="40" t="s">
        <v>5169</v>
      </c>
      <c r="D652" s="41" t="s">
        <v>2378</v>
      </c>
      <c r="E652" s="51"/>
      <c r="F652" s="51"/>
      <c r="G652" s="51"/>
      <c r="H652" s="44"/>
      <c r="I652" s="44"/>
      <c r="J652" s="44"/>
      <c r="K652" s="44"/>
      <c r="L652" s="44"/>
      <c r="M652" s="44" t="str">
        <f t="shared" si="1"/>
        <v>#DIV/0!</v>
      </c>
      <c r="N652" s="44" t="str">
        <f t="shared" si="2"/>
        <v>#DIV/0!</v>
      </c>
      <c r="O652" s="44" t="str">
        <f t="shared" si="4"/>
        <v/>
      </c>
      <c r="P652" s="44" t="str">
        <f t="shared" si="3"/>
        <v>#DIV/0!</v>
      </c>
      <c r="Q652" s="44"/>
    </row>
    <row r="653">
      <c r="A653" s="38" t="s">
        <v>2379</v>
      </c>
      <c r="B653" s="39" t="s">
        <v>2380</v>
      </c>
      <c r="C653" s="40" t="s">
        <v>2381</v>
      </c>
      <c r="D653" s="42" t="s">
        <v>5170</v>
      </c>
      <c r="E653" s="51"/>
      <c r="F653" s="51"/>
      <c r="G653" s="51"/>
      <c r="H653" s="44"/>
      <c r="I653" s="44"/>
      <c r="J653" s="44"/>
      <c r="K653" s="44"/>
      <c r="L653" s="44"/>
      <c r="M653" s="44" t="str">
        <f t="shared" si="1"/>
        <v>#DIV/0!</v>
      </c>
      <c r="N653" s="44" t="str">
        <f t="shared" si="2"/>
        <v>#DIV/0!</v>
      </c>
      <c r="O653" s="44" t="str">
        <f t="shared" si="4"/>
        <v/>
      </c>
      <c r="P653" s="44" t="str">
        <f t="shared" si="3"/>
        <v>#DIV/0!</v>
      </c>
      <c r="Q653" s="44"/>
    </row>
    <row r="654">
      <c r="A654" s="38" t="s">
        <v>2383</v>
      </c>
      <c r="B654" s="39" t="s">
        <v>2384</v>
      </c>
      <c r="C654" s="40" t="s">
        <v>1059</v>
      </c>
      <c r="D654" s="42" t="s">
        <v>864</v>
      </c>
      <c r="E654" s="51"/>
      <c r="F654" s="51"/>
      <c r="G654" s="51"/>
      <c r="H654" s="44"/>
      <c r="I654" s="44"/>
      <c r="J654" s="44"/>
      <c r="K654" s="44"/>
      <c r="L654" s="44"/>
      <c r="M654" s="44" t="str">
        <f t="shared" si="1"/>
        <v>#DIV/0!</v>
      </c>
      <c r="N654" s="44" t="str">
        <f t="shared" si="2"/>
        <v>#DIV/0!</v>
      </c>
      <c r="O654" s="44" t="str">
        <f t="shared" si="4"/>
        <v/>
      </c>
      <c r="P654" s="44" t="str">
        <f t="shared" si="3"/>
        <v>#DIV/0!</v>
      </c>
      <c r="Q654" s="44"/>
    </row>
    <row r="655">
      <c r="A655" s="38" t="s">
        <v>2385</v>
      </c>
      <c r="B655" s="39" t="s">
        <v>2386</v>
      </c>
      <c r="C655" s="40" t="s">
        <v>991</v>
      </c>
      <c r="D655" s="41" t="s">
        <v>113</v>
      </c>
      <c r="E655" s="51"/>
      <c r="F655" s="51"/>
      <c r="G655" s="51"/>
      <c r="H655" s="44"/>
      <c r="I655" s="44"/>
      <c r="J655" s="44"/>
      <c r="K655" s="44"/>
      <c r="L655" s="44"/>
      <c r="M655" s="44" t="str">
        <f t="shared" si="1"/>
        <v>#DIV/0!</v>
      </c>
      <c r="N655" s="44" t="str">
        <f t="shared" si="2"/>
        <v>#DIV/0!</v>
      </c>
      <c r="O655" s="44" t="str">
        <f t="shared" si="4"/>
        <v/>
      </c>
      <c r="P655" s="44" t="str">
        <f t="shared" si="3"/>
        <v>#DIV/0!</v>
      </c>
      <c r="Q655" s="44"/>
    </row>
    <row r="656">
      <c r="A656" s="38" t="s">
        <v>2387</v>
      </c>
      <c r="B656" s="39" t="s">
        <v>2388</v>
      </c>
      <c r="C656" s="40" t="s">
        <v>5171</v>
      </c>
      <c r="D656" s="42" t="s">
        <v>5172</v>
      </c>
      <c r="E656" s="51"/>
      <c r="F656" s="51"/>
      <c r="G656" s="51"/>
      <c r="H656" s="44"/>
      <c r="I656" s="44"/>
      <c r="J656" s="44"/>
      <c r="K656" s="44"/>
      <c r="L656" s="44"/>
      <c r="M656" s="44" t="str">
        <f t="shared" si="1"/>
        <v>#DIV/0!</v>
      </c>
      <c r="N656" s="44" t="str">
        <f t="shared" si="2"/>
        <v>#DIV/0!</v>
      </c>
      <c r="O656" s="44" t="str">
        <f t="shared" si="4"/>
        <v/>
      </c>
      <c r="P656" s="44" t="str">
        <f t="shared" si="3"/>
        <v>#DIV/0!</v>
      </c>
      <c r="Q656" s="44"/>
    </row>
    <row r="657">
      <c r="A657" s="38" t="s">
        <v>2391</v>
      </c>
      <c r="B657" s="39" t="s">
        <v>2392</v>
      </c>
      <c r="C657" s="40" t="s">
        <v>5173</v>
      </c>
      <c r="D657" s="42" t="s">
        <v>5174</v>
      </c>
      <c r="E657" s="51"/>
      <c r="F657" s="51"/>
      <c r="G657" s="51"/>
      <c r="H657" s="44"/>
      <c r="I657" s="44"/>
      <c r="J657" s="44"/>
      <c r="K657" s="44"/>
      <c r="L657" s="44"/>
      <c r="M657" s="44" t="str">
        <f t="shared" si="1"/>
        <v>#DIV/0!</v>
      </c>
      <c r="N657" s="44" t="str">
        <f t="shared" si="2"/>
        <v>#DIV/0!</v>
      </c>
      <c r="O657" s="44" t="str">
        <f t="shared" si="4"/>
        <v/>
      </c>
      <c r="P657" s="44" t="str">
        <f t="shared" si="3"/>
        <v>#DIV/0!</v>
      </c>
      <c r="Q657" s="44"/>
    </row>
    <row r="658">
      <c r="A658" s="38" t="s">
        <v>2395</v>
      </c>
      <c r="B658" s="39" t="s">
        <v>2396</v>
      </c>
      <c r="C658" s="40" t="s">
        <v>5175</v>
      </c>
      <c r="D658" s="42" t="s">
        <v>2398</v>
      </c>
      <c r="E658" s="51"/>
      <c r="F658" s="51"/>
      <c r="G658" s="51"/>
      <c r="H658" s="44"/>
      <c r="I658" s="44"/>
      <c r="J658" s="44"/>
      <c r="K658" s="44"/>
      <c r="L658" s="44"/>
      <c r="M658" s="44" t="str">
        <f t="shared" si="1"/>
        <v>#DIV/0!</v>
      </c>
      <c r="N658" s="44" t="str">
        <f t="shared" si="2"/>
        <v>#DIV/0!</v>
      </c>
      <c r="O658" s="44" t="str">
        <f t="shared" si="4"/>
        <v/>
      </c>
      <c r="P658" s="44" t="str">
        <f t="shared" si="3"/>
        <v>#DIV/0!</v>
      </c>
      <c r="Q658" s="44"/>
    </row>
    <row r="659">
      <c r="A659" s="38" t="s">
        <v>2399</v>
      </c>
      <c r="B659" s="39" t="s">
        <v>2400</v>
      </c>
      <c r="C659" s="40" t="s">
        <v>991</v>
      </c>
      <c r="D659" s="41" t="s">
        <v>113</v>
      </c>
      <c r="E659" s="51"/>
      <c r="F659" s="51"/>
      <c r="G659" s="51"/>
      <c r="H659" s="44"/>
      <c r="I659" s="44"/>
      <c r="J659" s="44"/>
      <c r="K659" s="44"/>
      <c r="L659" s="44"/>
      <c r="M659" s="44" t="str">
        <f t="shared" si="1"/>
        <v>#DIV/0!</v>
      </c>
      <c r="N659" s="44" t="str">
        <f t="shared" si="2"/>
        <v>#DIV/0!</v>
      </c>
      <c r="O659" s="44" t="str">
        <f t="shared" si="4"/>
        <v/>
      </c>
      <c r="P659" s="44" t="str">
        <f t="shared" si="3"/>
        <v>#DIV/0!</v>
      </c>
      <c r="Q659" s="44"/>
    </row>
    <row r="660">
      <c r="A660" s="38" t="s">
        <v>2401</v>
      </c>
      <c r="B660" s="39" t="s">
        <v>2402</v>
      </c>
      <c r="C660" s="40" t="s">
        <v>5176</v>
      </c>
      <c r="D660" s="42" t="s">
        <v>5177</v>
      </c>
      <c r="E660" s="51"/>
      <c r="F660" s="51"/>
      <c r="G660" s="51"/>
      <c r="H660" s="44"/>
      <c r="I660" s="44"/>
      <c r="J660" s="44"/>
      <c r="K660" s="44"/>
      <c r="L660" s="44"/>
      <c r="M660" s="44" t="str">
        <f t="shared" si="1"/>
        <v>#DIV/0!</v>
      </c>
      <c r="N660" s="44" t="str">
        <f t="shared" si="2"/>
        <v>#DIV/0!</v>
      </c>
      <c r="O660" s="44" t="str">
        <f t="shared" si="4"/>
        <v/>
      </c>
      <c r="P660" s="44" t="str">
        <f t="shared" si="3"/>
        <v>#DIV/0!</v>
      </c>
      <c r="Q660" s="44"/>
    </row>
    <row r="661">
      <c r="A661" s="38" t="s">
        <v>2405</v>
      </c>
      <c r="B661" s="39" t="s">
        <v>2406</v>
      </c>
      <c r="C661" s="40" t="s">
        <v>268</v>
      </c>
      <c r="D661" s="41" t="s">
        <v>137</v>
      </c>
      <c r="E661" s="51"/>
      <c r="F661" s="51"/>
      <c r="G661" s="51"/>
      <c r="H661" s="44"/>
      <c r="I661" s="44"/>
      <c r="J661" s="44"/>
      <c r="K661" s="44"/>
      <c r="L661" s="44"/>
      <c r="M661" s="44" t="str">
        <f t="shared" si="1"/>
        <v>#DIV/0!</v>
      </c>
      <c r="N661" s="44" t="str">
        <f t="shared" si="2"/>
        <v>#DIV/0!</v>
      </c>
      <c r="O661" s="44" t="str">
        <f t="shared" si="4"/>
        <v/>
      </c>
      <c r="P661" s="44" t="str">
        <f t="shared" si="3"/>
        <v>#DIV/0!</v>
      </c>
      <c r="Q661" s="44"/>
    </row>
    <row r="662">
      <c r="A662" s="38" t="s">
        <v>2407</v>
      </c>
      <c r="B662" s="39" t="s">
        <v>2408</v>
      </c>
      <c r="C662" s="40" t="s">
        <v>2409</v>
      </c>
      <c r="D662" s="41" t="s">
        <v>2410</v>
      </c>
      <c r="E662" s="51"/>
      <c r="F662" s="51"/>
      <c r="G662" s="51"/>
      <c r="H662" s="44"/>
      <c r="I662" s="44"/>
      <c r="J662" s="44"/>
      <c r="K662" s="44"/>
      <c r="L662" s="44"/>
      <c r="M662" s="44" t="str">
        <f t="shared" si="1"/>
        <v>#DIV/0!</v>
      </c>
      <c r="N662" s="44" t="str">
        <f t="shared" si="2"/>
        <v>#DIV/0!</v>
      </c>
      <c r="O662" s="44" t="str">
        <f t="shared" si="4"/>
        <v/>
      </c>
      <c r="P662" s="44" t="str">
        <f t="shared" si="3"/>
        <v>#DIV/0!</v>
      </c>
      <c r="Q662" s="44"/>
    </row>
    <row r="663">
      <c r="A663" s="38" t="s">
        <v>2411</v>
      </c>
      <c r="B663" s="39" t="s">
        <v>2412</v>
      </c>
      <c r="C663" s="40" t="s">
        <v>2413</v>
      </c>
      <c r="D663" s="41" t="s">
        <v>2414</v>
      </c>
      <c r="E663" s="51"/>
      <c r="F663" s="51"/>
      <c r="G663" s="51"/>
      <c r="H663" s="44"/>
      <c r="I663" s="44"/>
      <c r="J663" s="44"/>
      <c r="K663" s="44"/>
      <c r="L663" s="44"/>
      <c r="M663" s="44" t="str">
        <f t="shared" si="1"/>
        <v>#DIV/0!</v>
      </c>
      <c r="N663" s="44" t="str">
        <f t="shared" si="2"/>
        <v>#DIV/0!</v>
      </c>
      <c r="O663" s="44" t="str">
        <f t="shared" si="4"/>
        <v/>
      </c>
      <c r="P663" s="44" t="str">
        <f t="shared" si="3"/>
        <v>#DIV/0!</v>
      </c>
      <c r="Q663" s="44"/>
    </row>
    <row r="664">
      <c r="A664" s="38" t="s">
        <v>2415</v>
      </c>
      <c r="B664" s="39" t="s">
        <v>2416</v>
      </c>
      <c r="C664" s="40" t="s">
        <v>2417</v>
      </c>
      <c r="D664" s="41" t="s">
        <v>2418</v>
      </c>
      <c r="E664" s="51"/>
      <c r="F664" s="51"/>
      <c r="G664" s="51"/>
      <c r="H664" s="44"/>
      <c r="I664" s="44"/>
      <c r="J664" s="44"/>
      <c r="K664" s="44"/>
      <c r="L664" s="44"/>
      <c r="M664" s="44" t="str">
        <f t="shared" si="1"/>
        <v>#DIV/0!</v>
      </c>
      <c r="N664" s="44" t="str">
        <f t="shared" si="2"/>
        <v>#DIV/0!</v>
      </c>
      <c r="O664" s="44" t="str">
        <f t="shared" si="4"/>
        <v/>
      </c>
      <c r="P664" s="44" t="str">
        <f t="shared" si="3"/>
        <v>#DIV/0!</v>
      </c>
      <c r="Q664" s="44"/>
    </row>
    <row r="665">
      <c r="A665" s="38" t="s">
        <v>2419</v>
      </c>
      <c r="B665" s="39" t="s">
        <v>2420</v>
      </c>
      <c r="C665" s="40" t="s">
        <v>2196</v>
      </c>
      <c r="D665" s="42" t="s">
        <v>864</v>
      </c>
      <c r="E665" s="51"/>
      <c r="F665" s="51"/>
      <c r="G665" s="51"/>
      <c r="H665" s="44"/>
      <c r="I665" s="44"/>
      <c r="J665" s="44"/>
      <c r="K665" s="44"/>
      <c r="L665" s="44"/>
      <c r="M665" s="44" t="str">
        <f t="shared" si="1"/>
        <v>#DIV/0!</v>
      </c>
      <c r="N665" s="44" t="str">
        <f t="shared" si="2"/>
        <v>#DIV/0!</v>
      </c>
      <c r="O665" s="44" t="str">
        <f t="shared" si="4"/>
        <v/>
      </c>
      <c r="P665" s="44" t="str">
        <f t="shared" si="3"/>
        <v>#DIV/0!</v>
      </c>
      <c r="Q665" s="44"/>
    </row>
    <row r="666">
      <c r="A666" s="38" t="s">
        <v>2421</v>
      </c>
      <c r="B666" s="39" t="s">
        <v>2422</v>
      </c>
      <c r="C666" s="40" t="s">
        <v>5178</v>
      </c>
      <c r="D666" s="41" t="s">
        <v>2424</v>
      </c>
      <c r="E666" s="51"/>
      <c r="F666" s="51"/>
      <c r="G666" s="51"/>
      <c r="H666" s="44"/>
      <c r="I666" s="44"/>
      <c r="J666" s="44"/>
      <c r="K666" s="44"/>
      <c r="L666" s="44"/>
      <c r="M666" s="44" t="str">
        <f t="shared" si="1"/>
        <v>#DIV/0!</v>
      </c>
      <c r="N666" s="44" t="str">
        <f t="shared" si="2"/>
        <v>#DIV/0!</v>
      </c>
      <c r="O666" s="44" t="str">
        <f t="shared" si="4"/>
        <v/>
      </c>
      <c r="P666" s="44" t="str">
        <f t="shared" si="3"/>
        <v>#DIV/0!</v>
      </c>
      <c r="Q666" s="44"/>
    </row>
    <row r="667">
      <c r="A667" s="38" t="s">
        <v>2425</v>
      </c>
      <c r="B667" s="39" t="s">
        <v>2426</v>
      </c>
      <c r="C667" s="40" t="s">
        <v>5179</v>
      </c>
      <c r="D667" s="42" t="s">
        <v>5180</v>
      </c>
      <c r="E667" s="51"/>
      <c r="F667" s="51"/>
      <c r="G667" s="51"/>
      <c r="H667" s="44"/>
      <c r="I667" s="44"/>
      <c r="J667" s="44"/>
      <c r="K667" s="44"/>
      <c r="L667" s="44"/>
      <c r="M667" s="44" t="str">
        <f t="shared" si="1"/>
        <v>#DIV/0!</v>
      </c>
      <c r="N667" s="44" t="str">
        <f t="shared" si="2"/>
        <v>#DIV/0!</v>
      </c>
      <c r="O667" s="44" t="str">
        <f t="shared" si="4"/>
        <v/>
      </c>
      <c r="P667" s="44" t="str">
        <f t="shared" si="3"/>
        <v>#DIV/0!</v>
      </c>
      <c r="Q667" s="44"/>
    </row>
    <row r="668">
      <c r="A668" s="38" t="s">
        <v>2429</v>
      </c>
      <c r="B668" s="39" t="s">
        <v>2430</v>
      </c>
      <c r="C668" s="40" t="s">
        <v>5181</v>
      </c>
      <c r="D668" s="42" t="s">
        <v>5182</v>
      </c>
      <c r="E668" s="51"/>
      <c r="F668" s="51"/>
      <c r="G668" s="51"/>
      <c r="H668" s="44"/>
      <c r="I668" s="44"/>
      <c r="J668" s="44"/>
      <c r="K668" s="44"/>
      <c r="L668" s="44"/>
      <c r="M668" s="44" t="str">
        <f t="shared" si="1"/>
        <v>#DIV/0!</v>
      </c>
      <c r="N668" s="44" t="str">
        <f t="shared" si="2"/>
        <v>#DIV/0!</v>
      </c>
      <c r="O668" s="44" t="str">
        <f t="shared" si="4"/>
        <v/>
      </c>
      <c r="P668" s="44" t="str">
        <f t="shared" si="3"/>
        <v>#DIV/0!</v>
      </c>
      <c r="Q668" s="44"/>
    </row>
    <row r="669">
      <c r="A669" s="38" t="s">
        <v>2433</v>
      </c>
      <c r="B669" s="39" t="s">
        <v>2434</v>
      </c>
      <c r="C669" s="40" t="s">
        <v>5183</v>
      </c>
      <c r="D669" s="42" t="s">
        <v>864</v>
      </c>
      <c r="E669" s="51"/>
      <c r="F669" s="51"/>
      <c r="G669" s="51"/>
      <c r="H669" s="44"/>
      <c r="I669" s="44"/>
      <c r="J669" s="44"/>
      <c r="K669" s="44"/>
      <c r="L669" s="44"/>
      <c r="M669" s="44" t="str">
        <f t="shared" si="1"/>
        <v>#DIV/0!</v>
      </c>
      <c r="N669" s="44" t="str">
        <f t="shared" si="2"/>
        <v>#DIV/0!</v>
      </c>
      <c r="O669" s="44" t="str">
        <f t="shared" si="4"/>
        <v/>
      </c>
      <c r="P669" s="44" t="str">
        <f t="shared" si="3"/>
        <v>#DIV/0!</v>
      </c>
      <c r="Q669" s="44"/>
    </row>
    <row r="670">
      <c r="A670" s="38" t="s">
        <v>2435</v>
      </c>
      <c r="B670" s="39" t="s">
        <v>2436</v>
      </c>
      <c r="C670" s="40" t="s">
        <v>5184</v>
      </c>
      <c r="D670" s="42" t="s">
        <v>5185</v>
      </c>
      <c r="E670" s="51"/>
      <c r="F670" s="51"/>
      <c r="G670" s="51"/>
      <c r="H670" s="44"/>
      <c r="I670" s="44"/>
      <c r="J670" s="44"/>
      <c r="K670" s="44"/>
      <c r="L670" s="44"/>
      <c r="M670" s="44" t="str">
        <f t="shared" si="1"/>
        <v>#DIV/0!</v>
      </c>
      <c r="N670" s="44" t="str">
        <f t="shared" si="2"/>
        <v>#DIV/0!</v>
      </c>
      <c r="O670" s="44" t="str">
        <f t="shared" si="4"/>
        <v/>
      </c>
      <c r="P670" s="44" t="str">
        <f t="shared" si="3"/>
        <v>#DIV/0!</v>
      </c>
      <c r="Q670" s="44"/>
    </row>
    <row r="671">
      <c r="A671" s="38" t="s">
        <v>2439</v>
      </c>
      <c r="B671" s="39" t="s">
        <v>2440</v>
      </c>
      <c r="C671" s="40" t="s">
        <v>681</v>
      </c>
      <c r="D671" s="41" t="s">
        <v>445</v>
      </c>
      <c r="E671" s="51"/>
      <c r="F671" s="51"/>
      <c r="G671" s="51"/>
      <c r="H671" s="44"/>
      <c r="I671" s="44"/>
      <c r="J671" s="44"/>
      <c r="K671" s="44"/>
      <c r="L671" s="44"/>
      <c r="M671" s="44" t="str">
        <f t="shared" si="1"/>
        <v>#DIV/0!</v>
      </c>
      <c r="N671" s="44" t="str">
        <f t="shared" si="2"/>
        <v>#DIV/0!</v>
      </c>
      <c r="O671" s="44" t="str">
        <f t="shared" si="4"/>
        <v/>
      </c>
      <c r="P671" s="44" t="str">
        <f t="shared" si="3"/>
        <v>#DIV/0!</v>
      </c>
      <c r="Q671" s="44"/>
    </row>
    <row r="672">
      <c r="A672" s="38" t="s">
        <v>2441</v>
      </c>
      <c r="B672" s="39" t="s">
        <v>2442</v>
      </c>
      <c r="C672" s="40" t="s">
        <v>2443</v>
      </c>
      <c r="D672" s="42" t="s">
        <v>2444</v>
      </c>
      <c r="E672" s="51"/>
      <c r="F672" s="51"/>
      <c r="G672" s="51"/>
      <c r="H672" s="44"/>
      <c r="I672" s="44"/>
      <c r="J672" s="44"/>
      <c r="K672" s="44"/>
      <c r="L672" s="44"/>
      <c r="M672" s="44" t="str">
        <f t="shared" si="1"/>
        <v>#DIV/0!</v>
      </c>
      <c r="N672" s="44" t="str">
        <f t="shared" si="2"/>
        <v>#DIV/0!</v>
      </c>
      <c r="O672" s="44" t="str">
        <f t="shared" si="4"/>
        <v/>
      </c>
      <c r="P672" s="44" t="str">
        <f t="shared" si="3"/>
        <v>#DIV/0!</v>
      </c>
      <c r="Q672" s="44"/>
    </row>
    <row r="673">
      <c r="A673" s="38" t="s">
        <v>2445</v>
      </c>
      <c r="B673" s="39" t="s">
        <v>2446</v>
      </c>
      <c r="C673" s="40" t="s">
        <v>2447</v>
      </c>
      <c r="D673" s="42" t="s">
        <v>5186</v>
      </c>
      <c r="E673" s="51"/>
      <c r="F673" s="51"/>
      <c r="G673" s="51"/>
      <c r="H673" s="44"/>
      <c r="I673" s="44"/>
      <c r="J673" s="44"/>
      <c r="K673" s="44"/>
      <c r="L673" s="44"/>
      <c r="M673" s="44" t="str">
        <f t="shared" si="1"/>
        <v>#DIV/0!</v>
      </c>
      <c r="N673" s="44" t="str">
        <f t="shared" si="2"/>
        <v>#DIV/0!</v>
      </c>
      <c r="O673" s="44" t="str">
        <f t="shared" si="4"/>
        <v/>
      </c>
      <c r="P673" s="44" t="str">
        <f t="shared" si="3"/>
        <v>#DIV/0!</v>
      </c>
      <c r="Q673" s="44"/>
    </row>
    <row r="674">
      <c r="A674" s="38" t="s">
        <v>2449</v>
      </c>
      <c r="B674" s="39" t="s">
        <v>2450</v>
      </c>
      <c r="C674" s="40" t="s">
        <v>5187</v>
      </c>
      <c r="D674" s="42" t="s">
        <v>5188</v>
      </c>
      <c r="E674" s="51"/>
      <c r="F674" s="51"/>
      <c r="G674" s="51"/>
      <c r="H674" s="44"/>
      <c r="I674" s="44"/>
      <c r="J674" s="44"/>
      <c r="K674" s="44"/>
      <c r="L674" s="44"/>
      <c r="M674" s="44" t="str">
        <f t="shared" si="1"/>
        <v>#DIV/0!</v>
      </c>
      <c r="N674" s="44" t="str">
        <f t="shared" si="2"/>
        <v>#DIV/0!</v>
      </c>
      <c r="O674" s="44" t="str">
        <f t="shared" si="4"/>
        <v/>
      </c>
      <c r="P674" s="44" t="str">
        <f t="shared" si="3"/>
        <v>#DIV/0!</v>
      </c>
      <c r="Q674" s="44"/>
    </row>
    <row r="675">
      <c r="A675" s="38" t="s">
        <v>2453</v>
      </c>
      <c r="B675" s="39" t="s">
        <v>2454</v>
      </c>
      <c r="C675" s="40" t="s">
        <v>5189</v>
      </c>
      <c r="D675" s="42" t="s">
        <v>2456</v>
      </c>
      <c r="E675" s="51"/>
      <c r="F675" s="51"/>
      <c r="G675" s="51"/>
      <c r="H675" s="44"/>
      <c r="I675" s="44"/>
      <c r="J675" s="44"/>
      <c r="K675" s="44"/>
      <c r="L675" s="44"/>
      <c r="M675" s="44" t="str">
        <f t="shared" si="1"/>
        <v>#DIV/0!</v>
      </c>
      <c r="N675" s="44" t="str">
        <f t="shared" si="2"/>
        <v>#DIV/0!</v>
      </c>
      <c r="O675" s="44" t="str">
        <f t="shared" si="4"/>
        <v/>
      </c>
      <c r="P675" s="44" t="str">
        <f t="shared" si="3"/>
        <v>#DIV/0!</v>
      </c>
      <c r="Q675" s="44"/>
    </row>
    <row r="676">
      <c r="A676" s="38" t="s">
        <v>2457</v>
      </c>
      <c r="B676" s="39" t="s">
        <v>2458</v>
      </c>
      <c r="C676" s="40" t="s">
        <v>5190</v>
      </c>
      <c r="D676" s="42" t="s">
        <v>2460</v>
      </c>
      <c r="E676" s="51"/>
      <c r="F676" s="51"/>
      <c r="G676" s="51"/>
      <c r="H676" s="44"/>
      <c r="I676" s="44"/>
      <c r="J676" s="44"/>
      <c r="K676" s="44"/>
      <c r="L676" s="44"/>
      <c r="M676" s="44" t="str">
        <f t="shared" si="1"/>
        <v>#DIV/0!</v>
      </c>
      <c r="N676" s="44" t="str">
        <f t="shared" si="2"/>
        <v>#DIV/0!</v>
      </c>
      <c r="O676" s="44" t="str">
        <f t="shared" si="4"/>
        <v/>
      </c>
      <c r="P676" s="44" t="str">
        <f t="shared" si="3"/>
        <v>#DIV/0!</v>
      </c>
      <c r="Q676" s="44"/>
    </row>
    <row r="677">
      <c r="A677" s="38" t="s">
        <v>2461</v>
      </c>
      <c r="B677" s="39" t="s">
        <v>2462</v>
      </c>
      <c r="C677" s="40" t="s">
        <v>3231</v>
      </c>
      <c r="D677" s="42" t="s">
        <v>4847</v>
      </c>
      <c r="E677" s="51"/>
      <c r="F677" s="51"/>
      <c r="G677" s="51"/>
      <c r="H677" s="44"/>
      <c r="I677" s="44"/>
      <c r="J677" s="44"/>
      <c r="K677" s="44"/>
      <c r="L677" s="44"/>
      <c r="M677" s="44" t="str">
        <f t="shared" si="1"/>
        <v>#DIV/0!</v>
      </c>
      <c r="N677" s="44" t="str">
        <f t="shared" si="2"/>
        <v>#DIV/0!</v>
      </c>
      <c r="O677" s="44" t="str">
        <f t="shared" si="4"/>
        <v/>
      </c>
      <c r="P677" s="44" t="str">
        <f t="shared" si="3"/>
        <v>#DIV/0!</v>
      </c>
      <c r="Q677" s="44"/>
    </row>
    <row r="678">
      <c r="A678" s="38" t="s">
        <v>2465</v>
      </c>
      <c r="B678" s="39" t="s">
        <v>2466</v>
      </c>
      <c r="C678" s="40" t="s">
        <v>5191</v>
      </c>
      <c r="D678" s="42" t="s">
        <v>5192</v>
      </c>
      <c r="E678" s="51"/>
      <c r="F678" s="51"/>
      <c r="G678" s="51"/>
      <c r="H678" s="44"/>
      <c r="I678" s="44"/>
      <c r="J678" s="44"/>
      <c r="K678" s="44"/>
      <c r="L678" s="44"/>
      <c r="M678" s="44" t="str">
        <f t="shared" si="1"/>
        <v>#DIV/0!</v>
      </c>
      <c r="N678" s="44" t="str">
        <f t="shared" si="2"/>
        <v>#DIV/0!</v>
      </c>
      <c r="O678" s="44" t="str">
        <f t="shared" si="4"/>
        <v/>
      </c>
      <c r="P678" s="44" t="str">
        <f t="shared" si="3"/>
        <v>#DIV/0!</v>
      </c>
      <c r="Q678" s="44"/>
    </row>
    <row r="679">
      <c r="A679" s="38" t="s">
        <v>2469</v>
      </c>
      <c r="B679" s="39" t="s">
        <v>2470</v>
      </c>
      <c r="C679" s="40" t="s">
        <v>5193</v>
      </c>
      <c r="D679" s="42" t="s">
        <v>5194</v>
      </c>
      <c r="E679" s="51"/>
      <c r="F679" s="51"/>
      <c r="G679" s="51"/>
      <c r="H679" s="44"/>
      <c r="I679" s="44"/>
      <c r="J679" s="44"/>
      <c r="K679" s="44"/>
      <c r="L679" s="44"/>
      <c r="M679" s="44" t="str">
        <f t="shared" si="1"/>
        <v>#DIV/0!</v>
      </c>
      <c r="N679" s="44" t="str">
        <f t="shared" si="2"/>
        <v>#DIV/0!</v>
      </c>
      <c r="O679" s="44" t="str">
        <f t="shared" si="4"/>
        <v/>
      </c>
      <c r="P679" s="44" t="str">
        <f t="shared" si="3"/>
        <v>#DIV/0!</v>
      </c>
      <c r="Q679" s="44"/>
    </row>
    <row r="680">
      <c r="A680" s="38" t="s">
        <v>2473</v>
      </c>
      <c r="B680" s="39" t="s">
        <v>2474</v>
      </c>
      <c r="C680" s="40" t="s">
        <v>2475</v>
      </c>
      <c r="D680" s="41" t="s">
        <v>2476</v>
      </c>
      <c r="E680" s="51"/>
      <c r="F680" s="51"/>
      <c r="G680" s="51"/>
      <c r="H680" s="44"/>
      <c r="I680" s="44"/>
      <c r="J680" s="44"/>
      <c r="K680" s="44"/>
      <c r="L680" s="44"/>
      <c r="M680" s="44" t="str">
        <f t="shared" si="1"/>
        <v>#DIV/0!</v>
      </c>
      <c r="N680" s="44" t="str">
        <f t="shared" si="2"/>
        <v>#DIV/0!</v>
      </c>
      <c r="O680" s="44" t="str">
        <f t="shared" si="4"/>
        <v/>
      </c>
      <c r="P680" s="44" t="str">
        <f t="shared" si="3"/>
        <v>#DIV/0!</v>
      </c>
      <c r="Q680" s="44"/>
    </row>
    <row r="681">
      <c r="A681" s="38" t="s">
        <v>2477</v>
      </c>
      <c r="B681" s="39" t="s">
        <v>2478</v>
      </c>
      <c r="C681" s="40" t="s">
        <v>5195</v>
      </c>
      <c r="D681" s="42" t="s">
        <v>5196</v>
      </c>
      <c r="E681" s="51"/>
      <c r="F681" s="51"/>
      <c r="G681" s="51"/>
      <c r="H681" s="44"/>
      <c r="I681" s="44"/>
      <c r="J681" s="44"/>
      <c r="K681" s="44"/>
      <c r="L681" s="44"/>
      <c r="M681" s="44" t="str">
        <f t="shared" si="1"/>
        <v>#DIV/0!</v>
      </c>
      <c r="N681" s="44" t="str">
        <f t="shared" si="2"/>
        <v>#DIV/0!</v>
      </c>
      <c r="O681" s="44" t="str">
        <f t="shared" si="4"/>
        <v/>
      </c>
      <c r="P681" s="44" t="str">
        <f t="shared" si="3"/>
        <v>#DIV/0!</v>
      </c>
      <c r="Q681" s="44"/>
    </row>
    <row r="682">
      <c r="A682" s="38" t="s">
        <v>2481</v>
      </c>
      <c r="B682" s="39" t="s">
        <v>2482</v>
      </c>
      <c r="C682" s="40" t="s">
        <v>172</v>
      </c>
      <c r="D682" s="41" t="s">
        <v>173</v>
      </c>
      <c r="E682" s="51"/>
      <c r="F682" s="51"/>
      <c r="G682" s="51"/>
      <c r="H682" s="44"/>
      <c r="I682" s="44"/>
      <c r="J682" s="44"/>
      <c r="K682" s="44"/>
      <c r="L682" s="44"/>
      <c r="M682" s="44" t="str">
        <f t="shared" si="1"/>
        <v>#DIV/0!</v>
      </c>
      <c r="N682" s="44" t="str">
        <f t="shared" si="2"/>
        <v>#DIV/0!</v>
      </c>
      <c r="O682" s="44" t="str">
        <f t="shared" si="4"/>
        <v/>
      </c>
      <c r="P682" s="44" t="str">
        <f t="shared" si="3"/>
        <v>#DIV/0!</v>
      </c>
      <c r="Q682" s="44"/>
    </row>
    <row r="683">
      <c r="A683" s="38" t="s">
        <v>2483</v>
      </c>
      <c r="B683" s="39" t="s">
        <v>2484</v>
      </c>
      <c r="C683" s="40" t="s">
        <v>2485</v>
      </c>
      <c r="D683" s="42" t="s">
        <v>4933</v>
      </c>
      <c r="E683" s="51"/>
      <c r="F683" s="51"/>
      <c r="G683" s="51"/>
      <c r="H683" s="44"/>
      <c r="I683" s="44"/>
      <c r="J683" s="44"/>
      <c r="K683" s="44"/>
      <c r="L683" s="44"/>
      <c r="M683" s="44" t="str">
        <f t="shared" si="1"/>
        <v>#DIV/0!</v>
      </c>
      <c r="N683" s="44" t="str">
        <f t="shared" si="2"/>
        <v>#DIV/0!</v>
      </c>
      <c r="O683" s="44" t="str">
        <f t="shared" si="4"/>
        <v/>
      </c>
      <c r="P683" s="44" t="str">
        <f t="shared" si="3"/>
        <v>#DIV/0!</v>
      </c>
      <c r="Q683" s="44"/>
    </row>
    <row r="684">
      <c r="A684" s="38" t="s">
        <v>2487</v>
      </c>
      <c r="B684" s="39" t="s">
        <v>2488</v>
      </c>
      <c r="C684" s="40" t="s">
        <v>2489</v>
      </c>
      <c r="D684" s="42" t="s">
        <v>5197</v>
      </c>
      <c r="E684" s="51"/>
      <c r="F684" s="51"/>
      <c r="G684" s="51"/>
      <c r="H684" s="44"/>
      <c r="I684" s="44"/>
      <c r="J684" s="44"/>
      <c r="K684" s="44"/>
      <c r="L684" s="44"/>
      <c r="M684" s="44" t="str">
        <f t="shared" si="1"/>
        <v>#DIV/0!</v>
      </c>
      <c r="N684" s="44" t="str">
        <f t="shared" si="2"/>
        <v>#DIV/0!</v>
      </c>
      <c r="O684" s="44" t="str">
        <f t="shared" si="4"/>
        <v/>
      </c>
      <c r="P684" s="44" t="str">
        <f t="shared" si="3"/>
        <v>#DIV/0!</v>
      </c>
      <c r="Q684" s="44"/>
    </row>
    <row r="685">
      <c r="A685" s="38" t="s">
        <v>2491</v>
      </c>
      <c r="B685" s="39" t="s">
        <v>2492</v>
      </c>
      <c r="C685" s="40" t="s">
        <v>5198</v>
      </c>
      <c r="D685" s="42" t="s">
        <v>5199</v>
      </c>
      <c r="E685" s="51"/>
      <c r="F685" s="51"/>
      <c r="G685" s="51"/>
      <c r="H685" s="44"/>
      <c r="I685" s="44"/>
      <c r="J685" s="44"/>
      <c r="K685" s="44"/>
      <c r="L685" s="44"/>
      <c r="M685" s="44" t="str">
        <f t="shared" si="1"/>
        <v>#DIV/0!</v>
      </c>
      <c r="N685" s="44" t="str">
        <f t="shared" si="2"/>
        <v>#DIV/0!</v>
      </c>
      <c r="O685" s="44" t="str">
        <f t="shared" si="4"/>
        <v/>
      </c>
      <c r="P685" s="44" t="str">
        <f t="shared" si="3"/>
        <v>#DIV/0!</v>
      </c>
      <c r="Q685" s="44"/>
    </row>
    <row r="686">
      <c r="A686" s="38" t="s">
        <v>2495</v>
      </c>
      <c r="B686" s="39" t="s">
        <v>2496</v>
      </c>
      <c r="C686" s="40" t="s">
        <v>2485</v>
      </c>
      <c r="D686" s="42" t="s">
        <v>4933</v>
      </c>
      <c r="E686" s="51"/>
      <c r="F686" s="51"/>
      <c r="G686" s="51"/>
      <c r="H686" s="44"/>
      <c r="I686" s="44"/>
      <c r="J686" s="44"/>
      <c r="K686" s="44"/>
      <c r="L686" s="44"/>
      <c r="M686" s="44" t="str">
        <f t="shared" si="1"/>
        <v>#DIV/0!</v>
      </c>
      <c r="N686" s="44" t="str">
        <f t="shared" si="2"/>
        <v>#DIV/0!</v>
      </c>
      <c r="O686" s="44" t="str">
        <f t="shared" si="4"/>
        <v/>
      </c>
      <c r="P686" s="44" t="str">
        <f t="shared" si="3"/>
        <v>#DIV/0!</v>
      </c>
      <c r="Q686" s="44"/>
    </row>
    <row r="687">
      <c r="A687" s="38" t="s">
        <v>2498</v>
      </c>
      <c r="B687" s="39" t="s">
        <v>2499</v>
      </c>
      <c r="C687" s="40" t="s">
        <v>1485</v>
      </c>
      <c r="D687" s="41" t="s">
        <v>284</v>
      </c>
      <c r="E687" s="51"/>
      <c r="F687" s="51"/>
      <c r="G687" s="51"/>
      <c r="H687" s="44"/>
      <c r="I687" s="44"/>
      <c r="J687" s="44"/>
      <c r="K687" s="44"/>
      <c r="L687" s="44"/>
      <c r="M687" s="44" t="str">
        <f t="shared" si="1"/>
        <v>#DIV/0!</v>
      </c>
      <c r="N687" s="44" t="str">
        <f t="shared" si="2"/>
        <v>#DIV/0!</v>
      </c>
      <c r="O687" s="44" t="str">
        <f t="shared" si="4"/>
        <v/>
      </c>
      <c r="P687" s="44" t="str">
        <f t="shared" si="3"/>
        <v>#DIV/0!</v>
      </c>
      <c r="Q687" s="44"/>
    </row>
    <row r="688">
      <c r="A688" s="38" t="s">
        <v>2500</v>
      </c>
      <c r="B688" s="39" t="s">
        <v>2501</v>
      </c>
      <c r="C688" s="40" t="s">
        <v>2502</v>
      </c>
      <c r="D688" s="42" t="s">
        <v>5200</v>
      </c>
      <c r="E688" s="51"/>
      <c r="F688" s="51"/>
      <c r="G688" s="51"/>
      <c r="H688" s="44"/>
      <c r="I688" s="44"/>
      <c r="J688" s="44"/>
      <c r="K688" s="44"/>
      <c r="L688" s="44"/>
      <c r="M688" s="44" t="str">
        <f t="shared" si="1"/>
        <v>#DIV/0!</v>
      </c>
      <c r="N688" s="44" t="str">
        <f t="shared" si="2"/>
        <v>#DIV/0!</v>
      </c>
      <c r="O688" s="44" t="str">
        <f t="shared" si="4"/>
        <v/>
      </c>
      <c r="P688" s="44" t="str">
        <f t="shared" si="3"/>
        <v>#DIV/0!</v>
      </c>
      <c r="Q688" s="44"/>
    </row>
    <row r="689">
      <c r="A689" s="38" t="s">
        <v>2504</v>
      </c>
      <c r="B689" s="39" t="s">
        <v>2505</v>
      </c>
      <c r="C689" s="40" t="s">
        <v>5201</v>
      </c>
      <c r="D689" s="42" t="s">
        <v>5202</v>
      </c>
      <c r="E689" s="51"/>
      <c r="F689" s="51"/>
      <c r="G689" s="51"/>
      <c r="H689" s="44"/>
      <c r="I689" s="44"/>
      <c r="J689" s="44"/>
      <c r="K689" s="44"/>
      <c r="L689" s="44"/>
      <c r="M689" s="44" t="str">
        <f t="shared" si="1"/>
        <v>#DIV/0!</v>
      </c>
      <c r="N689" s="44" t="str">
        <f t="shared" si="2"/>
        <v>#DIV/0!</v>
      </c>
      <c r="O689" s="44" t="str">
        <f t="shared" si="4"/>
        <v/>
      </c>
      <c r="P689" s="44" t="str">
        <f t="shared" si="3"/>
        <v>#DIV/0!</v>
      </c>
      <c r="Q689" s="44"/>
    </row>
    <row r="690">
      <c r="A690" s="38" t="s">
        <v>2508</v>
      </c>
      <c r="B690" s="39" t="s">
        <v>2509</v>
      </c>
      <c r="C690" s="40" t="s">
        <v>2510</v>
      </c>
      <c r="D690" s="41" t="s">
        <v>2511</v>
      </c>
      <c r="E690" s="51"/>
      <c r="F690" s="51"/>
      <c r="G690" s="51"/>
      <c r="H690" s="44"/>
      <c r="I690" s="44"/>
      <c r="J690" s="44"/>
      <c r="K690" s="44"/>
      <c r="L690" s="44"/>
      <c r="M690" s="44" t="str">
        <f t="shared" si="1"/>
        <v>#DIV/0!</v>
      </c>
      <c r="N690" s="44" t="str">
        <f t="shared" si="2"/>
        <v>#DIV/0!</v>
      </c>
      <c r="O690" s="44" t="str">
        <f t="shared" si="4"/>
        <v/>
      </c>
      <c r="P690" s="44" t="str">
        <f t="shared" si="3"/>
        <v>#DIV/0!</v>
      </c>
      <c r="Q690" s="44"/>
    </row>
    <row r="691">
      <c r="A691" s="38" t="s">
        <v>2512</v>
      </c>
      <c r="B691" s="39" t="s">
        <v>2513</v>
      </c>
      <c r="C691" s="40" t="s">
        <v>2514</v>
      </c>
      <c r="D691" s="42" t="s">
        <v>5203</v>
      </c>
      <c r="E691" s="51"/>
      <c r="F691" s="51"/>
      <c r="G691" s="51"/>
      <c r="H691" s="44"/>
      <c r="I691" s="44"/>
      <c r="J691" s="44"/>
      <c r="K691" s="44"/>
      <c r="L691" s="44"/>
      <c r="M691" s="44" t="str">
        <f t="shared" si="1"/>
        <v>#DIV/0!</v>
      </c>
      <c r="N691" s="44" t="str">
        <f t="shared" si="2"/>
        <v>#DIV/0!</v>
      </c>
      <c r="O691" s="44" t="str">
        <f t="shared" si="4"/>
        <v/>
      </c>
      <c r="P691" s="44" t="str">
        <f t="shared" si="3"/>
        <v>#DIV/0!</v>
      </c>
      <c r="Q691" s="44"/>
    </row>
    <row r="692">
      <c r="A692" s="38" t="s">
        <v>2516</v>
      </c>
      <c r="B692" s="39" t="s">
        <v>2517</v>
      </c>
      <c r="C692" s="40" t="s">
        <v>184</v>
      </c>
      <c r="D692" s="41" t="s">
        <v>185</v>
      </c>
      <c r="E692" s="51"/>
      <c r="F692" s="51"/>
      <c r="G692" s="51"/>
      <c r="H692" s="44"/>
      <c r="I692" s="44"/>
      <c r="J692" s="44"/>
      <c r="K692" s="44"/>
      <c r="L692" s="44"/>
      <c r="M692" s="44" t="str">
        <f t="shared" si="1"/>
        <v>#DIV/0!</v>
      </c>
      <c r="N692" s="44" t="str">
        <f t="shared" si="2"/>
        <v>#DIV/0!</v>
      </c>
      <c r="O692" s="44" t="str">
        <f t="shared" si="4"/>
        <v/>
      </c>
      <c r="P692" s="44" t="str">
        <f t="shared" si="3"/>
        <v>#DIV/0!</v>
      </c>
      <c r="Q692" s="44"/>
    </row>
    <row r="693">
      <c r="A693" s="38" t="s">
        <v>2519</v>
      </c>
      <c r="B693" s="39" t="s">
        <v>2520</v>
      </c>
      <c r="C693" s="40" t="s">
        <v>5204</v>
      </c>
      <c r="D693" s="42" t="s">
        <v>5205</v>
      </c>
      <c r="E693" s="51"/>
      <c r="F693" s="51"/>
      <c r="G693" s="51"/>
      <c r="H693" s="44"/>
      <c r="I693" s="44"/>
      <c r="J693" s="44"/>
      <c r="K693" s="44"/>
      <c r="L693" s="44"/>
      <c r="M693" s="44" t="str">
        <f t="shared" si="1"/>
        <v>#DIV/0!</v>
      </c>
      <c r="N693" s="44" t="str">
        <f t="shared" si="2"/>
        <v>#DIV/0!</v>
      </c>
      <c r="O693" s="44" t="str">
        <f t="shared" si="4"/>
        <v/>
      </c>
      <c r="P693" s="44" t="str">
        <f t="shared" si="3"/>
        <v>#DIV/0!</v>
      </c>
      <c r="Q693" s="44"/>
    </row>
    <row r="694">
      <c r="A694" s="38" t="s">
        <v>2523</v>
      </c>
      <c r="B694" s="39" t="s">
        <v>2524</v>
      </c>
      <c r="C694" s="40" t="s">
        <v>2193</v>
      </c>
      <c r="D694" s="41" t="s">
        <v>205</v>
      </c>
      <c r="E694" s="51"/>
      <c r="F694" s="51"/>
      <c r="G694" s="51"/>
      <c r="H694" s="44"/>
      <c r="I694" s="44"/>
      <c r="J694" s="44"/>
      <c r="K694" s="44"/>
      <c r="L694" s="44"/>
      <c r="M694" s="44" t="str">
        <f t="shared" si="1"/>
        <v>#DIV/0!</v>
      </c>
      <c r="N694" s="44" t="str">
        <f t="shared" si="2"/>
        <v>#DIV/0!</v>
      </c>
      <c r="O694" s="44" t="str">
        <f t="shared" si="4"/>
        <v/>
      </c>
      <c r="P694" s="44" t="str">
        <f t="shared" si="3"/>
        <v>#DIV/0!</v>
      </c>
      <c r="Q694" s="44"/>
    </row>
    <row r="695">
      <c r="A695" s="38" t="s">
        <v>2526</v>
      </c>
      <c r="B695" s="39" t="s">
        <v>2527</v>
      </c>
      <c r="C695" s="40" t="s">
        <v>2528</v>
      </c>
      <c r="D695" s="42" t="s">
        <v>2529</v>
      </c>
      <c r="E695" s="51"/>
      <c r="F695" s="51"/>
      <c r="G695" s="51"/>
      <c r="H695" s="44"/>
      <c r="I695" s="44"/>
      <c r="J695" s="44"/>
      <c r="K695" s="44"/>
      <c r="L695" s="44"/>
      <c r="M695" s="44" t="str">
        <f t="shared" si="1"/>
        <v>#DIV/0!</v>
      </c>
      <c r="N695" s="44" t="str">
        <f t="shared" si="2"/>
        <v>#DIV/0!</v>
      </c>
      <c r="O695" s="44" t="str">
        <f t="shared" si="4"/>
        <v/>
      </c>
      <c r="P695" s="44" t="str">
        <f t="shared" si="3"/>
        <v>#DIV/0!</v>
      </c>
      <c r="Q695" s="44"/>
    </row>
    <row r="696">
      <c r="A696" s="38" t="s">
        <v>2530</v>
      </c>
      <c r="B696" s="39" t="s">
        <v>2531</v>
      </c>
      <c r="C696" s="40" t="s">
        <v>5206</v>
      </c>
      <c r="D696" s="41" t="s">
        <v>5207</v>
      </c>
      <c r="E696" s="51"/>
      <c r="F696" s="51"/>
      <c r="G696" s="51"/>
      <c r="H696" s="44"/>
      <c r="I696" s="44"/>
      <c r="J696" s="44"/>
      <c r="K696" s="44"/>
      <c r="L696" s="44"/>
      <c r="M696" s="44" t="str">
        <f t="shared" si="1"/>
        <v>#DIV/0!</v>
      </c>
      <c r="N696" s="44" t="str">
        <f t="shared" si="2"/>
        <v>#DIV/0!</v>
      </c>
      <c r="O696" s="44" t="str">
        <f t="shared" si="4"/>
        <v/>
      </c>
      <c r="P696" s="44" t="str">
        <f t="shared" si="3"/>
        <v>#DIV/0!</v>
      </c>
      <c r="Q696" s="44"/>
    </row>
    <row r="697">
      <c r="A697" s="38" t="s">
        <v>2532</v>
      </c>
      <c r="B697" s="39" t="s">
        <v>2533</v>
      </c>
      <c r="C697" s="40" t="s">
        <v>2534</v>
      </c>
      <c r="D697" s="42" t="s">
        <v>5208</v>
      </c>
      <c r="E697" s="51"/>
      <c r="F697" s="51"/>
      <c r="G697" s="51"/>
      <c r="H697" s="44"/>
      <c r="I697" s="44"/>
      <c r="J697" s="44"/>
      <c r="K697" s="44"/>
      <c r="L697" s="44"/>
      <c r="M697" s="44" t="str">
        <f t="shared" si="1"/>
        <v>#DIV/0!</v>
      </c>
      <c r="N697" s="44" t="str">
        <f t="shared" si="2"/>
        <v>#DIV/0!</v>
      </c>
      <c r="O697" s="44" t="str">
        <f t="shared" si="4"/>
        <v/>
      </c>
      <c r="P697" s="44" t="str">
        <f t="shared" si="3"/>
        <v>#DIV/0!</v>
      </c>
      <c r="Q697" s="44"/>
    </row>
    <row r="698">
      <c r="A698" s="38" t="s">
        <v>2536</v>
      </c>
      <c r="B698" s="39" t="s">
        <v>2537</v>
      </c>
      <c r="C698" s="40" t="s">
        <v>508</v>
      </c>
      <c r="D698" s="41" t="s">
        <v>509</v>
      </c>
      <c r="E698" s="51"/>
      <c r="F698" s="51"/>
      <c r="G698" s="51"/>
      <c r="H698" s="44"/>
      <c r="I698" s="44"/>
      <c r="J698" s="44"/>
      <c r="K698" s="44"/>
      <c r="L698" s="44"/>
      <c r="M698" s="44" t="str">
        <f t="shared" si="1"/>
        <v>#DIV/0!</v>
      </c>
      <c r="N698" s="44" t="str">
        <f t="shared" si="2"/>
        <v>#DIV/0!</v>
      </c>
      <c r="O698" s="44" t="str">
        <f t="shared" si="4"/>
        <v/>
      </c>
      <c r="P698" s="44" t="str">
        <f t="shared" si="3"/>
        <v>#DIV/0!</v>
      </c>
      <c r="Q698" s="44"/>
    </row>
    <row r="699">
      <c r="A699" s="38" t="s">
        <v>2538</v>
      </c>
      <c r="B699" s="39" t="s">
        <v>2539</v>
      </c>
      <c r="C699" s="40" t="s">
        <v>2540</v>
      </c>
      <c r="D699" s="42" t="s">
        <v>2541</v>
      </c>
      <c r="E699" s="51"/>
      <c r="F699" s="51"/>
      <c r="G699" s="51"/>
      <c r="H699" s="44"/>
      <c r="I699" s="44"/>
      <c r="J699" s="44"/>
      <c r="K699" s="44"/>
      <c r="L699" s="44"/>
      <c r="M699" s="44" t="str">
        <f t="shared" si="1"/>
        <v>#DIV/0!</v>
      </c>
      <c r="N699" s="44" t="str">
        <f t="shared" si="2"/>
        <v>#DIV/0!</v>
      </c>
      <c r="O699" s="44" t="str">
        <f t="shared" si="4"/>
        <v/>
      </c>
      <c r="P699" s="44" t="str">
        <f t="shared" si="3"/>
        <v>#DIV/0!</v>
      </c>
      <c r="Q699" s="44"/>
    </row>
    <row r="700">
      <c r="A700" s="38" t="s">
        <v>2542</v>
      </c>
      <c r="B700" s="39" t="s">
        <v>2543</v>
      </c>
      <c r="C700" s="40" t="s">
        <v>477</v>
      </c>
      <c r="D700" s="41" t="s">
        <v>478</v>
      </c>
      <c r="E700" s="51"/>
      <c r="F700" s="51"/>
      <c r="G700" s="51"/>
      <c r="H700" s="44"/>
      <c r="I700" s="44"/>
      <c r="J700" s="44"/>
      <c r="K700" s="44"/>
      <c r="L700" s="44"/>
      <c r="M700" s="44" t="str">
        <f t="shared" si="1"/>
        <v>#DIV/0!</v>
      </c>
      <c r="N700" s="44" t="str">
        <f t="shared" si="2"/>
        <v>#DIV/0!</v>
      </c>
      <c r="O700" s="44" t="str">
        <f t="shared" si="4"/>
        <v/>
      </c>
      <c r="P700" s="44" t="str">
        <f t="shared" si="3"/>
        <v>#DIV/0!</v>
      </c>
      <c r="Q700" s="44"/>
    </row>
    <row r="701">
      <c r="A701" s="38" t="s">
        <v>2544</v>
      </c>
      <c r="B701" s="39" t="s">
        <v>2545</v>
      </c>
      <c r="C701" s="40" t="s">
        <v>4978</v>
      </c>
      <c r="D701" s="41" t="s">
        <v>4979</v>
      </c>
      <c r="E701" s="51"/>
      <c r="F701" s="51"/>
      <c r="G701" s="51"/>
      <c r="H701" s="44"/>
      <c r="I701" s="44"/>
      <c r="J701" s="44"/>
      <c r="K701" s="44"/>
      <c r="L701" s="44"/>
      <c r="M701" s="44" t="str">
        <f t="shared" si="1"/>
        <v>#DIV/0!</v>
      </c>
      <c r="N701" s="44" t="str">
        <f t="shared" si="2"/>
        <v>#DIV/0!</v>
      </c>
      <c r="O701" s="44" t="str">
        <f t="shared" si="4"/>
        <v/>
      </c>
      <c r="P701" s="44" t="str">
        <f t="shared" si="3"/>
        <v>#DIV/0!</v>
      </c>
      <c r="Q701" s="44"/>
    </row>
    <row r="702">
      <c r="A702" s="38" t="s">
        <v>2547</v>
      </c>
      <c r="B702" s="39" t="s">
        <v>2548</v>
      </c>
      <c r="C702" s="40" t="s">
        <v>5209</v>
      </c>
      <c r="D702" s="42" t="s">
        <v>5210</v>
      </c>
      <c r="E702" s="51"/>
      <c r="F702" s="51"/>
      <c r="G702" s="51"/>
      <c r="H702" s="44"/>
      <c r="I702" s="44"/>
      <c r="J702" s="44"/>
      <c r="K702" s="44"/>
      <c r="L702" s="44"/>
      <c r="M702" s="44" t="str">
        <f t="shared" si="1"/>
        <v>#DIV/0!</v>
      </c>
      <c r="N702" s="44" t="str">
        <f t="shared" si="2"/>
        <v>#DIV/0!</v>
      </c>
      <c r="O702" s="44" t="str">
        <f t="shared" si="4"/>
        <v/>
      </c>
      <c r="P702" s="44" t="str">
        <f t="shared" si="3"/>
        <v>#DIV/0!</v>
      </c>
      <c r="Q702" s="44"/>
    </row>
    <row r="703">
      <c r="A703" s="38" t="s">
        <v>2551</v>
      </c>
      <c r="B703" s="39" t="s">
        <v>2552</v>
      </c>
      <c r="C703" s="40" t="s">
        <v>1174</v>
      </c>
      <c r="D703" s="41" t="s">
        <v>844</v>
      </c>
      <c r="E703" s="51"/>
      <c r="F703" s="51"/>
      <c r="G703" s="51"/>
      <c r="H703" s="44"/>
      <c r="I703" s="44"/>
      <c r="J703" s="44"/>
      <c r="K703" s="44"/>
      <c r="L703" s="44"/>
      <c r="M703" s="44" t="str">
        <f t="shared" si="1"/>
        <v>#DIV/0!</v>
      </c>
      <c r="N703" s="44" t="str">
        <f t="shared" si="2"/>
        <v>#DIV/0!</v>
      </c>
      <c r="O703" s="44" t="str">
        <f t="shared" si="4"/>
        <v/>
      </c>
      <c r="P703" s="44" t="str">
        <f t="shared" si="3"/>
        <v>#DIV/0!</v>
      </c>
      <c r="Q703" s="44"/>
    </row>
    <row r="704">
      <c r="A704" s="38" t="s">
        <v>2553</v>
      </c>
      <c r="B704" s="39" t="s">
        <v>2554</v>
      </c>
      <c r="C704" s="40" t="s">
        <v>268</v>
      </c>
      <c r="D704" s="41" t="s">
        <v>137</v>
      </c>
      <c r="E704" s="51"/>
      <c r="F704" s="51"/>
      <c r="G704" s="51"/>
      <c r="H704" s="44"/>
      <c r="I704" s="44"/>
      <c r="J704" s="44"/>
      <c r="K704" s="44"/>
      <c r="L704" s="44"/>
      <c r="M704" s="44" t="str">
        <f t="shared" si="1"/>
        <v>#DIV/0!</v>
      </c>
      <c r="N704" s="44" t="str">
        <f t="shared" si="2"/>
        <v>#DIV/0!</v>
      </c>
      <c r="O704" s="44" t="str">
        <f t="shared" si="4"/>
        <v/>
      </c>
      <c r="P704" s="44" t="str">
        <f t="shared" si="3"/>
        <v>#DIV/0!</v>
      </c>
      <c r="Q704" s="44"/>
    </row>
    <row r="705">
      <c r="A705" s="38" t="s">
        <v>2556</v>
      </c>
      <c r="B705" s="39" t="s">
        <v>2557</v>
      </c>
      <c r="C705" s="40" t="s">
        <v>2558</v>
      </c>
      <c r="D705" s="41" t="s">
        <v>2559</v>
      </c>
      <c r="E705" s="51"/>
      <c r="F705" s="51"/>
      <c r="G705" s="51"/>
      <c r="H705" s="44"/>
      <c r="I705" s="44"/>
      <c r="J705" s="44"/>
      <c r="K705" s="44"/>
      <c r="L705" s="44"/>
      <c r="M705" s="44" t="str">
        <f t="shared" si="1"/>
        <v>#DIV/0!</v>
      </c>
      <c r="N705" s="44" t="str">
        <f t="shared" si="2"/>
        <v>#DIV/0!</v>
      </c>
      <c r="O705" s="44" t="str">
        <f t="shared" si="4"/>
        <v/>
      </c>
      <c r="P705" s="44" t="str">
        <f t="shared" si="3"/>
        <v>#DIV/0!</v>
      </c>
      <c r="Q705" s="44"/>
    </row>
    <row r="706">
      <c r="A706" s="38" t="s">
        <v>2560</v>
      </c>
      <c r="B706" s="39" t="s">
        <v>2561</v>
      </c>
      <c r="C706" s="40" t="s">
        <v>2373</v>
      </c>
      <c r="D706" s="41" t="s">
        <v>2374</v>
      </c>
      <c r="E706" s="51"/>
      <c r="F706" s="51"/>
      <c r="G706" s="51"/>
      <c r="H706" s="44"/>
      <c r="I706" s="44"/>
      <c r="J706" s="44"/>
      <c r="K706" s="44"/>
      <c r="L706" s="44"/>
      <c r="M706" s="44" t="str">
        <f t="shared" si="1"/>
        <v>#DIV/0!</v>
      </c>
      <c r="N706" s="44" t="str">
        <f t="shared" si="2"/>
        <v>#DIV/0!</v>
      </c>
      <c r="O706" s="44" t="str">
        <f t="shared" si="4"/>
        <v/>
      </c>
      <c r="P706" s="44" t="str">
        <f t="shared" si="3"/>
        <v>#DIV/0!</v>
      </c>
      <c r="Q706" s="44"/>
    </row>
    <row r="707">
      <c r="A707" s="38" t="s">
        <v>2562</v>
      </c>
      <c r="B707" s="39" t="s">
        <v>2563</v>
      </c>
      <c r="C707" s="40" t="s">
        <v>5211</v>
      </c>
      <c r="D707" s="41" t="s">
        <v>1014</v>
      </c>
      <c r="E707" s="51"/>
      <c r="F707" s="51"/>
      <c r="G707" s="51"/>
      <c r="H707" s="44"/>
      <c r="I707" s="44"/>
      <c r="J707" s="44"/>
      <c r="K707" s="44"/>
      <c r="L707" s="44"/>
      <c r="M707" s="44" t="str">
        <f t="shared" si="1"/>
        <v>#DIV/0!</v>
      </c>
      <c r="N707" s="44" t="str">
        <f t="shared" si="2"/>
        <v>#DIV/0!</v>
      </c>
      <c r="O707" s="44" t="str">
        <f t="shared" si="4"/>
        <v/>
      </c>
      <c r="P707" s="44" t="str">
        <f t="shared" si="3"/>
        <v>#DIV/0!</v>
      </c>
      <c r="Q707" s="44"/>
    </row>
    <row r="708">
      <c r="A708" s="38" t="s">
        <v>2565</v>
      </c>
      <c r="B708" s="39" t="s">
        <v>2566</v>
      </c>
      <c r="C708" s="40" t="s">
        <v>2567</v>
      </c>
      <c r="D708" s="42" t="s">
        <v>5212</v>
      </c>
      <c r="E708" s="51"/>
      <c r="F708" s="51"/>
      <c r="G708" s="51"/>
      <c r="H708" s="44"/>
      <c r="I708" s="44"/>
      <c r="J708" s="44"/>
      <c r="K708" s="44"/>
      <c r="L708" s="44"/>
      <c r="M708" s="44" t="str">
        <f t="shared" si="1"/>
        <v>#DIV/0!</v>
      </c>
      <c r="N708" s="44" t="str">
        <f t="shared" si="2"/>
        <v>#DIV/0!</v>
      </c>
      <c r="O708" s="44" t="str">
        <f t="shared" si="4"/>
        <v/>
      </c>
      <c r="P708" s="44" t="str">
        <f t="shared" si="3"/>
        <v>#DIV/0!</v>
      </c>
      <c r="Q708" s="44"/>
    </row>
    <row r="709">
      <c r="A709" s="38" t="s">
        <v>2569</v>
      </c>
      <c r="B709" s="39" t="s">
        <v>2570</v>
      </c>
      <c r="C709" s="40" t="s">
        <v>5213</v>
      </c>
      <c r="D709" s="42" t="s">
        <v>5214</v>
      </c>
      <c r="E709" s="51"/>
      <c r="F709" s="51"/>
      <c r="G709" s="51"/>
      <c r="H709" s="44"/>
      <c r="I709" s="44"/>
      <c r="J709" s="44"/>
      <c r="K709" s="44"/>
      <c r="L709" s="44"/>
      <c r="M709" s="44" t="str">
        <f t="shared" si="1"/>
        <v>#DIV/0!</v>
      </c>
      <c r="N709" s="44" t="str">
        <f t="shared" si="2"/>
        <v>#DIV/0!</v>
      </c>
      <c r="O709" s="44" t="str">
        <f t="shared" si="4"/>
        <v/>
      </c>
      <c r="P709" s="44" t="str">
        <f t="shared" si="3"/>
        <v>#DIV/0!</v>
      </c>
      <c r="Q709" s="44"/>
    </row>
    <row r="710">
      <c r="A710" s="38" t="s">
        <v>2573</v>
      </c>
      <c r="B710" s="39" t="s">
        <v>2574</v>
      </c>
      <c r="C710" s="40" t="s">
        <v>2575</v>
      </c>
      <c r="D710" s="42" t="s">
        <v>5215</v>
      </c>
      <c r="E710" s="51"/>
      <c r="F710" s="51"/>
      <c r="G710" s="51"/>
      <c r="H710" s="44"/>
      <c r="I710" s="44"/>
      <c r="J710" s="44"/>
      <c r="K710" s="44"/>
      <c r="L710" s="44"/>
      <c r="M710" s="44" t="str">
        <f t="shared" si="1"/>
        <v>#DIV/0!</v>
      </c>
      <c r="N710" s="44" t="str">
        <f t="shared" si="2"/>
        <v>#DIV/0!</v>
      </c>
      <c r="O710" s="44" t="str">
        <f t="shared" si="4"/>
        <v/>
      </c>
      <c r="P710" s="44" t="str">
        <f t="shared" si="3"/>
        <v>#DIV/0!</v>
      </c>
      <c r="Q710" s="44"/>
    </row>
    <row r="711">
      <c r="A711" s="38" t="s">
        <v>2577</v>
      </c>
      <c r="B711" s="39" t="s">
        <v>2578</v>
      </c>
      <c r="C711" s="40" t="s">
        <v>4971</v>
      </c>
      <c r="D711" s="41" t="s">
        <v>2092</v>
      </c>
      <c r="E711" s="51"/>
      <c r="F711" s="51"/>
      <c r="G711" s="51"/>
      <c r="H711" s="44"/>
      <c r="I711" s="44"/>
      <c r="J711" s="44"/>
      <c r="K711" s="44"/>
      <c r="L711" s="44"/>
      <c r="M711" s="44" t="str">
        <f t="shared" si="1"/>
        <v>#DIV/0!</v>
      </c>
      <c r="N711" s="44" t="str">
        <f t="shared" si="2"/>
        <v>#DIV/0!</v>
      </c>
      <c r="O711" s="44" t="str">
        <f t="shared" si="4"/>
        <v/>
      </c>
      <c r="P711" s="44" t="str">
        <f t="shared" si="3"/>
        <v>#DIV/0!</v>
      </c>
      <c r="Q711" s="44"/>
    </row>
    <row r="712">
      <c r="A712" s="38" t="s">
        <v>2581</v>
      </c>
      <c r="B712" s="39" t="s">
        <v>2582</v>
      </c>
      <c r="C712" s="40" t="s">
        <v>5216</v>
      </c>
      <c r="D712" s="42" t="s">
        <v>2584</v>
      </c>
      <c r="E712" s="51"/>
      <c r="F712" s="51"/>
      <c r="G712" s="51"/>
      <c r="H712" s="44"/>
      <c r="I712" s="44"/>
      <c r="J712" s="44"/>
      <c r="K712" s="44"/>
      <c r="L712" s="44"/>
      <c r="M712" s="44" t="str">
        <f t="shared" si="1"/>
        <v>#DIV/0!</v>
      </c>
      <c r="N712" s="44" t="str">
        <f t="shared" si="2"/>
        <v>#DIV/0!</v>
      </c>
      <c r="O712" s="44" t="str">
        <f t="shared" si="4"/>
        <v/>
      </c>
      <c r="P712" s="44" t="str">
        <f t="shared" si="3"/>
        <v>#DIV/0!</v>
      </c>
      <c r="Q712" s="44"/>
    </row>
    <row r="713">
      <c r="A713" s="38" t="s">
        <v>2585</v>
      </c>
      <c r="B713" s="39" t="s">
        <v>2586</v>
      </c>
      <c r="C713" s="40" t="s">
        <v>316</v>
      </c>
      <c r="D713" s="41" t="s">
        <v>77</v>
      </c>
      <c r="E713" s="51"/>
      <c r="F713" s="51"/>
      <c r="G713" s="51"/>
      <c r="H713" s="44"/>
      <c r="I713" s="44"/>
      <c r="J713" s="44"/>
      <c r="K713" s="44"/>
      <c r="L713" s="44"/>
      <c r="M713" s="44" t="str">
        <f t="shared" si="1"/>
        <v>#DIV/0!</v>
      </c>
      <c r="N713" s="44" t="str">
        <f t="shared" si="2"/>
        <v>#DIV/0!</v>
      </c>
      <c r="O713" s="44" t="str">
        <f t="shared" si="4"/>
        <v/>
      </c>
      <c r="P713" s="44" t="str">
        <f t="shared" si="3"/>
        <v>#DIV/0!</v>
      </c>
      <c r="Q713" s="44"/>
    </row>
    <row r="714">
      <c r="A714" s="38" t="s">
        <v>2587</v>
      </c>
      <c r="B714" s="39" t="s">
        <v>2588</v>
      </c>
      <c r="C714" s="40" t="s">
        <v>2589</v>
      </c>
      <c r="D714" s="41" t="s">
        <v>2236</v>
      </c>
      <c r="E714" s="51"/>
      <c r="F714" s="51"/>
      <c r="G714" s="51"/>
      <c r="H714" s="44"/>
      <c r="I714" s="44"/>
      <c r="J714" s="44"/>
      <c r="K714" s="44"/>
      <c r="L714" s="44"/>
      <c r="M714" s="44" t="str">
        <f t="shared" si="1"/>
        <v>#DIV/0!</v>
      </c>
      <c r="N714" s="44" t="str">
        <f t="shared" si="2"/>
        <v>#DIV/0!</v>
      </c>
      <c r="O714" s="44" t="str">
        <f t="shared" si="4"/>
        <v/>
      </c>
      <c r="P714" s="44" t="str">
        <f t="shared" si="3"/>
        <v>#DIV/0!</v>
      </c>
      <c r="Q714" s="44"/>
    </row>
    <row r="715">
      <c r="A715" s="38" t="s">
        <v>2590</v>
      </c>
      <c r="B715" s="39" t="s">
        <v>2591</v>
      </c>
      <c r="C715" s="40" t="s">
        <v>584</v>
      </c>
      <c r="D715" s="41" t="s">
        <v>585</v>
      </c>
      <c r="E715" s="51"/>
      <c r="F715" s="51"/>
      <c r="G715" s="51"/>
      <c r="H715" s="44"/>
      <c r="I715" s="44"/>
      <c r="J715" s="44"/>
      <c r="K715" s="44"/>
      <c r="L715" s="44"/>
      <c r="M715" s="44" t="str">
        <f t="shared" si="1"/>
        <v>#DIV/0!</v>
      </c>
      <c r="N715" s="44" t="str">
        <f t="shared" si="2"/>
        <v>#DIV/0!</v>
      </c>
      <c r="O715" s="44" t="str">
        <f t="shared" si="4"/>
        <v/>
      </c>
      <c r="P715" s="44" t="str">
        <f t="shared" si="3"/>
        <v>#DIV/0!</v>
      </c>
      <c r="Q715" s="44"/>
    </row>
    <row r="716">
      <c r="A716" s="38" t="s">
        <v>2592</v>
      </c>
      <c r="B716" s="39" t="s">
        <v>2593</v>
      </c>
      <c r="C716" s="40" t="s">
        <v>1104</v>
      </c>
      <c r="D716" s="41" t="s">
        <v>1105</v>
      </c>
      <c r="E716" s="51"/>
      <c r="F716" s="51"/>
      <c r="G716" s="51"/>
      <c r="H716" s="44"/>
      <c r="I716" s="44"/>
      <c r="J716" s="44"/>
      <c r="K716" s="44"/>
      <c r="L716" s="44"/>
      <c r="M716" s="44" t="str">
        <f t="shared" si="1"/>
        <v>#DIV/0!</v>
      </c>
      <c r="N716" s="44" t="str">
        <f t="shared" si="2"/>
        <v>#DIV/0!</v>
      </c>
      <c r="O716" s="44" t="str">
        <f t="shared" si="4"/>
        <v/>
      </c>
      <c r="P716" s="44" t="str">
        <f t="shared" si="3"/>
        <v>#DIV/0!</v>
      </c>
      <c r="Q716" s="44"/>
    </row>
    <row r="717">
      <c r="A717" s="38" t="s">
        <v>2595</v>
      </c>
      <c r="B717" s="39" t="s">
        <v>2596</v>
      </c>
      <c r="C717" s="40" t="s">
        <v>2597</v>
      </c>
      <c r="D717" s="41" t="s">
        <v>2598</v>
      </c>
      <c r="E717" s="51"/>
      <c r="F717" s="51"/>
      <c r="G717" s="51"/>
      <c r="H717" s="44"/>
      <c r="I717" s="44"/>
      <c r="J717" s="44"/>
      <c r="K717" s="44"/>
      <c r="L717" s="44"/>
      <c r="M717" s="44" t="str">
        <f t="shared" si="1"/>
        <v>#DIV/0!</v>
      </c>
      <c r="N717" s="44" t="str">
        <f t="shared" si="2"/>
        <v>#DIV/0!</v>
      </c>
      <c r="O717" s="44" t="str">
        <f t="shared" si="4"/>
        <v/>
      </c>
      <c r="P717" s="44" t="str">
        <f t="shared" si="3"/>
        <v>#DIV/0!</v>
      </c>
      <c r="Q717" s="44"/>
    </row>
    <row r="718">
      <c r="A718" s="38" t="s">
        <v>2599</v>
      </c>
      <c r="B718" s="39" t="s">
        <v>2600</v>
      </c>
      <c r="C718" s="40" t="s">
        <v>268</v>
      </c>
      <c r="D718" s="41" t="s">
        <v>137</v>
      </c>
      <c r="E718" s="51"/>
      <c r="F718" s="51"/>
      <c r="G718" s="51"/>
      <c r="H718" s="44"/>
      <c r="I718" s="44"/>
      <c r="J718" s="44"/>
      <c r="K718" s="44"/>
      <c r="L718" s="44"/>
      <c r="M718" s="44" t="str">
        <f t="shared" si="1"/>
        <v>#DIV/0!</v>
      </c>
      <c r="N718" s="44" t="str">
        <f t="shared" si="2"/>
        <v>#DIV/0!</v>
      </c>
      <c r="O718" s="44" t="str">
        <f t="shared" si="4"/>
        <v/>
      </c>
      <c r="P718" s="44" t="str">
        <f t="shared" si="3"/>
        <v>#DIV/0!</v>
      </c>
      <c r="Q718" s="44"/>
    </row>
    <row r="719">
      <c r="A719" s="38" t="s">
        <v>2601</v>
      </c>
      <c r="B719" s="39" t="s">
        <v>2602</v>
      </c>
      <c r="C719" s="40" t="s">
        <v>5217</v>
      </c>
      <c r="D719" s="42" t="s">
        <v>5218</v>
      </c>
      <c r="E719" s="51"/>
      <c r="F719" s="51"/>
      <c r="G719" s="51"/>
      <c r="H719" s="44"/>
      <c r="I719" s="44"/>
      <c r="J719" s="44"/>
      <c r="K719" s="44"/>
      <c r="L719" s="44"/>
      <c r="M719" s="44" t="str">
        <f t="shared" si="1"/>
        <v>#DIV/0!</v>
      </c>
      <c r="N719" s="44" t="str">
        <f t="shared" si="2"/>
        <v>#DIV/0!</v>
      </c>
      <c r="O719" s="44" t="str">
        <f t="shared" si="4"/>
        <v/>
      </c>
      <c r="P719" s="44" t="str">
        <f t="shared" si="3"/>
        <v>#DIV/0!</v>
      </c>
      <c r="Q719" s="44"/>
    </row>
    <row r="720">
      <c r="A720" s="38" t="s">
        <v>2605</v>
      </c>
      <c r="B720" s="39" t="s">
        <v>2606</v>
      </c>
      <c r="C720" s="40" t="s">
        <v>5219</v>
      </c>
      <c r="D720" s="42" t="s">
        <v>5220</v>
      </c>
      <c r="E720" s="51"/>
      <c r="F720" s="51"/>
      <c r="G720" s="51"/>
      <c r="H720" s="44"/>
      <c r="I720" s="44"/>
      <c r="J720" s="44"/>
      <c r="K720" s="44"/>
      <c r="L720" s="44"/>
      <c r="M720" s="44" t="str">
        <f t="shared" si="1"/>
        <v>#DIV/0!</v>
      </c>
      <c r="N720" s="44" t="str">
        <f t="shared" si="2"/>
        <v>#DIV/0!</v>
      </c>
      <c r="O720" s="44" t="str">
        <f t="shared" si="4"/>
        <v/>
      </c>
      <c r="P720" s="44" t="str">
        <f t="shared" si="3"/>
        <v>#DIV/0!</v>
      </c>
      <c r="Q720" s="44"/>
    </row>
    <row r="721">
      <c r="A721" s="38" t="s">
        <v>2609</v>
      </c>
      <c r="B721" s="39" t="s">
        <v>2610</v>
      </c>
      <c r="C721" s="40" t="s">
        <v>2611</v>
      </c>
      <c r="D721" s="41" t="s">
        <v>2612</v>
      </c>
      <c r="E721" s="51"/>
      <c r="F721" s="51"/>
      <c r="G721" s="51"/>
      <c r="H721" s="44"/>
      <c r="I721" s="44"/>
      <c r="J721" s="44"/>
      <c r="K721" s="44"/>
      <c r="L721" s="44"/>
      <c r="M721" s="44" t="str">
        <f t="shared" si="1"/>
        <v>#DIV/0!</v>
      </c>
      <c r="N721" s="44" t="str">
        <f t="shared" si="2"/>
        <v>#DIV/0!</v>
      </c>
      <c r="O721" s="44" t="str">
        <f t="shared" si="4"/>
        <v/>
      </c>
      <c r="P721" s="44" t="str">
        <f t="shared" si="3"/>
        <v>#DIV/0!</v>
      </c>
      <c r="Q721" s="44"/>
    </row>
    <row r="722">
      <c r="A722" s="38" t="s">
        <v>2613</v>
      </c>
      <c r="B722" s="39" t="s">
        <v>2614</v>
      </c>
      <c r="C722" s="40" t="s">
        <v>5221</v>
      </c>
      <c r="D722" s="42" t="s">
        <v>5222</v>
      </c>
      <c r="E722" s="51"/>
      <c r="F722" s="51"/>
      <c r="G722" s="51"/>
      <c r="H722" s="44"/>
      <c r="I722" s="44"/>
      <c r="J722" s="44"/>
      <c r="K722" s="44"/>
      <c r="L722" s="44"/>
      <c r="M722" s="44" t="str">
        <f t="shared" si="1"/>
        <v>#DIV/0!</v>
      </c>
      <c r="N722" s="44" t="str">
        <f t="shared" si="2"/>
        <v>#DIV/0!</v>
      </c>
      <c r="O722" s="44" t="str">
        <f t="shared" si="4"/>
        <v/>
      </c>
      <c r="P722" s="44" t="str">
        <f t="shared" si="3"/>
        <v>#DIV/0!</v>
      </c>
      <c r="Q722" s="44"/>
    </row>
    <row r="723">
      <c r="A723" s="38" t="s">
        <v>2617</v>
      </c>
      <c r="B723" s="39" t="s">
        <v>2618</v>
      </c>
      <c r="C723" s="40" t="s">
        <v>2619</v>
      </c>
      <c r="D723" s="42" t="s">
        <v>5223</v>
      </c>
      <c r="E723" s="51"/>
      <c r="F723" s="51"/>
      <c r="G723" s="51"/>
      <c r="H723" s="44"/>
      <c r="I723" s="44"/>
      <c r="J723" s="44"/>
      <c r="K723" s="44"/>
      <c r="L723" s="44"/>
      <c r="M723" s="44" t="str">
        <f t="shared" si="1"/>
        <v>#DIV/0!</v>
      </c>
      <c r="N723" s="44" t="str">
        <f t="shared" si="2"/>
        <v>#DIV/0!</v>
      </c>
      <c r="O723" s="44" t="str">
        <f t="shared" si="4"/>
        <v/>
      </c>
      <c r="P723" s="44" t="str">
        <f t="shared" si="3"/>
        <v>#DIV/0!</v>
      </c>
      <c r="Q723" s="44"/>
    </row>
    <row r="724">
      <c r="A724" s="38" t="s">
        <v>2621</v>
      </c>
      <c r="B724" s="39" t="s">
        <v>2622</v>
      </c>
      <c r="C724" s="40" t="s">
        <v>40</v>
      </c>
      <c r="D724" s="41" t="s">
        <v>41</v>
      </c>
      <c r="E724" s="51"/>
      <c r="F724" s="51"/>
      <c r="G724" s="51"/>
      <c r="H724" s="44"/>
      <c r="I724" s="44"/>
      <c r="J724" s="44"/>
      <c r="K724" s="44"/>
      <c r="L724" s="44"/>
      <c r="M724" s="44" t="str">
        <f t="shared" si="1"/>
        <v>#DIV/0!</v>
      </c>
      <c r="N724" s="44" t="str">
        <f t="shared" si="2"/>
        <v>#DIV/0!</v>
      </c>
      <c r="O724" s="44" t="str">
        <f t="shared" si="4"/>
        <v/>
      </c>
      <c r="P724" s="44" t="str">
        <f t="shared" si="3"/>
        <v>#DIV/0!</v>
      </c>
      <c r="Q724" s="44"/>
    </row>
    <row r="725">
      <c r="A725" s="38" t="s">
        <v>2624</v>
      </c>
      <c r="B725" s="39" t="s">
        <v>2625</v>
      </c>
      <c r="C725" s="40" t="s">
        <v>5224</v>
      </c>
      <c r="D725" s="42" t="s">
        <v>5225</v>
      </c>
      <c r="E725" s="51"/>
      <c r="F725" s="51"/>
      <c r="G725" s="51"/>
      <c r="H725" s="44"/>
      <c r="I725" s="44"/>
      <c r="J725" s="44"/>
      <c r="K725" s="44"/>
      <c r="L725" s="44"/>
      <c r="M725" s="44" t="str">
        <f t="shared" si="1"/>
        <v>#DIV/0!</v>
      </c>
      <c r="N725" s="44" t="str">
        <f t="shared" si="2"/>
        <v>#DIV/0!</v>
      </c>
      <c r="O725" s="44" t="str">
        <f t="shared" si="4"/>
        <v/>
      </c>
      <c r="P725" s="44" t="str">
        <f t="shared" si="3"/>
        <v>#DIV/0!</v>
      </c>
      <c r="Q725" s="44"/>
    </row>
    <row r="726">
      <c r="A726" s="38" t="s">
        <v>2628</v>
      </c>
      <c r="B726" s="39" t="s">
        <v>2629</v>
      </c>
      <c r="C726" s="40" t="s">
        <v>2630</v>
      </c>
      <c r="D726" s="42" t="s">
        <v>5226</v>
      </c>
      <c r="E726" s="51"/>
      <c r="F726" s="51"/>
      <c r="G726" s="51"/>
      <c r="H726" s="44"/>
      <c r="I726" s="44"/>
      <c r="J726" s="44"/>
      <c r="K726" s="44"/>
      <c r="L726" s="44"/>
      <c r="M726" s="44" t="str">
        <f t="shared" si="1"/>
        <v>#DIV/0!</v>
      </c>
      <c r="N726" s="44" t="str">
        <f t="shared" si="2"/>
        <v>#DIV/0!</v>
      </c>
      <c r="O726" s="44" t="str">
        <f t="shared" si="4"/>
        <v/>
      </c>
      <c r="P726" s="44" t="str">
        <f t="shared" si="3"/>
        <v>#DIV/0!</v>
      </c>
      <c r="Q726" s="44"/>
    </row>
    <row r="727">
      <c r="A727" s="38" t="s">
        <v>2632</v>
      </c>
      <c r="B727" s="39" t="s">
        <v>2633</v>
      </c>
      <c r="C727" s="40" t="s">
        <v>2634</v>
      </c>
      <c r="D727" s="41" t="s">
        <v>2635</v>
      </c>
      <c r="E727" s="51"/>
      <c r="F727" s="51"/>
      <c r="G727" s="51"/>
      <c r="H727" s="44"/>
      <c r="I727" s="44"/>
      <c r="J727" s="44"/>
      <c r="K727" s="44"/>
      <c r="L727" s="44"/>
      <c r="M727" s="44" t="str">
        <f t="shared" si="1"/>
        <v>#DIV/0!</v>
      </c>
      <c r="N727" s="44" t="str">
        <f t="shared" si="2"/>
        <v>#DIV/0!</v>
      </c>
      <c r="O727" s="44" t="str">
        <f t="shared" si="4"/>
        <v/>
      </c>
      <c r="P727" s="44" t="str">
        <f t="shared" si="3"/>
        <v>#DIV/0!</v>
      </c>
      <c r="Q727" s="44"/>
    </row>
    <row r="728">
      <c r="A728" s="38" t="s">
        <v>2636</v>
      </c>
      <c r="B728" s="39" t="s">
        <v>2637</v>
      </c>
      <c r="C728" s="40" t="s">
        <v>2638</v>
      </c>
      <c r="D728" s="41" t="s">
        <v>2639</v>
      </c>
      <c r="E728" s="51"/>
      <c r="F728" s="51"/>
      <c r="G728" s="51"/>
      <c r="H728" s="44"/>
      <c r="I728" s="44"/>
      <c r="J728" s="44"/>
      <c r="K728" s="44"/>
      <c r="L728" s="44"/>
      <c r="M728" s="44" t="str">
        <f t="shared" si="1"/>
        <v>#DIV/0!</v>
      </c>
      <c r="N728" s="44" t="str">
        <f t="shared" si="2"/>
        <v>#DIV/0!</v>
      </c>
      <c r="O728" s="44" t="str">
        <f t="shared" si="4"/>
        <v/>
      </c>
      <c r="P728" s="44" t="str">
        <f t="shared" si="3"/>
        <v>#DIV/0!</v>
      </c>
      <c r="Q728" s="44"/>
    </row>
    <row r="729">
      <c r="A729" s="38" t="s">
        <v>2640</v>
      </c>
      <c r="B729" s="39" t="s">
        <v>2641</v>
      </c>
      <c r="C729" s="40" t="s">
        <v>3231</v>
      </c>
      <c r="D729" s="42" t="s">
        <v>4847</v>
      </c>
      <c r="E729" s="51"/>
      <c r="F729" s="51"/>
      <c r="G729" s="51"/>
      <c r="H729" s="44"/>
      <c r="I729" s="44"/>
      <c r="J729" s="44"/>
      <c r="K729" s="44"/>
      <c r="L729" s="44"/>
      <c r="M729" s="44" t="str">
        <f t="shared" si="1"/>
        <v>#DIV/0!</v>
      </c>
      <c r="N729" s="44" t="str">
        <f t="shared" si="2"/>
        <v>#DIV/0!</v>
      </c>
      <c r="O729" s="44" t="str">
        <f t="shared" si="4"/>
        <v/>
      </c>
      <c r="P729" s="44" t="str">
        <f t="shared" si="3"/>
        <v>#DIV/0!</v>
      </c>
      <c r="Q729" s="44"/>
    </row>
    <row r="730">
      <c r="A730" s="38" t="s">
        <v>2643</v>
      </c>
      <c r="B730" s="39" t="s">
        <v>2644</v>
      </c>
      <c r="C730" s="40" t="s">
        <v>2645</v>
      </c>
      <c r="D730" s="42" t="s">
        <v>2646</v>
      </c>
      <c r="E730" s="51"/>
      <c r="F730" s="51"/>
      <c r="G730" s="51"/>
      <c r="H730" s="44"/>
      <c r="I730" s="44"/>
      <c r="J730" s="44"/>
      <c r="K730" s="44"/>
      <c r="L730" s="44"/>
      <c r="M730" s="44" t="str">
        <f t="shared" si="1"/>
        <v>#DIV/0!</v>
      </c>
      <c r="N730" s="44" t="str">
        <f t="shared" si="2"/>
        <v>#DIV/0!</v>
      </c>
      <c r="O730" s="44" t="str">
        <f t="shared" si="4"/>
        <v/>
      </c>
      <c r="P730" s="44" t="str">
        <f t="shared" si="3"/>
        <v>#DIV/0!</v>
      </c>
      <c r="Q730" s="44"/>
    </row>
    <row r="731">
      <c r="A731" s="38" t="s">
        <v>2647</v>
      </c>
      <c r="B731" s="39" t="s">
        <v>2648</v>
      </c>
      <c r="C731" s="40" t="s">
        <v>5227</v>
      </c>
      <c r="D731" s="42" t="s">
        <v>5228</v>
      </c>
      <c r="E731" s="51"/>
      <c r="F731" s="51"/>
      <c r="G731" s="51"/>
      <c r="H731" s="44"/>
      <c r="I731" s="44"/>
      <c r="J731" s="44"/>
      <c r="K731" s="44"/>
      <c r="L731" s="44"/>
      <c r="M731" s="44" t="str">
        <f t="shared" si="1"/>
        <v>#DIV/0!</v>
      </c>
      <c r="N731" s="44" t="str">
        <f t="shared" si="2"/>
        <v>#DIV/0!</v>
      </c>
      <c r="O731" s="44" t="str">
        <f t="shared" si="4"/>
        <v/>
      </c>
      <c r="P731" s="44" t="str">
        <f t="shared" si="3"/>
        <v>#DIV/0!</v>
      </c>
      <c r="Q731" s="44"/>
    </row>
    <row r="732">
      <c r="A732" s="38" t="s">
        <v>2651</v>
      </c>
      <c r="B732" s="39" t="s">
        <v>2652</v>
      </c>
      <c r="C732" s="40" t="s">
        <v>5229</v>
      </c>
      <c r="D732" s="42" t="s">
        <v>5230</v>
      </c>
      <c r="E732" s="51"/>
      <c r="F732" s="51"/>
      <c r="G732" s="51"/>
      <c r="H732" s="44"/>
      <c r="I732" s="44"/>
      <c r="J732" s="44"/>
      <c r="K732" s="44"/>
      <c r="L732" s="44"/>
      <c r="M732" s="44" t="str">
        <f t="shared" si="1"/>
        <v>#DIV/0!</v>
      </c>
      <c r="N732" s="44" t="str">
        <f t="shared" si="2"/>
        <v>#DIV/0!</v>
      </c>
      <c r="O732" s="44" t="str">
        <f t="shared" si="4"/>
        <v/>
      </c>
      <c r="P732" s="44" t="str">
        <f t="shared" si="3"/>
        <v>#DIV/0!</v>
      </c>
      <c r="Q732" s="44"/>
    </row>
    <row r="733">
      <c r="A733" s="38" t="s">
        <v>2655</v>
      </c>
      <c r="B733" s="39" t="s">
        <v>2656</v>
      </c>
      <c r="C733" s="40" t="s">
        <v>1013</v>
      </c>
      <c r="D733" s="41" t="s">
        <v>1014</v>
      </c>
      <c r="E733" s="51"/>
      <c r="F733" s="51"/>
      <c r="G733" s="51"/>
      <c r="H733" s="44"/>
      <c r="I733" s="44"/>
      <c r="J733" s="44"/>
      <c r="K733" s="44"/>
      <c r="L733" s="44"/>
      <c r="M733" s="44" t="str">
        <f t="shared" si="1"/>
        <v>#DIV/0!</v>
      </c>
      <c r="N733" s="44" t="str">
        <f t="shared" si="2"/>
        <v>#DIV/0!</v>
      </c>
      <c r="O733" s="44" t="str">
        <f t="shared" si="4"/>
        <v/>
      </c>
      <c r="P733" s="44" t="str">
        <f t="shared" si="3"/>
        <v>#DIV/0!</v>
      </c>
      <c r="Q733" s="44"/>
    </row>
    <row r="734">
      <c r="A734" s="38" t="s">
        <v>2657</v>
      </c>
      <c r="B734" s="39" t="s">
        <v>2658</v>
      </c>
      <c r="C734" s="40" t="s">
        <v>5231</v>
      </c>
      <c r="D734" s="42" t="s">
        <v>4990</v>
      </c>
      <c r="E734" s="51"/>
      <c r="F734" s="51"/>
      <c r="G734" s="51"/>
      <c r="H734" s="44"/>
      <c r="I734" s="44"/>
      <c r="J734" s="44"/>
      <c r="K734" s="44"/>
      <c r="L734" s="44"/>
      <c r="M734" s="44" t="str">
        <f t="shared" si="1"/>
        <v>#DIV/0!</v>
      </c>
      <c r="N734" s="44" t="str">
        <f t="shared" si="2"/>
        <v>#DIV/0!</v>
      </c>
      <c r="O734" s="44" t="str">
        <f t="shared" si="4"/>
        <v/>
      </c>
      <c r="P734" s="44" t="str">
        <f t="shared" si="3"/>
        <v>#DIV/0!</v>
      </c>
      <c r="Q734" s="44"/>
    </row>
    <row r="735">
      <c r="A735" s="38" t="s">
        <v>2659</v>
      </c>
      <c r="B735" s="39" t="s">
        <v>2660</v>
      </c>
      <c r="C735" s="40" t="s">
        <v>2661</v>
      </c>
      <c r="D735" s="42" t="s">
        <v>5232</v>
      </c>
      <c r="E735" s="51"/>
      <c r="F735" s="51"/>
      <c r="G735" s="51"/>
      <c r="H735" s="44"/>
      <c r="I735" s="44"/>
      <c r="J735" s="44"/>
      <c r="K735" s="44"/>
      <c r="L735" s="44"/>
      <c r="M735" s="44" t="str">
        <f t="shared" si="1"/>
        <v>#DIV/0!</v>
      </c>
      <c r="N735" s="44" t="str">
        <f t="shared" si="2"/>
        <v>#DIV/0!</v>
      </c>
      <c r="O735" s="44" t="str">
        <f t="shared" si="4"/>
        <v/>
      </c>
      <c r="P735" s="44" t="str">
        <f t="shared" si="3"/>
        <v>#DIV/0!</v>
      </c>
      <c r="Q735" s="44"/>
    </row>
    <row r="736">
      <c r="A736" s="38" t="s">
        <v>2663</v>
      </c>
      <c r="B736" s="39" t="s">
        <v>2664</v>
      </c>
      <c r="C736" s="40" t="s">
        <v>2665</v>
      </c>
      <c r="D736" s="41" t="s">
        <v>2666</v>
      </c>
      <c r="E736" s="51"/>
      <c r="F736" s="51"/>
      <c r="G736" s="51"/>
      <c r="H736" s="44"/>
      <c r="I736" s="44"/>
      <c r="J736" s="44"/>
      <c r="K736" s="44"/>
      <c r="L736" s="44"/>
      <c r="M736" s="44" t="str">
        <f t="shared" si="1"/>
        <v>#DIV/0!</v>
      </c>
      <c r="N736" s="44" t="str">
        <f t="shared" si="2"/>
        <v>#DIV/0!</v>
      </c>
      <c r="O736" s="44" t="str">
        <f t="shared" si="4"/>
        <v/>
      </c>
      <c r="P736" s="44" t="str">
        <f t="shared" si="3"/>
        <v>#DIV/0!</v>
      </c>
      <c r="Q736" s="44"/>
    </row>
    <row r="737">
      <c r="A737" s="38" t="s">
        <v>2667</v>
      </c>
      <c r="B737" s="39" t="s">
        <v>2668</v>
      </c>
      <c r="C737" s="40" t="s">
        <v>1048</v>
      </c>
      <c r="D737" s="41" t="s">
        <v>117</v>
      </c>
      <c r="E737" s="51"/>
      <c r="F737" s="51"/>
      <c r="G737" s="51"/>
      <c r="H737" s="44"/>
      <c r="I737" s="44"/>
      <c r="J737" s="44"/>
      <c r="K737" s="44"/>
      <c r="L737" s="44"/>
      <c r="M737" s="44" t="str">
        <f t="shared" si="1"/>
        <v>#DIV/0!</v>
      </c>
      <c r="N737" s="44" t="str">
        <f t="shared" si="2"/>
        <v>#DIV/0!</v>
      </c>
      <c r="O737" s="44" t="str">
        <f t="shared" si="4"/>
        <v/>
      </c>
      <c r="P737" s="44" t="str">
        <f t="shared" si="3"/>
        <v>#DIV/0!</v>
      </c>
      <c r="Q737" s="44"/>
    </row>
    <row r="738">
      <c r="A738" s="38" t="s">
        <v>2670</v>
      </c>
      <c r="B738" s="39" t="s">
        <v>2671</v>
      </c>
      <c r="C738" s="40" t="s">
        <v>5233</v>
      </c>
      <c r="D738" s="42" t="s">
        <v>5234</v>
      </c>
      <c r="E738" s="51"/>
      <c r="F738" s="51"/>
      <c r="G738" s="51"/>
      <c r="H738" s="44"/>
      <c r="I738" s="44"/>
      <c r="J738" s="44"/>
      <c r="K738" s="44"/>
      <c r="L738" s="44"/>
      <c r="M738" s="44" t="str">
        <f t="shared" si="1"/>
        <v>#DIV/0!</v>
      </c>
      <c r="N738" s="44" t="str">
        <f t="shared" si="2"/>
        <v>#DIV/0!</v>
      </c>
      <c r="O738" s="44" t="str">
        <f t="shared" si="4"/>
        <v/>
      </c>
      <c r="P738" s="44" t="str">
        <f t="shared" si="3"/>
        <v>#DIV/0!</v>
      </c>
      <c r="Q738" s="44"/>
    </row>
    <row r="739">
      <c r="A739" s="38" t="s">
        <v>2674</v>
      </c>
      <c r="B739" s="39" t="s">
        <v>2675</v>
      </c>
      <c r="C739" s="40" t="s">
        <v>5235</v>
      </c>
      <c r="D739" s="42" t="s">
        <v>5236</v>
      </c>
      <c r="E739" s="51"/>
      <c r="F739" s="51"/>
      <c r="G739" s="51"/>
      <c r="H739" s="44"/>
      <c r="I739" s="44"/>
      <c r="J739" s="44"/>
      <c r="K739" s="44"/>
      <c r="L739" s="44"/>
      <c r="M739" s="44" t="str">
        <f t="shared" si="1"/>
        <v>#DIV/0!</v>
      </c>
      <c r="N739" s="44" t="str">
        <f t="shared" si="2"/>
        <v>#DIV/0!</v>
      </c>
      <c r="O739" s="44" t="str">
        <f t="shared" si="4"/>
        <v/>
      </c>
      <c r="P739" s="44" t="str">
        <f t="shared" si="3"/>
        <v>#DIV/0!</v>
      </c>
      <c r="Q739" s="44"/>
    </row>
    <row r="740">
      <c r="A740" s="38" t="s">
        <v>2678</v>
      </c>
      <c r="B740" s="39" t="s">
        <v>2679</v>
      </c>
      <c r="C740" s="40" t="s">
        <v>5237</v>
      </c>
      <c r="D740" s="42" t="s">
        <v>2681</v>
      </c>
      <c r="E740" s="51"/>
      <c r="F740" s="51"/>
      <c r="G740" s="51"/>
      <c r="H740" s="44"/>
      <c r="I740" s="44"/>
      <c r="J740" s="44"/>
      <c r="K740" s="44"/>
      <c r="L740" s="44"/>
      <c r="M740" s="44" t="str">
        <f t="shared" si="1"/>
        <v>#DIV/0!</v>
      </c>
      <c r="N740" s="44" t="str">
        <f t="shared" si="2"/>
        <v>#DIV/0!</v>
      </c>
      <c r="O740" s="44" t="str">
        <f t="shared" si="4"/>
        <v/>
      </c>
      <c r="P740" s="44" t="str">
        <f t="shared" si="3"/>
        <v>#DIV/0!</v>
      </c>
      <c r="Q740" s="44"/>
    </row>
    <row r="741">
      <c r="A741" s="38" t="s">
        <v>2682</v>
      </c>
      <c r="B741" s="39" t="s">
        <v>2683</v>
      </c>
      <c r="C741" s="40" t="s">
        <v>5238</v>
      </c>
      <c r="D741" s="42" t="s">
        <v>2685</v>
      </c>
      <c r="E741" s="51"/>
      <c r="F741" s="51"/>
      <c r="G741" s="51"/>
      <c r="H741" s="44"/>
      <c r="I741" s="44"/>
      <c r="J741" s="44"/>
      <c r="K741" s="44"/>
      <c r="L741" s="44"/>
      <c r="M741" s="44" t="str">
        <f t="shared" si="1"/>
        <v>#DIV/0!</v>
      </c>
      <c r="N741" s="44" t="str">
        <f t="shared" si="2"/>
        <v>#DIV/0!</v>
      </c>
      <c r="O741" s="44" t="str">
        <f t="shared" si="4"/>
        <v/>
      </c>
      <c r="P741" s="44" t="str">
        <f t="shared" si="3"/>
        <v>#DIV/0!</v>
      </c>
      <c r="Q741" s="44"/>
    </row>
    <row r="742">
      <c r="A742" s="38" t="s">
        <v>2686</v>
      </c>
      <c r="B742" s="39" t="s">
        <v>2687</v>
      </c>
      <c r="C742" s="40" t="s">
        <v>5239</v>
      </c>
      <c r="D742" s="42" t="s">
        <v>5240</v>
      </c>
      <c r="E742" s="51"/>
      <c r="F742" s="51"/>
      <c r="G742" s="51"/>
      <c r="H742" s="44"/>
      <c r="I742" s="44"/>
      <c r="J742" s="44"/>
      <c r="K742" s="44"/>
      <c r="L742" s="44"/>
      <c r="M742" s="44" t="str">
        <f t="shared" si="1"/>
        <v>#DIV/0!</v>
      </c>
      <c r="N742" s="44" t="str">
        <f t="shared" si="2"/>
        <v>#DIV/0!</v>
      </c>
      <c r="O742" s="44" t="str">
        <f t="shared" si="4"/>
        <v/>
      </c>
      <c r="P742" s="44" t="str">
        <f t="shared" si="3"/>
        <v>#DIV/0!</v>
      </c>
      <c r="Q742" s="44"/>
    </row>
    <row r="743">
      <c r="A743" s="38" t="s">
        <v>2690</v>
      </c>
      <c r="B743" s="39" t="s">
        <v>2691</v>
      </c>
      <c r="C743" s="40" t="s">
        <v>2692</v>
      </c>
      <c r="D743" s="41" t="s">
        <v>81</v>
      </c>
      <c r="E743" s="51"/>
      <c r="F743" s="51"/>
      <c r="G743" s="51"/>
      <c r="H743" s="44"/>
      <c r="I743" s="44"/>
      <c r="J743" s="44"/>
      <c r="K743" s="44"/>
      <c r="L743" s="44"/>
      <c r="M743" s="44" t="str">
        <f t="shared" si="1"/>
        <v>#DIV/0!</v>
      </c>
      <c r="N743" s="44" t="str">
        <f t="shared" si="2"/>
        <v>#DIV/0!</v>
      </c>
      <c r="O743" s="44" t="str">
        <f t="shared" si="4"/>
        <v/>
      </c>
      <c r="P743" s="44" t="str">
        <f t="shared" si="3"/>
        <v>#DIV/0!</v>
      </c>
      <c r="Q743" s="44"/>
    </row>
    <row r="744">
      <c r="A744" s="38" t="s">
        <v>2693</v>
      </c>
      <c r="B744" s="39" t="s">
        <v>2694</v>
      </c>
      <c r="C744" s="45" t="s">
        <v>2695</v>
      </c>
      <c r="D744" s="41" t="s">
        <v>2696</v>
      </c>
      <c r="E744" s="51"/>
      <c r="F744" s="51"/>
      <c r="G744" s="51"/>
      <c r="H744" s="44"/>
      <c r="I744" s="44"/>
      <c r="J744" s="44"/>
      <c r="K744" s="44"/>
      <c r="L744" s="44"/>
      <c r="M744" s="44" t="str">
        <f t="shared" si="1"/>
        <v>#DIV/0!</v>
      </c>
      <c r="N744" s="44" t="str">
        <f t="shared" si="2"/>
        <v>#DIV/0!</v>
      </c>
      <c r="O744" s="44" t="str">
        <f t="shared" si="4"/>
        <v/>
      </c>
      <c r="P744" s="44" t="str">
        <f t="shared" si="3"/>
        <v>#DIV/0!</v>
      </c>
      <c r="Q744" s="44"/>
    </row>
    <row r="745">
      <c r="A745" s="38" t="s">
        <v>2697</v>
      </c>
      <c r="B745" s="39" t="s">
        <v>2698</v>
      </c>
      <c r="C745" s="40" t="s">
        <v>2699</v>
      </c>
      <c r="D745" s="42" t="s">
        <v>5241</v>
      </c>
      <c r="E745" s="51"/>
      <c r="F745" s="51"/>
      <c r="G745" s="51"/>
      <c r="H745" s="44"/>
      <c r="I745" s="44"/>
      <c r="J745" s="44"/>
      <c r="K745" s="44"/>
      <c r="L745" s="44"/>
      <c r="M745" s="44" t="str">
        <f t="shared" si="1"/>
        <v>#DIV/0!</v>
      </c>
      <c r="N745" s="44" t="str">
        <f t="shared" si="2"/>
        <v>#DIV/0!</v>
      </c>
      <c r="O745" s="44" t="str">
        <f t="shared" si="4"/>
        <v/>
      </c>
      <c r="P745" s="44" t="str">
        <f t="shared" si="3"/>
        <v>#DIV/0!</v>
      </c>
      <c r="Q745" s="44"/>
    </row>
    <row r="746">
      <c r="A746" s="38" t="s">
        <v>2701</v>
      </c>
      <c r="B746" s="39" t="s">
        <v>2702</v>
      </c>
      <c r="C746" s="40" t="s">
        <v>2703</v>
      </c>
      <c r="D746" s="42" t="s">
        <v>5242</v>
      </c>
      <c r="E746" s="51"/>
      <c r="F746" s="51"/>
      <c r="G746" s="51"/>
      <c r="H746" s="44"/>
      <c r="I746" s="44"/>
      <c r="J746" s="44"/>
      <c r="K746" s="44"/>
      <c r="L746" s="44"/>
      <c r="M746" s="44" t="str">
        <f t="shared" si="1"/>
        <v>#DIV/0!</v>
      </c>
      <c r="N746" s="44" t="str">
        <f t="shared" si="2"/>
        <v>#DIV/0!</v>
      </c>
      <c r="O746" s="44" t="str">
        <f t="shared" si="4"/>
        <v/>
      </c>
      <c r="P746" s="44" t="str">
        <f t="shared" si="3"/>
        <v>#DIV/0!</v>
      </c>
      <c r="Q746" s="44"/>
    </row>
    <row r="747">
      <c r="A747" s="38" t="s">
        <v>2705</v>
      </c>
      <c r="B747" s="39" t="s">
        <v>2706</v>
      </c>
      <c r="C747" s="40" t="s">
        <v>2707</v>
      </c>
      <c r="D747" s="41" t="s">
        <v>2708</v>
      </c>
      <c r="E747" s="51"/>
      <c r="F747" s="51"/>
      <c r="G747" s="51"/>
      <c r="H747" s="44"/>
      <c r="I747" s="44"/>
      <c r="J747" s="44"/>
      <c r="K747" s="44"/>
      <c r="L747" s="44"/>
      <c r="M747" s="44" t="str">
        <f t="shared" si="1"/>
        <v>#DIV/0!</v>
      </c>
      <c r="N747" s="44" t="str">
        <f t="shared" si="2"/>
        <v>#DIV/0!</v>
      </c>
      <c r="O747" s="44" t="str">
        <f t="shared" si="4"/>
        <v/>
      </c>
      <c r="P747" s="44" t="str">
        <f t="shared" si="3"/>
        <v>#DIV/0!</v>
      </c>
      <c r="Q747" s="44"/>
    </row>
    <row r="748">
      <c r="A748" s="38" t="s">
        <v>2709</v>
      </c>
      <c r="B748" s="39" t="s">
        <v>2710</v>
      </c>
      <c r="C748" s="40" t="s">
        <v>2711</v>
      </c>
      <c r="D748" s="41" t="s">
        <v>2712</v>
      </c>
      <c r="E748" s="51"/>
      <c r="F748" s="51"/>
      <c r="G748" s="51"/>
      <c r="H748" s="44"/>
      <c r="I748" s="44"/>
      <c r="J748" s="44"/>
      <c r="K748" s="44"/>
      <c r="L748" s="44"/>
      <c r="M748" s="44" t="str">
        <f t="shared" si="1"/>
        <v>#DIV/0!</v>
      </c>
      <c r="N748" s="44" t="str">
        <f t="shared" si="2"/>
        <v>#DIV/0!</v>
      </c>
      <c r="O748" s="44" t="str">
        <f t="shared" si="4"/>
        <v/>
      </c>
      <c r="P748" s="44" t="str">
        <f t="shared" si="3"/>
        <v>#DIV/0!</v>
      </c>
      <c r="Q748" s="44"/>
    </row>
    <row r="749">
      <c r="A749" s="38" t="s">
        <v>2713</v>
      </c>
      <c r="B749" s="39" t="s">
        <v>2714</v>
      </c>
      <c r="C749" s="40" t="s">
        <v>1532</v>
      </c>
      <c r="D749" s="41" t="s">
        <v>1533</v>
      </c>
      <c r="E749" s="51"/>
      <c r="F749" s="51"/>
      <c r="G749" s="51"/>
      <c r="H749" s="44"/>
      <c r="I749" s="44"/>
      <c r="J749" s="44"/>
      <c r="K749" s="44"/>
      <c r="L749" s="44"/>
      <c r="M749" s="44" t="str">
        <f t="shared" si="1"/>
        <v>#DIV/0!</v>
      </c>
      <c r="N749" s="44" t="str">
        <f t="shared" si="2"/>
        <v>#DIV/0!</v>
      </c>
      <c r="O749" s="44" t="str">
        <f t="shared" si="4"/>
        <v/>
      </c>
      <c r="P749" s="44" t="str">
        <f t="shared" si="3"/>
        <v>#DIV/0!</v>
      </c>
      <c r="Q749" s="44"/>
    </row>
    <row r="750">
      <c r="A750" s="38" t="s">
        <v>2716</v>
      </c>
      <c r="B750" s="39" t="s">
        <v>2717</v>
      </c>
      <c r="C750" s="40" t="s">
        <v>584</v>
      </c>
      <c r="D750" s="41" t="s">
        <v>585</v>
      </c>
      <c r="E750" s="51"/>
      <c r="F750" s="51"/>
      <c r="G750" s="51"/>
      <c r="H750" s="44"/>
      <c r="I750" s="44"/>
      <c r="J750" s="44"/>
      <c r="K750" s="44"/>
      <c r="L750" s="44"/>
      <c r="M750" s="44" t="str">
        <f t="shared" si="1"/>
        <v>#DIV/0!</v>
      </c>
      <c r="N750" s="44" t="str">
        <f t="shared" si="2"/>
        <v>#DIV/0!</v>
      </c>
      <c r="O750" s="44" t="str">
        <f t="shared" si="4"/>
        <v/>
      </c>
      <c r="P750" s="44" t="str">
        <f t="shared" si="3"/>
        <v>#DIV/0!</v>
      </c>
      <c r="Q750" s="44"/>
    </row>
    <row r="751">
      <c r="A751" s="38" t="s">
        <v>2718</v>
      </c>
      <c r="B751" s="39" t="s">
        <v>2719</v>
      </c>
      <c r="C751" s="40" t="s">
        <v>2720</v>
      </c>
      <c r="D751" s="42" t="s">
        <v>5243</v>
      </c>
      <c r="E751" s="51"/>
      <c r="F751" s="51"/>
      <c r="G751" s="51"/>
      <c r="H751" s="44"/>
      <c r="I751" s="44"/>
      <c r="J751" s="44"/>
      <c r="K751" s="44"/>
      <c r="L751" s="44"/>
      <c r="M751" s="44" t="str">
        <f t="shared" si="1"/>
        <v>#DIV/0!</v>
      </c>
      <c r="N751" s="44" t="str">
        <f t="shared" si="2"/>
        <v>#DIV/0!</v>
      </c>
      <c r="O751" s="44" t="str">
        <f t="shared" si="4"/>
        <v/>
      </c>
      <c r="P751" s="44" t="str">
        <f t="shared" si="3"/>
        <v>#DIV/0!</v>
      </c>
      <c r="Q751" s="44"/>
    </row>
    <row r="752">
      <c r="A752" s="38" t="s">
        <v>2722</v>
      </c>
      <c r="B752" s="39" t="s">
        <v>2723</v>
      </c>
      <c r="C752" s="40" t="s">
        <v>5244</v>
      </c>
      <c r="D752" s="41" t="s">
        <v>2725</v>
      </c>
      <c r="E752" s="51"/>
      <c r="F752" s="51"/>
      <c r="G752" s="51"/>
      <c r="H752" s="44"/>
      <c r="I752" s="44"/>
      <c r="J752" s="44"/>
      <c r="K752" s="44"/>
      <c r="L752" s="44"/>
      <c r="M752" s="44" t="str">
        <f t="shared" si="1"/>
        <v>#DIV/0!</v>
      </c>
      <c r="N752" s="44" t="str">
        <f t="shared" si="2"/>
        <v>#DIV/0!</v>
      </c>
      <c r="O752" s="44" t="str">
        <f t="shared" si="4"/>
        <v/>
      </c>
      <c r="P752" s="44" t="str">
        <f t="shared" si="3"/>
        <v>#DIV/0!</v>
      </c>
      <c r="Q752" s="44"/>
    </row>
    <row r="753">
      <c r="A753" s="38" t="s">
        <v>2726</v>
      </c>
      <c r="B753" s="39" t="s">
        <v>2727</v>
      </c>
      <c r="C753" s="40" t="s">
        <v>5245</v>
      </c>
      <c r="D753" s="42" t="s">
        <v>5246</v>
      </c>
      <c r="E753" s="51"/>
      <c r="F753" s="51"/>
      <c r="G753" s="51"/>
      <c r="H753" s="44"/>
      <c r="I753" s="44"/>
      <c r="J753" s="44"/>
      <c r="K753" s="44"/>
      <c r="L753" s="44"/>
      <c r="M753" s="44" t="str">
        <f t="shared" si="1"/>
        <v>#DIV/0!</v>
      </c>
      <c r="N753" s="44" t="str">
        <f t="shared" si="2"/>
        <v>#DIV/0!</v>
      </c>
      <c r="O753" s="44" t="str">
        <f t="shared" si="4"/>
        <v/>
      </c>
      <c r="P753" s="44" t="str">
        <f t="shared" si="3"/>
        <v>#DIV/0!</v>
      </c>
      <c r="Q753" s="44"/>
    </row>
    <row r="754">
      <c r="A754" s="38" t="s">
        <v>2730</v>
      </c>
      <c r="B754" s="39" t="s">
        <v>2731</v>
      </c>
      <c r="C754" s="40" t="s">
        <v>172</v>
      </c>
      <c r="D754" s="41" t="s">
        <v>173</v>
      </c>
      <c r="E754" s="51"/>
      <c r="F754" s="51"/>
      <c r="G754" s="51"/>
      <c r="H754" s="44"/>
      <c r="I754" s="44"/>
      <c r="J754" s="44"/>
      <c r="K754" s="44"/>
      <c r="L754" s="44"/>
      <c r="M754" s="44" t="str">
        <f t="shared" si="1"/>
        <v>#DIV/0!</v>
      </c>
      <c r="N754" s="44" t="str">
        <f t="shared" si="2"/>
        <v>#DIV/0!</v>
      </c>
      <c r="O754" s="44" t="str">
        <f t="shared" si="4"/>
        <v/>
      </c>
      <c r="P754" s="44" t="str">
        <f t="shared" si="3"/>
        <v>#DIV/0!</v>
      </c>
      <c r="Q754" s="44"/>
    </row>
    <row r="755">
      <c r="A755" s="38" t="s">
        <v>2734</v>
      </c>
      <c r="B755" s="39" t="s">
        <v>2735</v>
      </c>
      <c r="C755" s="40" t="s">
        <v>4808</v>
      </c>
      <c r="D755" s="41" t="s">
        <v>4809</v>
      </c>
      <c r="E755" s="51"/>
      <c r="F755" s="51"/>
      <c r="G755" s="51"/>
      <c r="H755" s="44"/>
      <c r="I755" s="44"/>
      <c r="J755" s="44"/>
      <c r="K755" s="44"/>
      <c r="L755" s="44"/>
      <c r="M755" s="44" t="str">
        <f t="shared" si="1"/>
        <v>#DIV/0!</v>
      </c>
      <c r="N755" s="44" t="str">
        <f t="shared" si="2"/>
        <v>#DIV/0!</v>
      </c>
      <c r="O755" s="44" t="str">
        <f t="shared" si="4"/>
        <v/>
      </c>
      <c r="P755" s="44" t="str">
        <f t="shared" si="3"/>
        <v>#DIV/0!</v>
      </c>
      <c r="Q755" s="44"/>
    </row>
    <row r="756">
      <c r="A756" s="38" t="s">
        <v>2736</v>
      </c>
      <c r="B756" s="39" t="s">
        <v>2737</v>
      </c>
      <c r="C756" s="40" t="s">
        <v>268</v>
      </c>
      <c r="D756" s="41" t="s">
        <v>137</v>
      </c>
      <c r="E756" s="51"/>
      <c r="F756" s="51"/>
      <c r="G756" s="51"/>
      <c r="H756" s="44"/>
      <c r="I756" s="44"/>
      <c r="J756" s="44"/>
      <c r="K756" s="44"/>
      <c r="L756" s="44"/>
      <c r="M756" s="44" t="str">
        <f t="shared" si="1"/>
        <v>#DIV/0!</v>
      </c>
      <c r="N756" s="44" t="str">
        <f t="shared" si="2"/>
        <v>#DIV/0!</v>
      </c>
      <c r="O756" s="44" t="str">
        <f t="shared" si="4"/>
        <v/>
      </c>
      <c r="P756" s="44" t="str">
        <f t="shared" si="3"/>
        <v>#DIV/0!</v>
      </c>
      <c r="Q756" s="44"/>
    </row>
    <row r="757">
      <c r="A757" s="38" t="s">
        <v>2738</v>
      </c>
      <c r="B757" s="39" t="s">
        <v>2739</v>
      </c>
      <c r="C757" s="40" t="s">
        <v>5247</v>
      </c>
      <c r="D757" s="42" t="s">
        <v>2741</v>
      </c>
      <c r="E757" s="51"/>
      <c r="F757" s="51"/>
      <c r="G757" s="51"/>
      <c r="H757" s="44"/>
      <c r="I757" s="44"/>
      <c r="J757" s="44"/>
      <c r="K757" s="44"/>
      <c r="L757" s="44"/>
      <c r="M757" s="44" t="str">
        <f t="shared" si="1"/>
        <v>#DIV/0!</v>
      </c>
      <c r="N757" s="44" t="str">
        <f t="shared" si="2"/>
        <v>#DIV/0!</v>
      </c>
      <c r="O757" s="44" t="str">
        <f t="shared" si="4"/>
        <v/>
      </c>
      <c r="P757" s="44" t="str">
        <f t="shared" si="3"/>
        <v>#DIV/0!</v>
      </c>
      <c r="Q757" s="44"/>
    </row>
    <row r="758">
      <c r="A758" s="38" t="s">
        <v>2742</v>
      </c>
      <c r="B758" s="39" t="s">
        <v>2743</v>
      </c>
      <c r="C758" s="40" t="s">
        <v>2744</v>
      </c>
      <c r="D758" s="41" t="s">
        <v>2745</v>
      </c>
      <c r="E758" s="51"/>
      <c r="F758" s="51"/>
      <c r="G758" s="51"/>
      <c r="H758" s="44"/>
      <c r="I758" s="44"/>
      <c r="J758" s="44"/>
      <c r="K758" s="44"/>
      <c r="L758" s="44"/>
      <c r="M758" s="44" t="str">
        <f t="shared" si="1"/>
        <v>#DIV/0!</v>
      </c>
      <c r="N758" s="44" t="str">
        <f t="shared" si="2"/>
        <v>#DIV/0!</v>
      </c>
      <c r="O758" s="44" t="str">
        <f t="shared" si="4"/>
        <v/>
      </c>
      <c r="P758" s="44" t="str">
        <f t="shared" si="3"/>
        <v>#DIV/0!</v>
      </c>
      <c r="Q758" s="44"/>
    </row>
    <row r="759">
      <c r="A759" s="38" t="s">
        <v>2746</v>
      </c>
      <c r="B759" s="39" t="s">
        <v>2747</v>
      </c>
      <c r="C759" s="40" t="s">
        <v>2748</v>
      </c>
      <c r="D759" s="41" t="s">
        <v>2749</v>
      </c>
      <c r="E759" s="51"/>
      <c r="F759" s="51"/>
      <c r="G759" s="51"/>
      <c r="H759" s="44"/>
      <c r="I759" s="44"/>
      <c r="J759" s="44"/>
      <c r="K759" s="44"/>
      <c r="L759" s="44"/>
      <c r="M759" s="44" t="str">
        <f t="shared" si="1"/>
        <v>#DIV/0!</v>
      </c>
      <c r="N759" s="44" t="str">
        <f t="shared" si="2"/>
        <v>#DIV/0!</v>
      </c>
      <c r="O759" s="44" t="str">
        <f t="shared" si="4"/>
        <v/>
      </c>
      <c r="P759" s="44" t="str">
        <f t="shared" si="3"/>
        <v>#DIV/0!</v>
      </c>
      <c r="Q759" s="44"/>
    </row>
    <row r="760">
      <c r="A760" s="38" t="s">
        <v>2750</v>
      </c>
      <c r="B760" s="39" t="s">
        <v>2751</v>
      </c>
      <c r="C760" s="40" t="s">
        <v>2196</v>
      </c>
      <c r="D760" s="42" t="s">
        <v>864</v>
      </c>
      <c r="E760" s="51"/>
      <c r="F760" s="51"/>
      <c r="G760" s="51"/>
      <c r="H760" s="44"/>
      <c r="I760" s="44"/>
      <c r="J760" s="44"/>
      <c r="K760" s="44"/>
      <c r="L760" s="44"/>
      <c r="M760" s="44" t="str">
        <f t="shared" si="1"/>
        <v>#DIV/0!</v>
      </c>
      <c r="N760" s="44" t="str">
        <f t="shared" si="2"/>
        <v>#DIV/0!</v>
      </c>
      <c r="O760" s="44" t="str">
        <f t="shared" si="4"/>
        <v/>
      </c>
      <c r="P760" s="44" t="str">
        <f t="shared" si="3"/>
        <v>#DIV/0!</v>
      </c>
      <c r="Q760" s="44"/>
    </row>
    <row r="761">
      <c r="A761" s="38" t="s">
        <v>2752</v>
      </c>
      <c r="B761" s="39" t="s">
        <v>2753</v>
      </c>
      <c r="C761" s="40" t="s">
        <v>5248</v>
      </c>
      <c r="D761" s="42" t="s">
        <v>3078</v>
      </c>
      <c r="E761" s="51"/>
      <c r="F761" s="51"/>
      <c r="G761" s="51"/>
      <c r="H761" s="44"/>
      <c r="I761" s="44"/>
      <c r="J761" s="44"/>
      <c r="K761" s="44"/>
      <c r="L761" s="44"/>
      <c r="M761" s="44" t="str">
        <f t="shared" si="1"/>
        <v>#DIV/0!</v>
      </c>
      <c r="N761" s="44" t="str">
        <f t="shared" si="2"/>
        <v>#DIV/0!</v>
      </c>
      <c r="O761" s="44" t="str">
        <f t="shared" si="4"/>
        <v/>
      </c>
      <c r="P761" s="44" t="str">
        <f t="shared" si="3"/>
        <v>#DIV/0!</v>
      </c>
      <c r="Q761" s="44"/>
    </row>
    <row r="762">
      <c r="A762" s="38" t="s">
        <v>2756</v>
      </c>
      <c r="B762" s="39" t="s">
        <v>2757</v>
      </c>
      <c r="C762" s="40" t="s">
        <v>5249</v>
      </c>
      <c r="D762" s="42" t="s">
        <v>5250</v>
      </c>
      <c r="E762" s="51"/>
      <c r="F762" s="51"/>
      <c r="G762" s="51"/>
      <c r="H762" s="44"/>
      <c r="I762" s="44"/>
      <c r="J762" s="44"/>
      <c r="K762" s="44"/>
      <c r="L762" s="44"/>
      <c r="M762" s="44" t="str">
        <f t="shared" si="1"/>
        <v>#DIV/0!</v>
      </c>
      <c r="N762" s="44" t="str">
        <f t="shared" si="2"/>
        <v>#DIV/0!</v>
      </c>
      <c r="O762" s="44" t="str">
        <f t="shared" si="4"/>
        <v/>
      </c>
      <c r="P762" s="44" t="str">
        <f t="shared" si="3"/>
        <v>#DIV/0!</v>
      </c>
      <c r="Q762" s="44"/>
    </row>
    <row r="763">
      <c r="A763" s="38" t="s">
        <v>2760</v>
      </c>
      <c r="B763" s="39" t="s">
        <v>2761</v>
      </c>
      <c r="C763" s="40" t="s">
        <v>2196</v>
      </c>
      <c r="D763" s="42" t="s">
        <v>864</v>
      </c>
      <c r="E763" s="51"/>
      <c r="F763" s="51"/>
      <c r="G763" s="51"/>
      <c r="H763" s="44"/>
      <c r="I763" s="44"/>
      <c r="J763" s="44"/>
      <c r="K763" s="44"/>
      <c r="L763" s="44"/>
      <c r="M763" s="44" t="str">
        <f t="shared" si="1"/>
        <v>#DIV/0!</v>
      </c>
      <c r="N763" s="44" t="str">
        <f t="shared" si="2"/>
        <v>#DIV/0!</v>
      </c>
      <c r="O763" s="44" t="str">
        <f t="shared" si="4"/>
        <v/>
      </c>
      <c r="P763" s="44" t="str">
        <f t="shared" si="3"/>
        <v>#DIV/0!</v>
      </c>
      <c r="Q763" s="44"/>
    </row>
    <row r="764">
      <c r="A764" s="38" t="s">
        <v>2763</v>
      </c>
      <c r="B764" s="39" t="s">
        <v>2764</v>
      </c>
      <c r="C764" s="40" t="s">
        <v>1013</v>
      </c>
      <c r="D764" s="41" t="s">
        <v>1014</v>
      </c>
      <c r="E764" s="51"/>
      <c r="F764" s="51"/>
      <c r="G764" s="51"/>
      <c r="H764" s="44"/>
      <c r="I764" s="44"/>
      <c r="J764" s="44"/>
      <c r="K764" s="44"/>
      <c r="L764" s="44"/>
      <c r="M764" s="44" t="str">
        <f t="shared" si="1"/>
        <v>#DIV/0!</v>
      </c>
      <c r="N764" s="44" t="str">
        <f t="shared" si="2"/>
        <v>#DIV/0!</v>
      </c>
      <c r="O764" s="44" t="str">
        <f t="shared" si="4"/>
        <v/>
      </c>
      <c r="P764" s="44" t="str">
        <f t="shared" si="3"/>
        <v>#DIV/0!</v>
      </c>
      <c r="Q764" s="44"/>
    </row>
    <row r="765">
      <c r="A765" s="38" t="s">
        <v>2765</v>
      </c>
      <c r="B765" s="39" t="s">
        <v>2766</v>
      </c>
      <c r="C765" s="40" t="s">
        <v>2767</v>
      </c>
      <c r="D765" s="42" t="s">
        <v>5251</v>
      </c>
      <c r="E765" s="51"/>
      <c r="F765" s="51"/>
      <c r="G765" s="51"/>
      <c r="H765" s="44"/>
      <c r="I765" s="44"/>
      <c r="J765" s="44"/>
      <c r="K765" s="44"/>
      <c r="L765" s="44"/>
      <c r="M765" s="44" t="str">
        <f t="shared" si="1"/>
        <v>#DIV/0!</v>
      </c>
      <c r="N765" s="44" t="str">
        <f t="shared" si="2"/>
        <v>#DIV/0!</v>
      </c>
      <c r="O765" s="44" t="str">
        <f t="shared" si="4"/>
        <v/>
      </c>
      <c r="P765" s="44" t="str">
        <f t="shared" si="3"/>
        <v>#DIV/0!</v>
      </c>
      <c r="Q765" s="44"/>
    </row>
    <row r="766">
      <c r="A766" s="38" t="s">
        <v>2769</v>
      </c>
      <c r="B766" s="39" t="s">
        <v>2770</v>
      </c>
      <c r="C766" s="40" t="s">
        <v>5252</v>
      </c>
      <c r="D766" s="42" t="s">
        <v>5253</v>
      </c>
      <c r="E766" s="51"/>
      <c r="F766" s="51"/>
      <c r="G766" s="51"/>
      <c r="H766" s="44"/>
      <c r="I766" s="44"/>
      <c r="J766" s="44"/>
      <c r="K766" s="44"/>
      <c r="L766" s="44"/>
      <c r="M766" s="44" t="str">
        <f t="shared" si="1"/>
        <v>#DIV/0!</v>
      </c>
      <c r="N766" s="44" t="str">
        <f t="shared" si="2"/>
        <v>#DIV/0!</v>
      </c>
      <c r="O766" s="44" t="str">
        <f t="shared" si="4"/>
        <v/>
      </c>
      <c r="P766" s="44" t="str">
        <f t="shared" si="3"/>
        <v>#DIV/0!</v>
      </c>
      <c r="Q766" s="44"/>
    </row>
    <row r="767">
      <c r="A767" s="38" t="s">
        <v>2773</v>
      </c>
      <c r="B767" s="39" t="s">
        <v>2774</v>
      </c>
      <c r="C767" s="40" t="s">
        <v>5254</v>
      </c>
      <c r="D767" s="42" t="s">
        <v>4990</v>
      </c>
      <c r="E767" s="51"/>
      <c r="F767" s="51"/>
      <c r="G767" s="51"/>
      <c r="H767" s="44"/>
      <c r="I767" s="44"/>
      <c r="J767" s="44"/>
      <c r="K767" s="44"/>
      <c r="L767" s="44"/>
      <c r="M767" s="44" t="str">
        <f t="shared" si="1"/>
        <v>#DIV/0!</v>
      </c>
      <c r="N767" s="44" t="str">
        <f t="shared" si="2"/>
        <v>#DIV/0!</v>
      </c>
      <c r="O767" s="44" t="str">
        <f t="shared" si="4"/>
        <v/>
      </c>
      <c r="P767" s="44" t="str">
        <f t="shared" si="3"/>
        <v>#DIV/0!</v>
      </c>
      <c r="Q767" s="44"/>
    </row>
    <row r="768">
      <c r="A768" s="38" t="s">
        <v>2777</v>
      </c>
      <c r="B768" s="39" t="s">
        <v>2778</v>
      </c>
      <c r="C768" s="40" t="s">
        <v>2779</v>
      </c>
      <c r="D768" s="42" t="s">
        <v>5255</v>
      </c>
      <c r="E768" s="51"/>
      <c r="F768" s="51"/>
      <c r="G768" s="51"/>
      <c r="H768" s="44"/>
      <c r="I768" s="44"/>
      <c r="J768" s="44"/>
      <c r="K768" s="44"/>
      <c r="L768" s="44"/>
      <c r="M768" s="44" t="str">
        <f t="shared" si="1"/>
        <v>#DIV/0!</v>
      </c>
      <c r="N768" s="44" t="str">
        <f t="shared" si="2"/>
        <v>#DIV/0!</v>
      </c>
      <c r="O768" s="44" t="str">
        <f t="shared" si="4"/>
        <v/>
      </c>
      <c r="P768" s="44" t="str">
        <f t="shared" si="3"/>
        <v>#DIV/0!</v>
      </c>
      <c r="Q768" s="44"/>
    </row>
    <row r="769">
      <c r="A769" s="38" t="s">
        <v>2781</v>
      </c>
      <c r="B769" s="39" t="s">
        <v>2782</v>
      </c>
      <c r="C769" s="40" t="s">
        <v>5256</v>
      </c>
      <c r="D769" s="41" t="s">
        <v>2784</v>
      </c>
      <c r="E769" s="51"/>
      <c r="F769" s="51"/>
      <c r="G769" s="51"/>
      <c r="H769" s="44"/>
      <c r="I769" s="44"/>
      <c r="J769" s="44"/>
      <c r="K769" s="44"/>
      <c r="L769" s="44"/>
      <c r="M769" s="44" t="str">
        <f t="shared" si="1"/>
        <v>#DIV/0!</v>
      </c>
      <c r="N769" s="44" t="str">
        <f t="shared" si="2"/>
        <v>#DIV/0!</v>
      </c>
      <c r="O769" s="44" t="str">
        <f t="shared" si="4"/>
        <v/>
      </c>
      <c r="P769" s="44" t="str">
        <f t="shared" si="3"/>
        <v>#DIV/0!</v>
      </c>
      <c r="Q769" s="44"/>
    </row>
    <row r="770">
      <c r="A770" s="38" t="s">
        <v>2785</v>
      </c>
      <c r="B770" s="39" t="s">
        <v>2786</v>
      </c>
      <c r="C770" s="40" t="s">
        <v>5257</v>
      </c>
      <c r="D770" s="41" t="s">
        <v>5258</v>
      </c>
      <c r="E770" s="51"/>
      <c r="F770" s="51"/>
      <c r="G770" s="51"/>
      <c r="H770" s="44"/>
      <c r="I770" s="44"/>
      <c r="J770" s="44"/>
      <c r="K770" s="44"/>
      <c r="L770" s="44"/>
      <c r="M770" s="44" t="str">
        <f t="shared" si="1"/>
        <v>#DIV/0!</v>
      </c>
      <c r="N770" s="44" t="str">
        <f t="shared" si="2"/>
        <v>#DIV/0!</v>
      </c>
      <c r="O770" s="44" t="str">
        <f t="shared" si="4"/>
        <v/>
      </c>
      <c r="P770" s="44" t="str">
        <f t="shared" si="3"/>
        <v>#DIV/0!</v>
      </c>
      <c r="Q770" s="44"/>
    </row>
    <row r="771">
      <c r="A771" s="38" t="s">
        <v>2788</v>
      </c>
      <c r="B771" s="39" t="s">
        <v>2789</v>
      </c>
      <c r="C771" s="40" t="s">
        <v>2790</v>
      </c>
      <c r="D771" s="42" t="s">
        <v>5259</v>
      </c>
      <c r="E771" s="51"/>
      <c r="F771" s="51"/>
      <c r="G771" s="51"/>
      <c r="H771" s="44"/>
      <c r="I771" s="44"/>
      <c r="J771" s="44"/>
      <c r="K771" s="44"/>
      <c r="L771" s="44"/>
      <c r="M771" s="44" t="str">
        <f t="shared" si="1"/>
        <v>#DIV/0!</v>
      </c>
      <c r="N771" s="44" t="str">
        <f t="shared" si="2"/>
        <v>#DIV/0!</v>
      </c>
      <c r="O771" s="44" t="str">
        <f t="shared" si="4"/>
        <v/>
      </c>
      <c r="P771" s="44" t="str">
        <f t="shared" si="3"/>
        <v>#DIV/0!</v>
      </c>
      <c r="Q771" s="44"/>
    </row>
    <row r="772">
      <c r="A772" s="38" t="s">
        <v>2792</v>
      </c>
      <c r="B772" s="39" t="s">
        <v>2793</v>
      </c>
      <c r="C772" s="40" t="s">
        <v>5260</v>
      </c>
      <c r="D772" s="42" t="s">
        <v>5261</v>
      </c>
      <c r="E772" s="51"/>
      <c r="F772" s="51"/>
      <c r="G772" s="51"/>
      <c r="H772" s="44"/>
      <c r="I772" s="44"/>
      <c r="J772" s="44"/>
      <c r="K772" s="44"/>
      <c r="L772" s="44"/>
      <c r="M772" s="44" t="str">
        <f t="shared" si="1"/>
        <v>#DIV/0!</v>
      </c>
      <c r="N772" s="44" t="str">
        <f t="shared" si="2"/>
        <v>#DIV/0!</v>
      </c>
      <c r="O772" s="44" t="str">
        <f t="shared" si="4"/>
        <v/>
      </c>
      <c r="P772" s="44" t="str">
        <f t="shared" si="3"/>
        <v>#DIV/0!</v>
      </c>
      <c r="Q772" s="44"/>
    </row>
    <row r="773">
      <c r="A773" s="38" t="s">
        <v>2796</v>
      </c>
      <c r="B773" s="39" t="s">
        <v>2797</v>
      </c>
      <c r="C773" s="40" t="s">
        <v>4699</v>
      </c>
      <c r="D773" s="41" t="s">
        <v>360</v>
      </c>
      <c r="E773" s="51"/>
      <c r="F773" s="51"/>
      <c r="G773" s="51"/>
      <c r="H773" s="44"/>
      <c r="I773" s="44"/>
      <c r="J773" s="44"/>
      <c r="K773" s="44"/>
      <c r="L773" s="44"/>
      <c r="M773" s="44" t="str">
        <f t="shared" si="1"/>
        <v>#DIV/0!</v>
      </c>
      <c r="N773" s="44" t="str">
        <f t="shared" si="2"/>
        <v>#DIV/0!</v>
      </c>
      <c r="O773" s="44" t="str">
        <f t="shared" si="4"/>
        <v/>
      </c>
      <c r="P773" s="44" t="str">
        <f t="shared" si="3"/>
        <v>#DIV/0!</v>
      </c>
      <c r="Q773" s="44"/>
    </row>
    <row r="774">
      <c r="A774" s="38" t="s">
        <v>2798</v>
      </c>
      <c r="B774" s="39" t="s">
        <v>2799</v>
      </c>
      <c r="C774" s="40" t="s">
        <v>5262</v>
      </c>
      <c r="D774" s="42" t="s">
        <v>5263</v>
      </c>
      <c r="E774" s="51"/>
      <c r="F774" s="51"/>
      <c r="G774" s="51"/>
      <c r="H774" s="44"/>
      <c r="I774" s="44"/>
      <c r="J774" s="44"/>
      <c r="K774" s="44"/>
      <c r="L774" s="44"/>
      <c r="M774" s="44" t="str">
        <f t="shared" si="1"/>
        <v>#DIV/0!</v>
      </c>
      <c r="N774" s="44" t="str">
        <f t="shared" si="2"/>
        <v>#DIV/0!</v>
      </c>
      <c r="O774" s="44" t="str">
        <f t="shared" si="4"/>
        <v/>
      </c>
      <c r="P774" s="44" t="str">
        <f t="shared" si="3"/>
        <v>#DIV/0!</v>
      </c>
      <c r="Q774" s="44"/>
    </row>
    <row r="775">
      <c r="A775" s="38" t="s">
        <v>2802</v>
      </c>
      <c r="B775" s="39" t="s">
        <v>2803</v>
      </c>
      <c r="C775" s="40" t="s">
        <v>1174</v>
      </c>
      <c r="D775" s="41" t="s">
        <v>844</v>
      </c>
      <c r="E775" s="51"/>
      <c r="F775" s="51"/>
      <c r="G775" s="51"/>
      <c r="H775" s="44"/>
      <c r="I775" s="44"/>
      <c r="J775" s="44"/>
      <c r="K775" s="44"/>
      <c r="L775" s="44"/>
      <c r="M775" s="44" t="str">
        <f t="shared" si="1"/>
        <v>#DIV/0!</v>
      </c>
      <c r="N775" s="44" t="str">
        <f t="shared" si="2"/>
        <v>#DIV/0!</v>
      </c>
      <c r="O775" s="44" t="str">
        <f t="shared" si="4"/>
        <v/>
      </c>
      <c r="P775" s="44" t="str">
        <f t="shared" si="3"/>
        <v>#DIV/0!</v>
      </c>
      <c r="Q775" s="44"/>
    </row>
    <row r="776">
      <c r="A776" s="38" t="s">
        <v>2805</v>
      </c>
      <c r="B776" s="39" t="s">
        <v>2806</v>
      </c>
      <c r="C776" s="40" t="s">
        <v>1112</v>
      </c>
      <c r="D776" s="41" t="s">
        <v>1113</v>
      </c>
      <c r="E776" s="51"/>
      <c r="F776" s="51"/>
      <c r="G776" s="51"/>
      <c r="H776" s="44"/>
      <c r="I776" s="44"/>
      <c r="J776" s="44"/>
      <c r="K776" s="44"/>
      <c r="L776" s="44"/>
      <c r="M776" s="44" t="str">
        <f t="shared" si="1"/>
        <v>#DIV/0!</v>
      </c>
      <c r="N776" s="44" t="str">
        <f t="shared" si="2"/>
        <v>#DIV/0!</v>
      </c>
      <c r="O776" s="44" t="str">
        <f t="shared" si="4"/>
        <v/>
      </c>
      <c r="P776" s="44" t="str">
        <f t="shared" si="3"/>
        <v>#DIV/0!</v>
      </c>
      <c r="Q776" s="44"/>
    </row>
    <row r="777">
      <c r="A777" s="38" t="s">
        <v>2808</v>
      </c>
      <c r="B777" s="39" t="s">
        <v>2809</v>
      </c>
      <c r="C777" s="40" t="s">
        <v>5264</v>
      </c>
      <c r="D777" s="41" t="s">
        <v>585</v>
      </c>
      <c r="E777" s="51"/>
      <c r="F777" s="51"/>
      <c r="G777" s="51"/>
      <c r="H777" s="44"/>
      <c r="I777" s="44"/>
      <c r="J777" s="44"/>
      <c r="K777" s="44"/>
      <c r="L777" s="44"/>
      <c r="M777" s="44" t="str">
        <f t="shared" si="1"/>
        <v>#DIV/0!</v>
      </c>
      <c r="N777" s="44" t="str">
        <f t="shared" si="2"/>
        <v>#DIV/0!</v>
      </c>
      <c r="O777" s="44" t="str">
        <f t="shared" si="4"/>
        <v/>
      </c>
      <c r="P777" s="44" t="str">
        <f t="shared" si="3"/>
        <v>#DIV/0!</v>
      </c>
      <c r="Q777" s="44"/>
    </row>
    <row r="778">
      <c r="A778" s="38" t="s">
        <v>2811</v>
      </c>
      <c r="B778" s="39" t="s">
        <v>2812</v>
      </c>
      <c r="C778" s="40" t="s">
        <v>2813</v>
      </c>
      <c r="D778" s="41" t="s">
        <v>2814</v>
      </c>
      <c r="E778" s="51"/>
      <c r="F778" s="51"/>
      <c r="G778" s="51"/>
      <c r="H778" s="44"/>
      <c r="I778" s="44"/>
      <c r="J778" s="44"/>
      <c r="K778" s="44"/>
      <c r="L778" s="44"/>
      <c r="M778" s="44" t="str">
        <f t="shared" si="1"/>
        <v>#DIV/0!</v>
      </c>
      <c r="N778" s="44" t="str">
        <f t="shared" si="2"/>
        <v>#DIV/0!</v>
      </c>
      <c r="O778" s="44" t="str">
        <f t="shared" si="4"/>
        <v/>
      </c>
      <c r="P778" s="44" t="str">
        <f t="shared" si="3"/>
        <v>#DIV/0!</v>
      </c>
      <c r="Q778" s="44"/>
    </row>
    <row r="779">
      <c r="A779" s="38" t="s">
        <v>2815</v>
      </c>
      <c r="B779" s="39" t="s">
        <v>2816</v>
      </c>
      <c r="C779" s="40" t="s">
        <v>5265</v>
      </c>
      <c r="D779" s="42" t="s">
        <v>2818</v>
      </c>
      <c r="E779" s="51"/>
      <c r="F779" s="51"/>
      <c r="G779" s="51"/>
      <c r="H779" s="44"/>
      <c r="I779" s="44"/>
      <c r="J779" s="44"/>
      <c r="K779" s="44"/>
      <c r="L779" s="44"/>
      <c r="M779" s="44" t="str">
        <f t="shared" si="1"/>
        <v>#DIV/0!</v>
      </c>
      <c r="N779" s="44" t="str">
        <f t="shared" si="2"/>
        <v>#DIV/0!</v>
      </c>
      <c r="O779" s="44" t="str">
        <f t="shared" si="4"/>
        <v/>
      </c>
      <c r="P779" s="44" t="str">
        <f t="shared" si="3"/>
        <v>#DIV/0!</v>
      </c>
      <c r="Q779" s="44"/>
    </row>
    <row r="780">
      <c r="A780" s="38" t="s">
        <v>2819</v>
      </c>
      <c r="B780" s="39" t="s">
        <v>2820</v>
      </c>
      <c r="C780" s="40" t="s">
        <v>2821</v>
      </c>
      <c r="D780" s="41" t="s">
        <v>2822</v>
      </c>
      <c r="E780" s="51"/>
      <c r="F780" s="51"/>
      <c r="G780" s="51"/>
      <c r="H780" s="44"/>
      <c r="I780" s="44"/>
      <c r="J780" s="44"/>
      <c r="K780" s="44"/>
      <c r="L780" s="44"/>
      <c r="M780" s="44" t="str">
        <f t="shared" si="1"/>
        <v>#DIV/0!</v>
      </c>
      <c r="N780" s="44" t="str">
        <f t="shared" si="2"/>
        <v>#DIV/0!</v>
      </c>
      <c r="O780" s="44" t="str">
        <f t="shared" si="4"/>
        <v/>
      </c>
      <c r="P780" s="44" t="str">
        <f t="shared" si="3"/>
        <v>#DIV/0!</v>
      </c>
      <c r="Q780" s="44"/>
    </row>
    <row r="781">
      <c r="A781" s="38" t="s">
        <v>2823</v>
      </c>
      <c r="B781" s="39" t="s">
        <v>2824</v>
      </c>
      <c r="C781" s="40" t="s">
        <v>2825</v>
      </c>
      <c r="D781" s="41" t="s">
        <v>2826</v>
      </c>
      <c r="E781" s="51"/>
      <c r="F781" s="51"/>
      <c r="G781" s="51"/>
      <c r="H781" s="44"/>
      <c r="I781" s="44"/>
      <c r="J781" s="44"/>
      <c r="K781" s="44"/>
      <c r="L781" s="44"/>
      <c r="M781" s="44" t="str">
        <f t="shared" si="1"/>
        <v>#DIV/0!</v>
      </c>
      <c r="N781" s="44" t="str">
        <f t="shared" si="2"/>
        <v>#DIV/0!</v>
      </c>
      <c r="O781" s="44" t="str">
        <f t="shared" si="4"/>
        <v/>
      </c>
      <c r="P781" s="44" t="str">
        <f t="shared" si="3"/>
        <v>#DIV/0!</v>
      </c>
      <c r="Q781" s="44"/>
    </row>
    <row r="782">
      <c r="A782" s="38" t="s">
        <v>2827</v>
      </c>
      <c r="B782" s="39" t="s">
        <v>2828</v>
      </c>
      <c r="C782" s="40" t="s">
        <v>2829</v>
      </c>
      <c r="D782" s="42" t="s">
        <v>5266</v>
      </c>
      <c r="E782" s="51"/>
      <c r="F782" s="51"/>
      <c r="G782" s="51"/>
      <c r="H782" s="44"/>
      <c r="I782" s="44"/>
      <c r="J782" s="44"/>
      <c r="K782" s="44"/>
      <c r="L782" s="44"/>
      <c r="M782" s="44" t="str">
        <f t="shared" si="1"/>
        <v>#DIV/0!</v>
      </c>
      <c r="N782" s="44" t="str">
        <f t="shared" si="2"/>
        <v>#DIV/0!</v>
      </c>
      <c r="O782" s="44" t="str">
        <f t="shared" si="4"/>
        <v/>
      </c>
      <c r="P782" s="44" t="str">
        <f t="shared" si="3"/>
        <v>#DIV/0!</v>
      </c>
      <c r="Q782" s="44"/>
    </row>
    <row r="783">
      <c r="A783" s="38" t="s">
        <v>2831</v>
      </c>
      <c r="B783" s="39" t="s">
        <v>2832</v>
      </c>
      <c r="C783" s="40" t="s">
        <v>226</v>
      </c>
      <c r="D783" s="41" t="s">
        <v>227</v>
      </c>
      <c r="E783" s="51"/>
      <c r="F783" s="51"/>
      <c r="G783" s="51"/>
      <c r="H783" s="44"/>
      <c r="I783" s="44"/>
      <c r="J783" s="44"/>
      <c r="K783" s="44"/>
      <c r="L783" s="44"/>
      <c r="M783" s="44" t="str">
        <f t="shared" si="1"/>
        <v>#DIV/0!</v>
      </c>
      <c r="N783" s="44" t="str">
        <f t="shared" si="2"/>
        <v>#DIV/0!</v>
      </c>
      <c r="O783" s="44" t="str">
        <f t="shared" si="4"/>
        <v/>
      </c>
      <c r="P783" s="44" t="str">
        <f t="shared" si="3"/>
        <v>#DIV/0!</v>
      </c>
      <c r="Q783" s="44"/>
    </row>
    <row r="784">
      <c r="A784" s="38" t="s">
        <v>2834</v>
      </c>
      <c r="B784" s="39" t="s">
        <v>2835</v>
      </c>
      <c r="C784" s="40" t="s">
        <v>5267</v>
      </c>
      <c r="D784" s="42" t="s">
        <v>5268</v>
      </c>
      <c r="E784" s="51"/>
      <c r="F784" s="51"/>
      <c r="G784" s="51"/>
      <c r="H784" s="44"/>
      <c r="I784" s="44"/>
      <c r="J784" s="44"/>
      <c r="K784" s="44"/>
      <c r="L784" s="44"/>
      <c r="M784" s="44" t="str">
        <f t="shared" si="1"/>
        <v>#DIV/0!</v>
      </c>
      <c r="N784" s="44" t="str">
        <f t="shared" si="2"/>
        <v>#DIV/0!</v>
      </c>
      <c r="O784" s="44" t="str">
        <f t="shared" si="4"/>
        <v/>
      </c>
      <c r="P784" s="44" t="str">
        <f t="shared" si="3"/>
        <v>#DIV/0!</v>
      </c>
      <c r="Q784" s="44"/>
    </row>
    <row r="785">
      <c r="A785" s="38" t="s">
        <v>2838</v>
      </c>
      <c r="B785" s="39" t="s">
        <v>2839</v>
      </c>
      <c r="C785" s="40" t="s">
        <v>5269</v>
      </c>
      <c r="D785" s="41" t="s">
        <v>2841</v>
      </c>
      <c r="E785" s="51"/>
      <c r="F785" s="51"/>
      <c r="G785" s="51"/>
      <c r="H785" s="44"/>
      <c r="I785" s="44"/>
      <c r="J785" s="44"/>
      <c r="K785" s="44"/>
      <c r="L785" s="44"/>
      <c r="M785" s="44" t="str">
        <f t="shared" si="1"/>
        <v>#DIV/0!</v>
      </c>
      <c r="N785" s="44" t="str">
        <f t="shared" si="2"/>
        <v>#DIV/0!</v>
      </c>
      <c r="O785" s="44" t="str">
        <f t="shared" si="4"/>
        <v/>
      </c>
      <c r="P785" s="44" t="str">
        <f t="shared" si="3"/>
        <v>#DIV/0!</v>
      </c>
      <c r="Q785" s="44"/>
    </row>
    <row r="786">
      <c r="A786" s="38" t="s">
        <v>2842</v>
      </c>
      <c r="B786" s="39" t="s">
        <v>2843</v>
      </c>
      <c r="C786" s="40" t="s">
        <v>2844</v>
      </c>
      <c r="D786" s="41" t="s">
        <v>2845</v>
      </c>
      <c r="E786" s="51"/>
      <c r="F786" s="51"/>
      <c r="G786" s="51"/>
      <c r="H786" s="44"/>
      <c r="I786" s="44"/>
      <c r="J786" s="44"/>
      <c r="K786" s="44"/>
      <c r="L786" s="44"/>
      <c r="M786" s="44" t="str">
        <f t="shared" si="1"/>
        <v>#DIV/0!</v>
      </c>
      <c r="N786" s="44" t="str">
        <f t="shared" si="2"/>
        <v>#DIV/0!</v>
      </c>
      <c r="O786" s="44" t="str">
        <f t="shared" si="4"/>
        <v/>
      </c>
      <c r="P786" s="44" t="str">
        <f t="shared" si="3"/>
        <v>#DIV/0!</v>
      </c>
      <c r="Q786" s="44"/>
    </row>
    <row r="787">
      <c r="A787" s="38" t="s">
        <v>2846</v>
      </c>
      <c r="B787" s="39" t="s">
        <v>2847</v>
      </c>
      <c r="C787" s="40" t="s">
        <v>5270</v>
      </c>
      <c r="D787" s="41" t="s">
        <v>5271</v>
      </c>
      <c r="E787" s="51"/>
      <c r="F787" s="51"/>
      <c r="G787" s="51"/>
      <c r="H787" s="44"/>
      <c r="I787" s="44"/>
      <c r="J787" s="44"/>
      <c r="K787" s="44"/>
      <c r="L787" s="44"/>
      <c r="M787" s="44" t="str">
        <f t="shared" si="1"/>
        <v>#DIV/0!</v>
      </c>
      <c r="N787" s="44" t="str">
        <f t="shared" si="2"/>
        <v>#DIV/0!</v>
      </c>
      <c r="O787" s="44" t="str">
        <f t="shared" si="4"/>
        <v/>
      </c>
      <c r="P787" s="44" t="str">
        <f t="shared" si="3"/>
        <v>#DIV/0!</v>
      </c>
      <c r="Q787" s="44"/>
    </row>
    <row r="788">
      <c r="A788" s="38" t="s">
        <v>2850</v>
      </c>
      <c r="B788" s="39" t="s">
        <v>2851</v>
      </c>
      <c r="C788" s="40" t="s">
        <v>2852</v>
      </c>
      <c r="D788" s="42" t="s">
        <v>5272</v>
      </c>
      <c r="E788" s="51"/>
      <c r="F788" s="51"/>
      <c r="G788" s="51"/>
      <c r="H788" s="44"/>
      <c r="I788" s="44"/>
      <c r="J788" s="44"/>
      <c r="K788" s="44"/>
      <c r="L788" s="44"/>
      <c r="M788" s="44" t="str">
        <f t="shared" si="1"/>
        <v>#DIV/0!</v>
      </c>
      <c r="N788" s="44" t="str">
        <f t="shared" si="2"/>
        <v>#DIV/0!</v>
      </c>
      <c r="O788" s="44" t="str">
        <f t="shared" si="4"/>
        <v/>
      </c>
      <c r="P788" s="44" t="str">
        <f t="shared" si="3"/>
        <v>#DIV/0!</v>
      </c>
      <c r="Q788" s="44"/>
    </row>
    <row r="789">
      <c r="A789" s="38" t="s">
        <v>2854</v>
      </c>
      <c r="B789" s="39" t="s">
        <v>2855</v>
      </c>
      <c r="C789" s="40" t="s">
        <v>5273</v>
      </c>
      <c r="D789" s="42" t="s">
        <v>5274</v>
      </c>
      <c r="E789" s="51"/>
      <c r="F789" s="51"/>
      <c r="G789" s="51"/>
      <c r="H789" s="44"/>
      <c r="I789" s="44"/>
      <c r="J789" s="44"/>
      <c r="K789" s="44"/>
      <c r="L789" s="44"/>
      <c r="M789" s="44" t="str">
        <f t="shared" si="1"/>
        <v>#DIV/0!</v>
      </c>
      <c r="N789" s="44" t="str">
        <f t="shared" si="2"/>
        <v>#DIV/0!</v>
      </c>
      <c r="O789" s="44" t="str">
        <f t="shared" si="4"/>
        <v/>
      </c>
      <c r="P789" s="44" t="str">
        <f t="shared" si="3"/>
        <v>#DIV/0!</v>
      </c>
      <c r="Q789" s="44"/>
    </row>
    <row r="790">
      <c r="A790" s="38" t="s">
        <v>2858</v>
      </c>
      <c r="B790" s="39" t="s">
        <v>2859</v>
      </c>
      <c r="C790" s="40" t="s">
        <v>973</v>
      </c>
      <c r="D790" s="42" t="s">
        <v>4864</v>
      </c>
      <c r="E790" s="51"/>
      <c r="F790" s="51"/>
      <c r="G790" s="51"/>
      <c r="H790" s="44"/>
      <c r="I790" s="44"/>
      <c r="J790" s="44"/>
      <c r="K790" s="44"/>
      <c r="L790" s="44"/>
      <c r="M790" s="44" t="str">
        <f t="shared" si="1"/>
        <v>#DIV/0!</v>
      </c>
      <c r="N790" s="44" t="str">
        <f t="shared" si="2"/>
        <v>#DIV/0!</v>
      </c>
      <c r="O790" s="44" t="str">
        <f t="shared" si="4"/>
        <v/>
      </c>
      <c r="P790" s="44" t="str">
        <f t="shared" si="3"/>
        <v>#DIV/0!</v>
      </c>
      <c r="Q790" s="44"/>
    </row>
    <row r="791">
      <c r="A791" s="38" t="s">
        <v>2860</v>
      </c>
      <c r="B791" s="39" t="s">
        <v>2861</v>
      </c>
      <c r="C791" s="40" t="s">
        <v>2862</v>
      </c>
      <c r="D791" s="42" t="s">
        <v>5275</v>
      </c>
      <c r="E791" s="51"/>
      <c r="F791" s="51"/>
      <c r="G791" s="51"/>
      <c r="H791" s="44"/>
      <c r="I791" s="44"/>
      <c r="J791" s="44"/>
      <c r="K791" s="44"/>
      <c r="L791" s="44"/>
      <c r="M791" s="44" t="str">
        <f t="shared" si="1"/>
        <v>#DIV/0!</v>
      </c>
      <c r="N791" s="44" t="str">
        <f t="shared" si="2"/>
        <v>#DIV/0!</v>
      </c>
      <c r="O791" s="44" t="str">
        <f t="shared" si="4"/>
        <v/>
      </c>
      <c r="P791" s="44" t="str">
        <f t="shared" si="3"/>
        <v>#DIV/0!</v>
      </c>
      <c r="Q791" s="44"/>
    </row>
    <row r="792">
      <c r="A792" s="38" t="s">
        <v>2864</v>
      </c>
      <c r="B792" s="39" t="s">
        <v>2865</v>
      </c>
      <c r="C792" s="40" t="s">
        <v>5276</v>
      </c>
      <c r="D792" s="42" t="s">
        <v>5277</v>
      </c>
      <c r="E792" s="51"/>
      <c r="F792" s="51"/>
      <c r="G792" s="51"/>
      <c r="H792" s="44"/>
      <c r="I792" s="44"/>
      <c r="J792" s="44"/>
      <c r="K792" s="44"/>
      <c r="L792" s="44"/>
      <c r="M792" s="44" t="str">
        <f t="shared" si="1"/>
        <v>#DIV/0!</v>
      </c>
      <c r="N792" s="44" t="str">
        <f t="shared" si="2"/>
        <v>#DIV/0!</v>
      </c>
      <c r="O792" s="44" t="str">
        <f t="shared" si="4"/>
        <v/>
      </c>
      <c r="P792" s="44" t="str">
        <f t="shared" si="3"/>
        <v>#DIV/0!</v>
      </c>
      <c r="Q792" s="44"/>
    </row>
    <row r="793">
      <c r="A793" s="38" t="s">
        <v>2868</v>
      </c>
      <c r="B793" s="39" t="s">
        <v>2869</v>
      </c>
      <c r="C793" s="40" t="s">
        <v>5278</v>
      </c>
      <c r="D793" s="42" t="s">
        <v>5279</v>
      </c>
      <c r="E793" s="51"/>
      <c r="F793" s="51"/>
      <c r="G793" s="51"/>
      <c r="H793" s="44"/>
      <c r="I793" s="44"/>
      <c r="J793" s="44"/>
      <c r="K793" s="44"/>
      <c r="L793" s="44"/>
      <c r="M793" s="44" t="str">
        <f t="shared" si="1"/>
        <v>#DIV/0!</v>
      </c>
      <c r="N793" s="44" t="str">
        <f t="shared" si="2"/>
        <v>#DIV/0!</v>
      </c>
      <c r="O793" s="44" t="str">
        <f t="shared" si="4"/>
        <v/>
      </c>
      <c r="P793" s="44" t="str">
        <f t="shared" si="3"/>
        <v>#DIV/0!</v>
      </c>
      <c r="Q793" s="44"/>
    </row>
    <row r="794">
      <c r="A794" s="38" t="s">
        <v>2872</v>
      </c>
      <c r="B794" s="39" t="s">
        <v>2873</v>
      </c>
      <c r="C794" s="40" t="s">
        <v>2874</v>
      </c>
      <c r="D794" s="41" t="s">
        <v>2875</v>
      </c>
      <c r="E794" s="51"/>
      <c r="F794" s="51"/>
      <c r="G794" s="51"/>
      <c r="H794" s="44"/>
      <c r="I794" s="44"/>
      <c r="J794" s="44"/>
      <c r="K794" s="44"/>
      <c r="L794" s="44"/>
      <c r="M794" s="44" t="str">
        <f t="shared" si="1"/>
        <v>#DIV/0!</v>
      </c>
      <c r="N794" s="44" t="str">
        <f t="shared" si="2"/>
        <v>#DIV/0!</v>
      </c>
      <c r="O794" s="44" t="str">
        <f t="shared" si="4"/>
        <v/>
      </c>
      <c r="P794" s="44" t="str">
        <f t="shared" si="3"/>
        <v>#DIV/0!</v>
      </c>
      <c r="Q794" s="44"/>
    </row>
    <row r="795">
      <c r="A795" s="38" t="s">
        <v>2876</v>
      </c>
      <c r="B795" s="39" t="s">
        <v>2877</v>
      </c>
      <c r="C795" s="40" t="s">
        <v>268</v>
      </c>
      <c r="D795" s="41" t="s">
        <v>137</v>
      </c>
      <c r="E795" s="51"/>
      <c r="F795" s="51"/>
      <c r="G795" s="51"/>
      <c r="H795" s="44"/>
      <c r="I795" s="44"/>
      <c r="J795" s="44"/>
      <c r="K795" s="44"/>
      <c r="L795" s="44"/>
      <c r="M795" s="44" t="str">
        <f t="shared" si="1"/>
        <v>#DIV/0!</v>
      </c>
      <c r="N795" s="44" t="str">
        <f t="shared" si="2"/>
        <v>#DIV/0!</v>
      </c>
      <c r="O795" s="44" t="str">
        <f t="shared" si="4"/>
        <v/>
      </c>
      <c r="P795" s="44" t="str">
        <f t="shared" si="3"/>
        <v>#DIV/0!</v>
      </c>
      <c r="Q795" s="44"/>
    </row>
    <row r="796">
      <c r="A796" s="38" t="s">
        <v>2878</v>
      </c>
      <c r="B796" s="39" t="s">
        <v>2879</v>
      </c>
      <c r="C796" s="40" t="s">
        <v>268</v>
      </c>
      <c r="D796" s="41" t="s">
        <v>137</v>
      </c>
      <c r="E796" s="51"/>
      <c r="F796" s="51"/>
      <c r="G796" s="51"/>
      <c r="H796" s="44"/>
      <c r="I796" s="44"/>
      <c r="J796" s="44"/>
      <c r="K796" s="44"/>
      <c r="L796" s="44"/>
      <c r="M796" s="44" t="str">
        <f t="shared" si="1"/>
        <v>#DIV/0!</v>
      </c>
      <c r="N796" s="44" t="str">
        <f t="shared" si="2"/>
        <v>#DIV/0!</v>
      </c>
      <c r="O796" s="44" t="str">
        <f t="shared" si="4"/>
        <v/>
      </c>
      <c r="P796" s="44" t="str">
        <f t="shared" si="3"/>
        <v>#DIV/0!</v>
      </c>
      <c r="Q796" s="44"/>
    </row>
    <row r="797">
      <c r="A797" s="38" t="s">
        <v>2880</v>
      </c>
      <c r="B797" s="39" t="s">
        <v>2881</v>
      </c>
      <c r="C797" s="40" t="s">
        <v>40</v>
      </c>
      <c r="D797" s="41" t="s">
        <v>41</v>
      </c>
      <c r="E797" s="51"/>
      <c r="F797" s="51"/>
      <c r="G797" s="51"/>
      <c r="H797" s="44"/>
      <c r="I797" s="44"/>
      <c r="J797" s="44"/>
      <c r="K797" s="44"/>
      <c r="L797" s="44"/>
      <c r="M797" s="44" t="str">
        <f t="shared" si="1"/>
        <v>#DIV/0!</v>
      </c>
      <c r="N797" s="44" t="str">
        <f t="shared" si="2"/>
        <v>#DIV/0!</v>
      </c>
      <c r="O797" s="44" t="str">
        <f t="shared" si="4"/>
        <v/>
      </c>
      <c r="P797" s="44" t="str">
        <f t="shared" si="3"/>
        <v>#DIV/0!</v>
      </c>
      <c r="Q797" s="44"/>
    </row>
    <row r="798">
      <c r="A798" s="38" t="s">
        <v>2882</v>
      </c>
      <c r="B798" s="39" t="s">
        <v>2883</v>
      </c>
      <c r="C798" s="40" t="s">
        <v>2884</v>
      </c>
      <c r="D798" s="42" t="s">
        <v>2885</v>
      </c>
      <c r="E798" s="51"/>
      <c r="F798" s="51"/>
      <c r="G798" s="51"/>
      <c r="H798" s="44"/>
      <c r="I798" s="44"/>
      <c r="J798" s="44"/>
      <c r="K798" s="44"/>
      <c r="L798" s="44"/>
      <c r="M798" s="44" t="str">
        <f t="shared" si="1"/>
        <v>#DIV/0!</v>
      </c>
      <c r="N798" s="44" t="str">
        <f t="shared" si="2"/>
        <v>#DIV/0!</v>
      </c>
      <c r="O798" s="44" t="str">
        <f t="shared" si="4"/>
        <v/>
      </c>
      <c r="P798" s="44" t="str">
        <f t="shared" si="3"/>
        <v>#DIV/0!</v>
      </c>
      <c r="Q798" s="44"/>
    </row>
    <row r="799">
      <c r="A799" s="38" t="s">
        <v>2886</v>
      </c>
      <c r="B799" s="39" t="s">
        <v>2887</v>
      </c>
      <c r="C799" s="40" t="s">
        <v>5280</v>
      </c>
      <c r="D799" s="42" t="s">
        <v>5281</v>
      </c>
      <c r="E799" s="51"/>
      <c r="F799" s="51"/>
      <c r="G799" s="51"/>
      <c r="H799" s="44"/>
      <c r="I799" s="44"/>
      <c r="J799" s="44"/>
      <c r="K799" s="44"/>
      <c r="L799" s="44"/>
      <c r="M799" s="44" t="str">
        <f t="shared" si="1"/>
        <v>#DIV/0!</v>
      </c>
      <c r="N799" s="44" t="str">
        <f t="shared" si="2"/>
        <v>#DIV/0!</v>
      </c>
      <c r="O799" s="44" t="str">
        <f t="shared" si="4"/>
        <v/>
      </c>
      <c r="P799" s="44" t="str">
        <f t="shared" si="3"/>
        <v>#DIV/0!</v>
      </c>
      <c r="Q799" s="44"/>
    </row>
    <row r="800">
      <c r="A800" s="38" t="s">
        <v>2890</v>
      </c>
      <c r="B800" s="39" t="s">
        <v>2891</v>
      </c>
      <c r="C800" s="40" t="s">
        <v>5282</v>
      </c>
      <c r="D800" s="41" t="s">
        <v>2893</v>
      </c>
      <c r="E800" s="51"/>
      <c r="F800" s="51"/>
      <c r="G800" s="51"/>
      <c r="H800" s="44"/>
      <c r="I800" s="44"/>
      <c r="J800" s="44"/>
      <c r="K800" s="44"/>
      <c r="L800" s="44"/>
      <c r="M800" s="44" t="str">
        <f t="shared" si="1"/>
        <v>#DIV/0!</v>
      </c>
      <c r="N800" s="44" t="str">
        <f t="shared" si="2"/>
        <v>#DIV/0!</v>
      </c>
      <c r="O800" s="44" t="str">
        <f t="shared" si="4"/>
        <v/>
      </c>
      <c r="P800" s="44" t="str">
        <f t="shared" si="3"/>
        <v>#DIV/0!</v>
      </c>
      <c r="Q800" s="44"/>
    </row>
    <row r="801">
      <c r="A801" s="38" t="s">
        <v>2894</v>
      </c>
      <c r="B801" s="39" t="s">
        <v>2895</v>
      </c>
      <c r="C801" s="40" t="s">
        <v>2896</v>
      </c>
      <c r="D801" s="42" t="s">
        <v>5283</v>
      </c>
      <c r="E801" s="51"/>
      <c r="F801" s="51"/>
      <c r="G801" s="51"/>
      <c r="H801" s="44"/>
      <c r="I801" s="44"/>
      <c r="J801" s="44"/>
      <c r="K801" s="44"/>
      <c r="L801" s="44"/>
      <c r="M801" s="44" t="str">
        <f t="shared" si="1"/>
        <v>#DIV/0!</v>
      </c>
      <c r="N801" s="44" t="str">
        <f t="shared" si="2"/>
        <v>#DIV/0!</v>
      </c>
      <c r="O801" s="44" t="str">
        <f t="shared" si="4"/>
        <v/>
      </c>
      <c r="P801" s="44" t="str">
        <f t="shared" si="3"/>
        <v>#DIV/0!</v>
      </c>
      <c r="Q801" s="44"/>
    </row>
    <row r="802">
      <c r="A802" s="38" t="s">
        <v>2898</v>
      </c>
      <c r="B802" s="39" t="s">
        <v>2899</v>
      </c>
      <c r="C802" s="40" t="s">
        <v>1421</v>
      </c>
      <c r="D802" s="41" t="s">
        <v>1422</v>
      </c>
      <c r="E802" s="51"/>
      <c r="F802" s="51"/>
      <c r="G802" s="51"/>
      <c r="H802" s="44"/>
      <c r="I802" s="44"/>
      <c r="J802" s="44"/>
      <c r="K802" s="44"/>
      <c r="L802" s="44"/>
      <c r="M802" s="44" t="str">
        <f t="shared" si="1"/>
        <v>#DIV/0!</v>
      </c>
      <c r="N802" s="44" t="str">
        <f t="shared" si="2"/>
        <v>#DIV/0!</v>
      </c>
      <c r="O802" s="44" t="str">
        <f t="shared" si="4"/>
        <v/>
      </c>
      <c r="P802" s="44" t="str">
        <f t="shared" si="3"/>
        <v>#DIV/0!</v>
      </c>
      <c r="Q802" s="44"/>
    </row>
    <row r="803">
      <c r="A803" s="38" t="s">
        <v>2900</v>
      </c>
      <c r="B803" s="39" t="s">
        <v>2901</v>
      </c>
      <c r="C803" s="40" t="s">
        <v>5284</v>
      </c>
      <c r="D803" s="42" t="s">
        <v>5285</v>
      </c>
      <c r="E803" s="51"/>
      <c r="F803" s="51"/>
      <c r="G803" s="51"/>
      <c r="H803" s="44"/>
      <c r="I803" s="44"/>
      <c r="J803" s="44"/>
      <c r="K803" s="44"/>
      <c r="L803" s="44"/>
      <c r="M803" s="44" t="str">
        <f t="shared" si="1"/>
        <v>#DIV/0!</v>
      </c>
      <c r="N803" s="44" t="str">
        <f t="shared" si="2"/>
        <v>#DIV/0!</v>
      </c>
      <c r="O803" s="44" t="str">
        <f t="shared" si="4"/>
        <v/>
      </c>
      <c r="P803" s="44" t="str">
        <f t="shared" si="3"/>
        <v>#DIV/0!</v>
      </c>
      <c r="Q803" s="44"/>
    </row>
    <row r="804">
      <c r="A804" s="38" t="s">
        <v>2904</v>
      </c>
      <c r="B804" s="39" t="s">
        <v>2905</v>
      </c>
      <c r="C804" s="40" t="s">
        <v>5286</v>
      </c>
      <c r="D804" s="41" t="s">
        <v>5287</v>
      </c>
      <c r="E804" s="51"/>
      <c r="F804" s="51"/>
      <c r="G804" s="51"/>
      <c r="H804" s="44"/>
      <c r="I804" s="44"/>
      <c r="J804" s="44"/>
      <c r="K804" s="44"/>
      <c r="L804" s="44"/>
      <c r="M804" s="44" t="str">
        <f t="shared" si="1"/>
        <v>#DIV/0!</v>
      </c>
      <c r="N804" s="44" t="str">
        <f t="shared" si="2"/>
        <v>#DIV/0!</v>
      </c>
      <c r="O804" s="44" t="str">
        <f t="shared" si="4"/>
        <v/>
      </c>
      <c r="P804" s="44" t="str">
        <f t="shared" si="3"/>
        <v>#DIV/0!</v>
      </c>
      <c r="Q804" s="44"/>
    </row>
    <row r="805">
      <c r="A805" s="38" t="s">
        <v>2908</v>
      </c>
      <c r="B805" s="39" t="s">
        <v>2909</v>
      </c>
      <c r="C805" s="40" t="s">
        <v>508</v>
      </c>
      <c r="D805" s="41" t="s">
        <v>509</v>
      </c>
      <c r="E805" s="51"/>
      <c r="F805" s="51"/>
      <c r="G805" s="51"/>
      <c r="H805" s="44"/>
      <c r="I805" s="44"/>
      <c r="J805" s="44"/>
      <c r="K805" s="44"/>
      <c r="L805" s="44"/>
      <c r="M805" s="44" t="str">
        <f t="shared" si="1"/>
        <v>#DIV/0!</v>
      </c>
      <c r="N805" s="44" t="str">
        <f t="shared" si="2"/>
        <v>#DIV/0!</v>
      </c>
      <c r="O805" s="44" t="str">
        <f t="shared" si="4"/>
        <v/>
      </c>
      <c r="P805" s="44" t="str">
        <f t="shared" si="3"/>
        <v>#DIV/0!</v>
      </c>
      <c r="Q805" s="44"/>
    </row>
    <row r="806">
      <c r="A806" s="38" t="s">
        <v>2910</v>
      </c>
      <c r="B806" s="39" t="s">
        <v>2911</v>
      </c>
      <c r="C806" s="40" t="s">
        <v>5288</v>
      </c>
      <c r="D806" s="42" t="s">
        <v>5289</v>
      </c>
      <c r="E806" s="51"/>
      <c r="F806" s="51"/>
      <c r="G806" s="51"/>
      <c r="H806" s="44"/>
      <c r="I806" s="44"/>
      <c r="J806" s="44"/>
      <c r="K806" s="44"/>
      <c r="L806" s="44"/>
      <c r="M806" s="44" t="str">
        <f t="shared" si="1"/>
        <v>#DIV/0!</v>
      </c>
      <c r="N806" s="44" t="str">
        <f t="shared" si="2"/>
        <v>#DIV/0!</v>
      </c>
      <c r="O806" s="44" t="str">
        <f t="shared" si="4"/>
        <v/>
      </c>
      <c r="P806" s="44" t="str">
        <f t="shared" si="3"/>
        <v>#DIV/0!</v>
      </c>
      <c r="Q806" s="44"/>
    </row>
    <row r="807">
      <c r="A807" s="38" t="s">
        <v>2914</v>
      </c>
      <c r="B807" s="39" t="s">
        <v>2915</v>
      </c>
      <c r="C807" s="40" t="s">
        <v>268</v>
      </c>
      <c r="D807" s="41" t="s">
        <v>137</v>
      </c>
      <c r="E807" s="51"/>
      <c r="F807" s="51"/>
      <c r="G807" s="51"/>
      <c r="H807" s="44"/>
      <c r="I807" s="44"/>
      <c r="J807" s="44"/>
      <c r="K807" s="44"/>
      <c r="L807" s="44"/>
      <c r="M807" s="44" t="str">
        <f t="shared" si="1"/>
        <v>#DIV/0!</v>
      </c>
      <c r="N807" s="44" t="str">
        <f t="shared" si="2"/>
        <v>#DIV/0!</v>
      </c>
      <c r="O807" s="44" t="str">
        <f t="shared" si="4"/>
        <v/>
      </c>
      <c r="P807" s="44" t="str">
        <f t="shared" si="3"/>
        <v>#DIV/0!</v>
      </c>
      <c r="Q807" s="44"/>
    </row>
    <row r="808">
      <c r="A808" s="38" t="s">
        <v>2916</v>
      </c>
      <c r="B808" s="39" t="s">
        <v>2917</v>
      </c>
      <c r="C808" s="40" t="s">
        <v>2918</v>
      </c>
      <c r="D808" s="41" t="s">
        <v>2919</v>
      </c>
      <c r="E808" s="51"/>
      <c r="F808" s="51"/>
      <c r="G808" s="51"/>
      <c r="H808" s="44"/>
      <c r="I808" s="44"/>
      <c r="J808" s="44"/>
      <c r="K808" s="44"/>
      <c r="L808" s="44"/>
      <c r="M808" s="44" t="str">
        <f t="shared" si="1"/>
        <v>#DIV/0!</v>
      </c>
      <c r="N808" s="44" t="str">
        <f t="shared" si="2"/>
        <v>#DIV/0!</v>
      </c>
      <c r="O808" s="44" t="str">
        <f t="shared" si="4"/>
        <v/>
      </c>
      <c r="P808" s="44" t="str">
        <f t="shared" si="3"/>
        <v>#DIV/0!</v>
      </c>
      <c r="Q808" s="44"/>
    </row>
    <row r="809">
      <c r="A809" s="38" t="s">
        <v>2920</v>
      </c>
      <c r="B809" s="39" t="s">
        <v>2921</v>
      </c>
      <c r="C809" s="40" t="s">
        <v>5290</v>
      </c>
      <c r="D809" s="42" t="s">
        <v>5291</v>
      </c>
      <c r="E809" s="51"/>
      <c r="F809" s="51"/>
      <c r="G809" s="51"/>
      <c r="H809" s="44"/>
      <c r="I809" s="44"/>
      <c r="J809" s="44"/>
      <c r="K809" s="44"/>
      <c r="L809" s="44"/>
      <c r="M809" s="44" t="str">
        <f t="shared" si="1"/>
        <v>#DIV/0!</v>
      </c>
      <c r="N809" s="44" t="str">
        <f t="shared" si="2"/>
        <v>#DIV/0!</v>
      </c>
      <c r="O809" s="44" t="str">
        <f t="shared" si="4"/>
        <v/>
      </c>
      <c r="P809" s="44" t="str">
        <f t="shared" si="3"/>
        <v>#DIV/0!</v>
      </c>
      <c r="Q809" s="44"/>
    </row>
    <row r="810">
      <c r="A810" s="38" t="s">
        <v>2924</v>
      </c>
      <c r="B810" s="39" t="s">
        <v>2925</v>
      </c>
      <c r="C810" s="40" t="s">
        <v>268</v>
      </c>
      <c r="D810" s="41" t="s">
        <v>137</v>
      </c>
      <c r="E810" s="51"/>
      <c r="F810" s="51"/>
      <c r="G810" s="51"/>
      <c r="H810" s="44"/>
      <c r="I810" s="44"/>
      <c r="J810" s="44"/>
      <c r="K810" s="44"/>
      <c r="L810" s="44"/>
      <c r="M810" s="44" t="str">
        <f t="shared" si="1"/>
        <v>#DIV/0!</v>
      </c>
      <c r="N810" s="44" t="str">
        <f t="shared" si="2"/>
        <v>#DIV/0!</v>
      </c>
      <c r="O810" s="44" t="str">
        <f t="shared" si="4"/>
        <v/>
      </c>
      <c r="P810" s="44" t="str">
        <f t="shared" si="3"/>
        <v>#DIV/0!</v>
      </c>
      <c r="Q810" s="44"/>
    </row>
    <row r="811">
      <c r="A811" s="38" t="s">
        <v>2928</v>
      </c>
      <c r="B811" s="39" t="s">
        <v>2929</v>
      </c>
      <c r="C811" s="40" t="s">
        <v>2930</v>
      </c>
      <c r="D811" s="42" t="s">
        <v>5292</v>
      </c>
      <c r="E811" s="51"/>
      <c r="F811" s="51"/>
      <c r="G811" s="51"/>
      <c r="H811" s="44"/>
      <c r="I811" s="44"/>
      <c r="J811" s="44"/>
      <c r="K811" s="44"/>
      <c r="L811" s="44"/>
      <c r="M811" s="44" t="str">
        <f t="shared" si="1"/>
        <v>#DIV/0!</v>
      </c>
      <c r="N811" s="44" t="str">
        <f t="shared" si="2"/>
        <v>#DIV/0!</v>
      </c>
      <c r="O811" s="44" t="str">
        <f t="shared" si="4"/>
        <v/>
      </c>
      <c r="P811" s="44" t="str">
        <f t="shared" si="3"/>
        <v>#DIV/0!</v>
      </c>
      <c r="Q811" s="44"/>
    </row>
    <row r="812">
      <c r="A812" s="38" t="s">
        <v>2932</v>
      </c>
      <c r="B812" s="39" t="s">
        <v>2933</v>
      </c>
      <c r="C812" s="40" t="s">
        <v>172</v>
      </c>
      <c r="D812" s="41" t="s">
        <v>173</v>
      </c>
      <c r="E812" s="51"/>
      <c r="F812" s="51"/>
      <c r="G812" s="51"/>
      <c r="H812" s="44"/>
      <c r="I812" s="44"/>
      <c r="J812" s="44"/>
      <c r="K812" s="44"/>
      <c r="L812" s="44"/>
      <c r="M812" s="44" t="str">
        <f t="shared" si="1"/>
        <v>#DIV/0!</v>
      </c>
      <c r="N812" s="44" t="str">
        <f t="shared" si="2"/>
        <v>#DIV/0!</v>
      </c>
      <c r="O812" s="44" t="str">
        <f t="shared" si="4"/>
        <v/>
      </c>
      <c r="P812" s="44" t="str">
        <f t="shared" si="3"/>
        <v>#DIV/0!</v>
      </c>
      <c r="Q812" s="44"/>
    </row>
    <row r="813">
      <c r="A813" s="38" t="s">
        <v>2934</v>
      </c>
      <c r="B813" s="39" t="s">
        <v>2935</v>
      </c>
      <c r="C813" s="40" t="s">
        <v>2510</v>
      </c>
      <c r="D813" s="41" t="s">
        <v>2511</v>
      </c>
      <c r="E813" s="51"/>
      <c r="F813" s="51"/>
      <c r="G813" s="51"/>
      <c r="H813" s="44"/>
      <c r="I813" s="44"/>
      <c r="J813" s="44"/>
      <c r="K813" s="44"/>
      <c r="L813" s="44"/>
      <c r="M813" s="44" t="str">
        <f t="shared" si="1"/>
        <v>#DIV/0!</v>
      </c>
      <c r="N813" s="44" t="str">
        <f t="shared" si="2"/>
        <v>#DIV/0!</v>
      </c>
      <c r="O813" s="44" t="str">
        <f t="shared" si="4"/>
        <v/>
      </c>
      <c r="P813" s="44" t="str">
        <f t="shared" si="3"/>
        <v>#DIV/0!</v>
      </c>
      <c r="Q813" s="44"/>
    </row>
    <row r="814">
      <c r="A814" s="38" t="s">
        <v>2936</v>
      </c>
      <c r="B814" s="39" t="s">
        <v>2937</v>
      </c>
      <c r="C814" s="40" t="s">
        <v>226</v>
      </c>
      <c r="D814" s="41" t="s">
        <v>227</v>
      </c>
      <c r="E814" s="51"/>
      <c r="F814" s="51"/>
      <c r="G814" s="51"/>
      <c r="H814" s="44"/>
      <c r="I814" s="44"/>
      <c r="J814" s="44"/>
      <c r="K814" s="44"/>
      <c r="L814" s="44"/>
      <c r="M814" s="44" t="str">
        <f t="shared" si="1"/>
        <v>#DIV/0!</v>
      </c>
      <c r="N814" s="44" t="str">
        <f t="shared" si="2"/>
        <v>#DIV/0!</v>
      </c>
      <c r="O814" s="44" t="str">
        <f t="shared" si="4"/>
        <v/>
      </c>
      <c r="P814" s="44" t="str">
        <f t="shared" si="3"/>
        <v>#DIV/0!</v>
      </c>
      <c r="Q814" s="44"/>
    </row>
    <row r="815">
      <c r="A815" s="38" t="s">
        <v>2938</v>
      </c>
      <c r="B815" s="39" t="s">
        <v>2939</v>
      </c>
      <c r="C815" s="40" t="s">
        <v>5293</v>
      </c>
      <c r="D815" s="42" t="s">
        <v>5294</v>
      </c>
      <c r="E815" s="51"/>
      <c r="F815" s="51"/>
      <c r="G815" s="51"/>
      <c r="H815" s="44"/>
      <c r="I815" s="44"/>
      <c r="J815" s="44"/>
      <c r="K815" s="44"/>
      <c r="L815" s="44"/>
      <c r="M815" s="44" t="str">
        <f t="shared" si="1"/>
        <v>#DIV/0!</v>
      </c>
      <c r="N815" s="44" t="str">
        <f t="shared" si="2"/>
        <v>#DIV/0!</v>
      </c>
      <c r="O815" s="44" t="str">
        <f t="shared" si="4"/>
        <v/>
      </c>
      <c r="P815" s="44" t="str">
        <f t="shared" si="3"/>
        <v>#DIV/0!</v>
      </c>
      <c r="Q815" s="44"/>
    </row>
    <row r="816">
      <c r="A816" s="38" t="s">
        <v>2942</v>
      </c>
      <c r="B816" s="39" t="s">
        <v>2943</v>
      </c>
      <c r="C816" s="40" t="s">
        <v>5295</v>
      </c>
      <c r="D816" s="41" t="s">
        <v>2945</v>
      </c>
      <c r="E816" s="51"/>
      <c r="F816" s="51"/>
      <c r="G816" s="51"/>
      <c r="H816" s="44"/>
      <c r="I816" s="44"/>
      <c r="J816" s="44"/>
      <c r="K816" s="44"/>
      <c r="L816" s="44"/>
      <c r="M816" s="44" t="str">
        <f t="shared" si="1"/>
        <v>#DIV/0!</v>
      </c>
      <c r="N816" s="44" t="str">
        <f t="shared" si="2"/>
        <v>#DIV/0!</v>
      </c>
      <c r="O816" s="44" t="str">
        <f t="shared" si="4"/>
        <v/>
      </c>
      <c r="P816" s="44" t="str">
        <f t="shared" si="3"/>
        <v>#DIV/0!</v>
      </c>
      <c r="Q816" s="44"/>
    </row>
    <row r="817">
      <c r="A817" s="38" t="s">
        <v>2946</v>
      </c>
      <c r="B817" s="39" t="s">
        <v>2947</v>
      </c>
      <c r="C817" s="40" t="s">
        <v>5296</v>
      </c>
      <c r="D817" s="42" t="s">
        <v>5297</v>
      </c>
      <c r="E817" s="51"/>
      <c r="F817" s="51"/>
      <c r="G817" s="51"/>
      <c r="H817" s="44"/>
      <c r="I817" s="44"/>
      <c r="J817" s="44"/>
      <c r="K817" s="44"/>
      <c r="L817" s="44"/>
      <c r="M817" s="44" t="str">
        <f t="shared" si="1"/>
        <v>#DIV/0!</v>
      </c>
      <c r="N817" s="44" t="str">
        <f t="shared" si="2"/>
        <v>#DIV/0!</v>
      </c>
      <c r="O817" s="44" t="str">
        <f t="shared" si="4"/>
        <v/>
      </c>
      <c r="P817" s="44" t="str">
        <f t="shared" si="3"/>
        <v>#DIV/0!</v>
      </c>
      <c r="Q817" s="44"/>
    </row>
    <row r="818">
      <c r="A818" s="38" t="s">
        <v>2950</v>
      </c>
      <c r="B818" s="39" t="s">
        <v>2951</v>
      </c>
      <c r="C818" s="40" t="s">
        <v>1013</v>
      </c>
      <c r="D818" s="41" t="s">
        <v>1014</v>
      </c>
      <c r="E818" s="51"/>
      <c r="F818" s="51"/>
      <c r="G818" s="51"/>
      <c r="H818" s="44"/>
      <c r="I818" s="44"/>
      <c r="J818" s="44"/>
      <c r="K818" s="44"/>
      <c r="L818" s="44"/>
      <c r="M818" s="44" t="str">
        <f t="shared" si="1"/>
        <v>#DIV/0!</v>
      </c>
      <c r="N818" s="44" t="str">
        <f t="shared" si="2"/>
        <v>#DIV/0!</v>
      </c>
      <c r="O818" s="44" t="str">
        <f t="shared" si="4"/>
        <v/>
      </c>
      <c r="P818" s="44" t="str">
        <f t="shared" si="3"/>
        <v>#DIV/0!</v>
      </c>
      <c r="Q818" s="44"/>
    </row>
    <row r="819">
      <c r="A819" s="38" t="s">
        <v>2952</v>
      </c>
      <c r="B819" s="39" t="s">
        <v>2953</v>
      </c>
      <c r="C819" s="40" t="s">
        <v>5298</v>
      </c>
      <c r="D819" s="42" t="s">
        <v>5299</v>
      </c>
      <c r="E819" s="51"/>
      <c r="F819" s="51"/>
      <c r="G819" s="51"/>
      <c r="H819" s="44"/>
      <c r="I819" s="44"/>
      <c r="J819" s="44"/>
      <c r="K819" s="44"/>
      <c r="L819" s="44"/>
      <c r="M819" s="44" t="str">
        <f t="shared" si="1"/>
        <v>#DIV/0!</v>
      </c>
      <c r="N819" s="44" t="str">
        <f t="shared" si="2"/>
        <v>#DIV/0!</v>
      </c>
      <c r="O819" s="44" t="str">
        <f t="shared" si="4"/>
        <v/>
      </c>
      <c r="P819" s="44" t="str">
        <f t="shared" si="3"/>
        <v>#DIV/0!</v>
      </c>
      <c r="Q819" s="44"/>
    </row>
    <row r="820">
      <c r="A820" s="53" t="s">
        <v>2956</v>
      </c>
      <c r="B820" s="39" t="s">
        <v>2957</v>
      </c>
      <c r="C820" s="40" t="s">
        <v>2958</v>
      </c>
      <c r="D820" s="41" t="s">
        <v>2959</v>
      </c>
      <c r="E820" s="51"/>
      <c r="F820" s="51"/>
      <c r="G820" s="51"/>
      <c r="H820" s="44"/>
      <c r="I820" s="44"/>
      <c r="J820" s="44"/>
      <c r="K820" s="44"/>
      <c r="L820" s="44"/>
      <c r="M820" s="44" t="str">
        <f t="shared" si="1"/>
        <v>#DIV/0!</v>
      </c>
      <c r="N820" s="44" t="str">
        <f t="shared" si="2"/>
        <v>#DIV/0!</v>
      </c>
      <c r="O820" s="44" t="str">
        <f t="shared" si="4"/>
        <v/>
      </c>
      <c r="P820" s="44" t="str">
        <f t="shared" si="3"/>
        <v>#DIV/0!</v>
      </c>
      <c r="Q820" s="44"/>
    </row>
    <row r="821">
      <c r="A821" s="38" t="s">
        <v>2960</v>
      </c>
      <c r="B821" s="39" t="s">
        <v>2961</v>
      </c>
      <c r="C821" s="40" t="s">
        <v>2962</v>
      </c>
      <c r="D821" s="41" t="s">
        <v>2963</v>
      </c>
      <c r="E821" s="51"/>
      <c r="F821" s="51"/>
      <c r="G821" s="51"/>
      <c r="H821" s="44"/>
      <c r="I821" s="44"/>
      <c r="J821" s="44"/>
      <c r="K821" s="44"/>
      <c r="L821" s="44"/>
      <c r="M821" s="44" t="str">
        <f t="shared" si="1"/>
        <v>#DIV/0!</v>
      </c>
      <c r="N821" s="44" t="str">
        <f t="shared" si="2"/>
        <v>#DIV/0!</v>
      </c>
      <c r="O821" s="44" t="str">
        <f t="shared" si="4"/>
        <v/>
      </c>
      <c r="P821" s="44" t="str">
        <f t="shared" si="3"/>
        <v>#DIV/0!</v>
      </c>
      <c r="Q821" s="44"/>
    </row>
    <row r="822">
      <c r="A822" s="38" t="s">
        <v>2964</v>
      </c>
      <c r="B822" s="39" t="s">
        <v>2965</v>
      </c>
      <c r="C822" s="40" t="s">
        <v>268</v>
      </c>
      <c r="D822" s="41" t="s">
        <v>137</v>
      </c>
      <c r="E822" s="51"/>
      <c r="F822" s="51"/>
      <c r="G822" s="51"/>
      <c r="H822" s="44"/>
      <c r="I822" s="44"/>
      <c r="J822" s="44"/>
      <c r="K822" s="44"/>
      <c r="L822" s="44"/>
      <c r="M822" s="44" t="str">
        <f t="shared" si="1"/>
        <v>#DIV/0!</v>
      </c>
      <c r="N822" s="44" t="str">
        <f t="shared" si="2"/>
        <v>#DIV/0!</v>
      </c>
      <c r="O822" s="44" t="str">
        <f t="shared" si="4"/>
        <v/>
      </c>
      <c r="P822" s="44" t="str">
        <f t="shared" si="3"/>
        <v>#DIV/0!</v>
      </c>
      <c r="Q822" s="44"/>
    </row>
    <row r="823">
      <c r="A823" s="38" t="s">
        <v>2967</v>
      </c>
      <c r="B823" s="39" t="s">
        <v>2968</v>
      </c>
      <c r="C823" s="40" t="s">
        <v>2969</v>
      </c>
      <c r="D823" s="41" t="s">
        <v>2970</v>
      </c>
      <c r="E823" s="51"/>
      <c r="F823" s="51"/>
      <c r="G823" s="51"/>
      <c r="H823" s="44"/>
      <c r="I823" s="44"/>
      <c r="J823" s="44"/>
      <c r="K823" s="44"/>
      <c r="L823" s="44"/>
      <c r="M823" s="44" t="str">
        <f t="shared" si="1"/>
        <v>#DIV/0!</v>
      </c>
      <c r="N823" s="44" t="str">
        <f t="shared" si="2"/>
        <v>#DIV/0!</v>
      </c>
      <c r="O823" s="44" t="str">
        <f t="shared" si="4"/>
        <v/>
      </c>
      <c r="P823" s="44" t="str">
        <f t="shared" si="3"/>
        <v>#DIV/0!</v>
      </c>
      <c r="Q823" s="44"/>
    </row>
    <row r="824">
      <c r="A824" s="38" t="s">
        <v>2971</v>
      </c>
      <c r="B824" s="39" t="s">
        <v>2972</v>
      </c>
      <c r="C824" s="40" t="s">
        <v>1021</v>
      </c>
      <c r="D824" s="41" t="s">
        <v>1022</v>
      </c>
      <c r="E824" s="51"/>
      <c r="F824" s="51"/>
      <c r="G824" s="51"/>
      <c r="H824" s="44"/>
      <c r="I824" s="44"/>
      <c r="J824" s="44"/>
      <c r="K824" s="44"/>
      <c r="L824" s="44"/>
      <c r="M824" s="44" t="str">
        <f t="shared" si="1"/>
        <v>#DIV/0!</v>
      </c>
      <c r="N824" s="44" t="str">
        <f t="shared" si="2"/>
        <v>#DIV/0!</v>
      </c>
      <c r="O824" s="44" t="str">
        <f t="shared" si="4"/>
        <v/>
      </c>
      <c r="P824" s="44" t="str">
        <f t="shared" si="3"/>
        <v>#DIV/0!</v>
      </c>
      <c r="Q824" s="44"/>
    </row>
    <row r="825">
      <c r="A825" s="38" t="s">
        <v>2974</v>
      </c>
      <c r="B825" s="39" t="s">
        <v>2975</v>
      </c>
      <c r="C825" s="40" t="s">
        <v>2976</v>
      </c>
      <c r="D825" s="41" t="s">
        <v>2236</v>
      </c>
      <c r="E825" s="51"/>
      <c r="F825" s="51"/>
      <c r="G825" s="51"/>
      <c r="H825" s="44"/>
      <c r="I825" s="44"/>
      <c r="J825" s="44"/>
      <c r="K825" s="44"/>
      <c r="L825" s="44"/>
      <c r="M825" s="44" t="str">
        <f t="shared" si="1"/>
        <v>#DIV/0!</v>
      </c>
      <c r="N825" s="44" t="str">
        <f t="shared" si="2"/>
        <v>#DIV/0!</v>
      </c>
      <c r="O825" s="44" t="str">
        <f t="shared" si="4"/>
        <v/>
      </c>
      <c r="P825" s="44" t="str">
        <f t="shared" si="3"/>
        <v>#DIV/0!</v>
      </c>
      <c r="Q825" s="44"/>
    </row>
    <row r="826">
      <c r="A826" s="38" t="s">
        <v>2977</v>
      </c>
      <c r="B826" s="39" t="s">
        <v>2978</v>
      </c>
      <c r="C826" s="40" t="s">
        <v>577</v>
      </c>
      <c r="D826" s="41" t="s">
        <v>296</v>
      </c>
      <c r="E826" s="51"/>
      <c r="F826" s="51"/>
      <c r="G826" s="51"/>
      <c r="H826" s="44"/>
      <c r="I826" s="44"/>
      <c r="J826" s="44"/>
      <c r="K826" s="44"/>
      <c r="L826" s="44"/>
      <c r="M826" s="44" t="str">
        <f t="shared" si="1"/>
        <v>#DIV/0!</v>
      </c>
      <c r="N826" s="44" t="str">
        <f t="shared" si="2"/>
        <v>#DIV/0!</v>
      </c>
      <c r="O826" s="44" t="str">
        <f t="shared" si="4"/>
        <v/>
      </c>
      <c r="P826" s="44" t="str">
        <f t="shared" si="3"/>
        <v>#DIV/0!</v>
      </c>
      <c r="Q826" s="44"/>
    </row>
    <row r="827">
      <c r="A827" s="38" t="s">
        <v>2979</v>
      </c>
      <c r="B827" s="39" t="s">
        <v>2980</v>
      </c>
      <c r="C827" s="40" t="s">
        <v>5300</v>
      </c>
      <c r="D827" s="42" t="s">
        <v>5301</v>
      </c>
      <c r="E827" s="51"/>
      <c r="F827" s="51"/>
      <c r="G827" s="51"/>
      <c r="H827" s="44"/>
      <c r="I827" s="44"/>
      <c r="J827" s="44"/>
      <c r="K827" s="44"/>
      <c r="L827" s="44"/>
      <c r="M827" s="44" t="str">
        <f t="shared" si="1"/>
        <v>#DIV/0!</v>
      </c>
      <c r="N827" s="44" t="str">
        <f t="shared" si="2"/>
        <v>#DIV/0!</v>
      </c>
      <c r="O827" s="44" t="str">
        <f t="shared" si="4"/>
        <v/>
      </c>
      <c r="P827" s="44" t="str">
        <f t="shared" si="3"/>
        <v>#DIV/0!</v>
      </c>
      <c r="Q827" s="44"/>
    </row>
    <row r="828">
      <c r="A828" s="38" t="s">
        <v>2983</v>
      </c>
      <c r="B828" s="39" t="s">
        <v>2984</v>
      </c>
      <c r="C828" s="40" t="s">
        <v>268</v>
      </c>
      <c r="D828" s="41" t="s">
        <v>137</v>
      </c>
      <c r="E828" s="51"/>
      <c r="F828" s="51"/>
      <c r="G828" s="51"/>
      <c r="H828" s="44"/>
      <c r="I828" s="44"/>
      <c r="J828" s="44"/>
      <c r="K828" s="44"/>
      <c r="L828" s="44"/>
      <c r="M828" s="44" t="str">
        <f t="shared" si="1"/>
        <v>#DIV/0!</v>
      </c>
      <c r="N828" s="44" t="str">
        <f t="shared" si="2"/>
        <v>#DIV/0!</v>
      </c>
      <c r="O828" s="44" t="str">
        <f t="shared" si="4"/>
        <v/>
      </c>
      <c r="P828" s="44" t="str">
        <f t="shared" si="3"/>
        <v>#DIV/0!</v>
      </c>
      <c r="Q828" s="44"/>
    </row>
    <row r="829">
      <c r="A829" s="38" t="s">
        <v>2986</v>
      </c>
      <c r="B829" s="39" t="s">
        <v>2987</v>
      </c>
      <c r="C829" s="40" t="s">
        <v>5302</v>
      </c>
      <c r="D829" s="41" t="s">
        <v>2989</v>
      </c>
      <c r="E829" s="51"/>
      <c r="F829" s="51"/>
      <c r="G829" s="51"/>
      <c r="H829" s="44"/>
      <c r="I829" s="44"/>
      <c r="J829" s="44"/>
      <c r="K829" s="44"/>
      <c r="L829" s="44"/>
      <c r="M829" s="44" t="str">
        <f t="shared" si="1"/>
        <v>#DIV/0!</v>
      </c>
      <c r="N829" s="44" t="str">
        <f t="shared" si="2"/>
        <v>#DIV/0!</v>
      </c>
      <c r="O829" s="44" t="str">
        <f t="shared" si="4"/>
        <v/>
      </c>
      <c r="P829" s="44" t="str">
        <f t="shared" si="3"/>
        <v>#DIV/0!</v>
      </c>
      <c r="Q829" s="44"/>
    </row>
    <row r="830">
      <c r="A830" s="38" t="s">
        <v>2990</v>
      </c>
      <c r="B830" s="39" t="s">
        <v>2991</v>
      </c>
      <c r="C830" s="40" t="s">
        <v>2992</v>
      </c>
      <c r="D830" s="41" t="s">
        <v>2993</v>
      </c>
      <c r="E830" s="51"/>
      <c r="F830" s="51"/>
      <c r="G830" s="51"/>
      <c r="H830" s="44"/>
      <c r="I830" s="44"/>
      <c r="J830" s="44"/>
      <c r="K830" s="44"/>
      <c r="L830" s="44"/>
      <c r="M830" s="44" t="str">
        <f t="shared" si="1"/>
        <v>#DIV/0!</v>
      </c>
      <c r="N830" s="44" t="str">
        <f t="shared" si="2"/>
        <v>#DIV/0!</v>
      </c>
      <c r="O830" s="44" t="str">
        <f t="shared" si="4"/>
        <v/>
      </c>
      <c r="P830" s="44" t="str">
        <f t="shared" si="3"/>
        <v>#DIV/0!</v>
      </c>
      <c r="Q830" s="44"/>
    </row>
    <row r="831">
      <c r="A831" s="38" t="s">
        <v>2994</v>
      </c>
      <c r="B831" s="39" t="s">
        <v>2995</v>
      </c>
      <c r="C831" s="40" t="s">
        <v>5303</v>
      </c>
      <c r="D831" s="42" t="s">
        <v>5304</v>
      </c>
      <c r="E831" s="51"/>
      <c r="F831" s="51"/>
      <c r="G831" s="51"/>
      <c r="H831" s="44"/>
      <c r="I831" s="44"/>
      <c r="J831" s="44"/>
      <c r="K831" s="44"/>
      <c r="L831" s="44"/>
      <c r="M831" s="44" t="str">
        <f t="shared" si="1"/>
        <v>#DIV/0!</v>
      </c>
      <c r="N831" s="44" t="str">
        <f t="shared" si="2"/>
        <v>#DIV/0!</v>
      </c>
      <c r="O831" s="44" t="str">
        <f t="shared" si="4"/>
        <v/>
      </c>
      <c r="P831" s="44" t="str">
        <f t="shared" si="3"/>
        <v>#DIV/0!</v>
      </c>
      <c r="Q831" s="44"/>
    </row>
    <row r="832">
      <c r="A832" s="38" t="s">
        <v>2998</v>
      </c>
      <c r="B832" s="39" t="s">
        <v>2999</v>
      </c>
      <c r="C832" s="40" t="s">
        <v>5305</v>
      </c>
      <c r="D832" s="42" t="s">
        <v>5306</v>
      </c>
      <c r="E832" s="51"/>
      <c r="F832" s="51"/>
      <c r="G832" s="51"/>
      <c r="H832" s="44"/>
      <c r="I832" s="44"/>
      <c r="J832" s="44"/>
      <c r="K832" s="44"/>
      <c r="L832" s="44"/>
      <c r="M832" s="44" t="str">
        <f t="shared" si="1"/>
        <v>#DIV/0!</v>
      </c>
      <c r="N832" s="44" t="str">
        <f t="shared" si="2"/>
        <v>#DIV/0!</v>
      </c>
      <c r="O832" s="44" t="str">
        <f t="shared" si="4"/>
        <v/>
      </c>
      <c r="P832" s="44" t="str">
        <f t="shared" si="3"/>
        <v>#DIV/0!</v>
      </c>
      <c r="Q832" s="44"/>
    </row>
    <row r="833">
      <c r="A833" s="38" t="s">
        <v>3002</v>
      </c>
      <c r="B833" s="39" t="s">
        <v>3003</v>
      </c>
      <c r="C833" s="40" t="s">
        <v>5307</v>
      </c>
      <c r="D833" s="42" t="s">
        <v>5308</v>
      </c>
      <c r="E833" s="51"/>
      <c r="F833" s="51"/>
      <c r="G833" s="51"/>
      <c r="H833" s="44"/>
      <c r="I833" s="44"/>
      <c r="J833" s="44"/>
      <c r="K833" s="44"/>
      <c r="L833" s="44"/>
      <c r="M833" s="44" t="str">
        <f t="shared" si="1"/>
        <v>#DIV/0!</v>
      </c>
      <c r="N833" s="44" t="str">
        <f t="shared" si="2"/>
        <v>#DIV/0!</v>
      </c>
      <c r="O833" s="44" t="str">
        <f t="shared" si="4"/>
        <v/>
      </c>
      <c r="P833" s="44" t="str">
        <f t="shared" si="3"/>
        <v>#DIV/0!</v>
      </c>
      <c r="Q833" s="44"/>
    </row>
    <row r="834">
      <c r="A834" s="38" t="s">
        <v>3006</v>
      </c>
      <c r="B834" s="39" t="s">
        <v>3007</v>
      </c>
      <c r="C834" s="40" t="s">
        <v>5309</v>
      </c>
      <c r="D834" s="42" t="s">
        <v>3009</v>
      </c>
      <c r="E834" s="51"/>
      <c r="F834" s="51"/>
      <c r="G834" s="51"/>
      <c r="H834" s="44"/>
      <c r="I834" s="44"/>
      <c r="J834" s="44"/>
      <c r="K834" s="44"/>
      <c r="L834" s="44"/>
      <c r="M834" s="44" t="str">
        <f t="shared" si="1"/>
        <v>#DIV/0!</v>
      </c>
      <c r="N834" s="44" t="str">
        <f t="shared" si="2"/>
        <v>#DIV/0!</v>
      </c>
      <c r="O834" s="44" t="str">
        <f t="shared" si="4"/>
        <v/>
      </c>
      <c r="P834" s="44" t="str">
        <f t="shared" si="3"/>
        <v>#DIV/0!</v>
      </c>
      <c r="Q834" s="44"/>
    </row>
    <row r="835">
      <c r="A835" s="38" t="s">
        <v>3010</v>
      </c>
      <c r="B835" s="39" t="s">
        <v>3011</v>
      </c>
      <c r="C835" s="40" t="s">
        <v>3012</v>
      </c>
      <c r="D835" s="42" t="s">
        <v>5310</v>
      </c>
      <c r="E835" s="51"/>
      <c r="F835" s="51"/>
      <c r="G835" s="51"/>
      <c r="H835" s="44"/>
      <c r="I835" s="44"/>
      <c r="J835" s="44"/>
      <c r="K835" s="44"/>
      <c r="L835" s="44"/>
      <c r="M835" s="44" t="str">
        <f t="shared" si="1"/>
        <v>#DIV/0!</v>
      </c>
      <c r="N835" s="44" t="str">
        <f t="shared" si="2"/>
        <v>#DIV/0!</v>
      </c>
      <c r="O835" s="44" t="str">
        <f t="shared" si="4"/>
        <v/>
      </c>
      <c r="P835" s="44" t="str">
        <f t="shared" si="3"/>
        <v>#DIV/0!</v>
      </c>
      <c r="Q835" s="44"/>
    </row>
    <row r="836">
      <c r="A836" s="38" t="s">
        <v>3014</v>
      </c>
      <c r="B836" s="39" t="s">
        <v>3015</v>
      </c>
      <c r="C836" s="40" t="s">
        <v>3016</v>
      </c>
      <c r="D836" s="41" t="s">
        <v>73</v>
      </c>
      <c r="E836" s="51"/>
      <c r="F836" s="51"/>
      <c r="G836" s="51"/>
      <c r="H836" s="44"/>
      <c r="I836" s="44"/>
      <c r="J836" s="44"/>
      <c r="K836" s="44"/>
      <c r="L836" s="44"/>
      <c r="M836" s="44" t="str">
        <f t="shared" si="1"/>
        <v>#DIV/0!</v>
      </c>
      <c r="N836" s="44" t="str">
        <f t="shared" si="2"/>
        <v>#DIV/0!</v>
      </c>
      <c r="O836" s="44" t="str">
        <f t="shared" si="4"/>
        <v/>
      </c>
      <c r="P836" s="44" t="str">
        <f t="shared" si="3"/>
        <v>#DIV/0!</v>
      </c>
      <c r="Q836" s="44"/>
    </row>
    <row r="837">
      <c r="A837" s="38" t="s">
        <v>3017</v>
      </c>
      <c r="B837" s="39" t="s">
        <v>3018</v>
      </c>
      <c r="C837" s="40" t="s">
        <v>4842</v>
      </c>
      <c r="D837" s="41" t="s">
        <v>4843</v>
      </c>
      <c r="E837" s="51"/>
      <c r="F837" s="51"/>
      <c r="G837" s="51"/>
      <c r="H837" s="44"/>
      <c r="I837" s="44"/>
      <c r="J837" s="44"/>
      <c r="K837" s="44"/>
      <c r="L837" s="44"/>
      <c r="M837" s="44" t="str">
        <f t="shared" si="1"/>
        <v>#DIV/0!</v>
      </c>
      <c r="N837" s="44" t="str">
        <f t="shared" si="2"/>
        <v>#DIV/0!</v>
      </c>
      <c r="O837" s="44" t="str">
        <f t="shared" si="4"/>
        <v/>
      </c>
      <c r="P837" s="44" t="str">
        <f t="shared" si="3"/>
        <v>#DIV/0!</v>
      </c>
      <c r="Q837" s="44"/>
    </row>
    <row r="838">
      <c r="A838" s="38" t="s">
        <v>3019</v>
      </c>
      <c r="B838" s="39" t="s">
        <v>3020</v>
      </c>
      <c r="C838" s="40" t="s">
        <v>5311</v>
      </c>
      <c r="D838" s="42" t="s">
        <v>4698</v>
      </c>
      <c r="E838" s="51"/>
      <c r="F838" s="51"/>
      <c r="G838" s="51"/>
      <c r="H838" s="44"/>
      <c r="I838" s="44"/>
      <c r="J838" s="44"/>
      <c r="K838" s="44"/>
      <c r="L838" s="44"/>
      <c r="M838" s="44" t="str">
        <f t="shared" si="1"/>
        <v>#DIV/0!</v>
      </c>
      <c r="N838" s="44" t="str">
        <f t="shared" si="2"/>
        <v>#DIV/0!</v>
      </c>
      <c r="O838" s="44" t="str">
        <f t="shared" si="4"/>
        <v/>
      </c>
      <c r="P838" s="44" t="str">
        <f t="shared" si="3"/>
        <v>#DIV/0!</v>
      </c>
      <c r="Q838" s="44"/>
    </row>
    <row r="839">
      <c r="A839" s="38" t="s">
        <v>3022</v>
      </c>
      <c r="B839" s="39" t="s">
        <v>3023</v>
      </c>
      <c r="C839" s="40" t="s">
        <v>3024</v>
      </c>
      <c r="D839" s="42" t="s">
        <v>5312</v>
      </c>
      <c r="E839" s="51"/>
      <c r="F839" s="51"/>
      <c r="G839" s="51"/>
      <c r="H839" s="44"/>
      <c r="I839" s="44"/>
      <c r="J839" s="44"/>
      <c r="K839" s="44"/>
      <c r="L839" s="44"/>
      <c r="M839" s="44" t="str">
        <f t="shared" si="1"/>
        <v>#DIV/0!</v>
      </c>
      <c r="N839" s="44" t="str">
        <f t="shared" si="2"/>
        <v>#DIV/0!</v>
      </c>
      <c r="O839" s="44" t="str">
        <f t="shared" si="4"/>
        <v/>
      </c>
      <c r="P839" s="44" t="str">
        <f t="shared" si="3"/>
        <v>#DIV/0!</v>
      </c>
      <c r="Q839" s="44"/>
    </row>
    <row r="840">
      <c r="A840" s="38" t="s">
        <v>3026</v>
      </c>
      <c r="B840" s="39" t="s">
        <v>3027</v>
      </c>
      <c r="C840" s="40" t="s">
        <v>3028</v>
      </c>
      <c r="D840" s="42" t="s">
        <v>5313</v>
      </c>
      <c r="E840" s="51"/>
      <c r="F840" s="51"/>
      <c r="G840" s="51"/>
      <c r="H840" s="44"/>
      <c r="I840" s="44"/>
      <c r="J840" s="44"/>
      <c r="K840" s="44"/>
      <c r="L840" s="44"/>
      <c r="M840" s="44" t="str">
        <f t="shared" si="1"/>
        <v>#DIV/0!</v>
      </c>
      <c r="N840" s="44" t="str">
        <f t="shared" si="2"/>
        <v>#DIV/0!</v>
      </c>
      <c r="O840" s="44" t="str">
        <f t="shared" si="4"/>
        <v/>
      </c>
      <c r="P840" s="44" t="str">
        <f t="shared" si="3"/>
        <v>#DIV/0!</v>
      </c>
      <c r="Q840" s="44"/>
    </row>
    <row r="841">
      <c r="A841" s="38" t="s">
        <v>3030</v>
      </c>
      <c r="B841" s="39" t="s">
        <v>3031</v>
      </c>
      <c r="C841" s="40" t="s">
        <v>508</v>
      </c>
      <c r="D841" s="41" t="s">
        <v>509</v>
      </c>
      <c r="E841" s="51"/>
      <c r="F841" s="51"/>
      <c r="G841" s="51"/>
      <c r="H841" s="44"/>
      <c r="I841" s="44"/>
      <c r="J841" s="44"/>
      <c r="K841" s="44"/>
      <c r="L841" s="44"/>
      <c r="M841" s="44" t="str">
        <f t="shared" si="1"/>
        <v>#DIV/0!</v>
      </c>
      <c r="N841" s="44" t="str">
        <f t="shared" si="2"/>
        <v>#DIV/0!</v>
      </c>
      <c r="O841" s="44" t="str">
        <f t="shared" si="4"/>
        <v/>
      </c>
      <c r="P841" s="44" t="str">
        <f t="shared" si="3"/>
        <v>#DIV/0!</v>
      </c>
      <c r="Q841" s="44"/>
    </row>
    <row r="842">
      <c r="A842" s="38" t="s">
        <v>3032</v>
      </c>
      <c r="B842" s="39" t="s">
        <v>3033</v>
      </c>
      <c r="C842" s="40" t="s">
        <v>5314</v>
      </c>
      <c r="D842" s="41" t="s">
        <v>137</v>
      </c>
      <c r="E842" s="51"/>
      <c r="F842" s="51"/>
      <c r="G842" s="51"/>
      <c r="H842" s="44"/>
      <c r="I842" s="44"/>
      <c r="J842" s="44"/>
      <c r="K842" s="44"/>
      <c r="L842" s="44"/>
      <c r="M842" s="44" t="str">
        <f t="shared" si="1"/>
        <v>#DIV/0!</v>
      </c>
      <c r="N842" s="44" t="str">
        <f t="shared" si="2"/>
        <v>#DIV/0!</v>
      </c>
      <c r="O842" s="44" t="str">
        <f t="shared" si="4"/>
        <v/>
      </c>
      <c r="P842" s="44" t="str">
        <f t="shared" si="3"/>
        <v>#DIV/0!</v>
      </c>
      <c r="Q842" s="44"/>
    </row>
    <row r="843">
      <c r="A843" s="38" t="s">
        <v>3034</v>
      </c>
      <c r="B843" s="39" t="s">
        <v>3035</v>
      </c>
      <c r="C843" s="40" t="s">
        <v>5315</v>
      </c>
      <c r="D843" s="41" t="s">
        <v>5316</v>
      </c>
      <c r="E843" s="51"/>
      <c r="F843" s="51"/>
      <c r="G843" s="51"/>
      <c r="H843" s="44"/>
      <c r="I843" s="44"/>
      <c r="J843" s="44"/>
      <c r="K843" s="44"/>
      <c r="L843" s="44"/>
      <c r="M843" s="44" t="str">
        <f t="shared" si="1"/>
        <v>#DIV/0!</v>
      </c>
      <c r="N843" s="44" t="str">
        <f t="shared" si="2"/>
        <v>#DIV/0!</v>
      </c>
      <c r="O843" s="44" t="str">
        <f t="shared" si="4"/>
        <v/>
      </c>
      <c r="P843" s="44" t="str">
        <f t="shared" si="3"/>
        <v>#DIV/0!</v>
      </c>
      <c r="Q843" s="44"/>
    </row>
    <row r="844">
      <c r="A844" s="38" t="s">
        <v>3038</v>
      </c>
      <c r="B844" s="39" t="s">
        <v>3039</v>
      </c>
      <c r="C844" s="40" t="s">
        <v>3040</v>
      </c>
      <c r="D844" s="42" t="s">
        <v>3041</v>
      </c>
      <c r="E844" s="51"/>
      <c r="F844" s="51"/>
      <c r="G844" s="51"/>
      <c r="H844" s="44"/>
      <c r="I844" s="44"/>
      <c r="J844" s="44"/>
      <c r="K844" s="44"/>
      <c r="L844" s="44"/>
      <c r="M844" s="44" t="str">
        <f t="shared" si="1"/>
        <v>#DIV/0!</v>
      </c>
      <c r="N844" s="44" t="str">
        <f t="shared" si="2"/>
        <v>#DIV/0!</v>
      </c>
      <c r="O844" s="44" t="str">
        <f t="shared" si="4"/>
        <v/>
      </c>
      <c r="P844" s="44" t="str">
        <f t="shared" si="3"/>
        <v>#DIV/0!</v>
      </c>
      <c r="Q844" s="44"/>
    </row>
    <row r="845">
      <c r="A845" s="38" t="s">
        <v>3042</v>
      </c>
      <c r="B845" s="39" t="s">
        <v>3043</v>
      </c>
      <c r="C845" s="40" t="s">
        <v>565</v>
      </c>
      <c r="D845" s="41" t="s">
        <v>566</v>
      </c>
      <c r="E845" s="51"/>
      <c r="F845" s="51"/>
      <c r="G845" s="51"/>
      <c r="H845" s="44"/>
      <c r="I845" s="44"/>
      <c r="J845" s="44"/>
      <c r="K845" s="44"/>
      <c r="L845" s="44"/>
      <c r="M845" s="44" t="str">
        <f t="shared" si="1"/>
        <v>#DIV/0!</v>
      </c>
      <c r="N845" s="44" t="str">
        <f t="shared" si="2"/>
        <v>#DIV/0!</v>
      </c>
      <c r="O845" s="44" t="str">
        <f t="shared" si="4"/>
        <v/>
      </c>
      <c r="P845" s="44" t="str">
        <f t="shared" si="3"/>
        <v>#DIV/0!</v>
      </c>
      <c r="Q845" s="44"/>
    </row>
    <row r="846">
      <c r="A846" s="38" t="s">
        <v>3044</v>
      </c>
      <c r="B846" s="39" t="s">
        <v>3045</v>
      </c>
      <c r="C846" s="40" t="s">
        <v>3046</v>
      </c>
      <c r="D846" s="42" t="s">
        <v>5317</v>
      </c>
      <c r="E846" s="51"/>
      <c r="F846" s="51"/>
      <c r="G846" s="51"/>
      <c r="H846" s="44"/>
      <c r="I846" s="44"/>
      <c r="J846" s="44"/>
      <c r="K846" s="44"/>
      <c r="L846" s="44"/>
      <c r="M846" s="44" t="str">
        <f t="shared" si="1"/>
        <v>#DIV/0!</v>
      </c>
      <c r="N846" s="44" t="str">
        <f t="shared" si="2"/>
        <v>#DIV/0!</v>
      </c>
      <c r="O846" s="44" t="str">
        <f t="shared" si="4"/>
        <v/>
      </c>
      <c r="P846" s="44" t="str">
        <f t="shared" si="3"/>
        <v>#DIV/0!</v>
      </c>
      <c r="Q846" s="44"/>
    </row>
    <row r="847">
      <c r="A847" s="38" t="s">
        <v>3048</v>
      </c>
      <c r="B847" s="39" t="s">
        <v>3049</v>
      </c>
      <c r="C847" s="40" t="s">
        <v>5318</v>
      </c>
      <c r="D847" s="42" t="s">
        <v>5319</v>
      </c>
      <c r="E847" s="51"/>
      <c r="F847" s="51"/>
      <c r="G847" s="51"/>
      <c r="H847" s="44"/>
      <c r="I847" s="44"/>
      <c r="J847" s="44"/>
      <c r="K847" s="44"/>
      <c r="L847" s="44"/>
      <c r="M847" s="44" t="str">
        <f t="shared" si="1"/>
        <v>#DIV/0!</v>
      </c>
      <c r="N847" s="44" t="str">
        <f t="shared" si="2"/>
        <v>#DIV/0!</v>
      </c>
      <c r="O847" s="44" t="str">
        <f t="shared" si="4"/>
        <v/>
      </c>
      <c r="P847" s="44" t="str">
        <f t="shared" si="3"/>
        <v>#DIV/0!</v>
      </c>
      <c r="Q847" s="44"/>
    </row>
    <row r="848">
      <c r="A848" s="38" t="s">
        <v>3052</v>
      </c>
      <c r="B848" s="39" t="s">
        <v>3053</v>
      </c>
      <c r="C848" s="40" t="s">
        <v>991</v>
      </c>
      <c r="D848" s="41" t="s">
        <v>113</v>
      </c>
      <c r="E848" s="51"/>
      <c r="F848" s="51"/>
      <c r="G848" s="51"/>
      <c r="H848" s="44"/>
      <c r="I848" s="44"/>
      <c r="J848" s="44"/>
      <c r="K848" s="44"/>
      <c r="L848" s="44"/>
      <c r="M848" s="44" t="str">
        <f t="shared" si="1"/>
        <v>#DIV/0!</v>
      </c>
      <c r="N848" s="44" t="str">
        <f t="shared" si="2"/>
        <v>#DIV/0!</v>
      </c>
      <c r="O848" s="44" t="str">
        <f t="shared" si="4"/>
        <v/>
      </c>
      <c r="P848" s="44" t="str">
        <f t="shared" si="3"/>
        <v>#DIV/0!</v>
      </c>
      <c r="Q848" s="44"/>
    </row>
    <row r="849">
      <c r="A849" s="38" t="s">
        <v>3054</v>
      </c>
      <c r="B849" s="39" t="s">
        <v>3055</v>
      </c>
      <c r="C849" s="40" t="s">
        <v>5320</v>
      </c>
      <c r="D849" s="42" t="s">
        <v>3057</v>
      </c>
      <c r="E849" s="51"/>
      <c r="F849" s="51"/>
      <c r="G849" s="51"/>
      <c r="H849" s="44"/>
      <c r="I849" s="44"/>
      <c r="J849" s="44"/>
      <c r="K849" s="44"/>
      <c r="L849" s="44"/>
      <c r="M849" s="44" t="str">
        <f t="shared" si="1"/>
        <v>#DIV/0!</v>
      </c>
      <c r="N849" s="44" t="str">
        <f t="shared" si="2"/>
        <v>#DIV/0!</v>
      </c>
      <c r="O849" s="44" t="str">
        <f t="shared" si="4"/>
        <v/>
      </c>
      <c r="P849" s="44" t="str">
        <f t="shared" si="3"/>
        <v>#DIV/0!</v>
      </c>
      <c r="Q849" s="44"/>
    </row>
    <row r="850">
      <c r="A850" s="38" t="s">
        <v>3058</v>
      </c>
      <c r="B850" s="39" t="s">
        <v>3059</v>
      </c>
      <c r="C850" s="40" t="s">
        <v>1174</v>
      </c>
      <c r="D850" s="41" t="s">
        <v>844</v>
      </c>
      <c r="E850" s="51"/>
      <c r="F850" s="51"/>
      <c r="G850" s="51"/>
      <c r="H850" s="44"/>
      <c r="I850" s="44"/>
      <c r="J850" s="44"/>
      <c r="K850" s="44"/>
      <c r="L850" s="44"/>
      <c r="M850" s="44" t="str">
        <f t="shared" si="1"/>
        <v>#DIV/0!</v>
      </c>
      <c r="N850" s="44" t="str">
        <f t="shared" si="2"/>
        <v>#DIV/0!</v>
      </c>
      <c r="O850" s="44" t="str">
        <f t="shared" si="4"/>
        <v/>
      </c>
      <c r="P850" s="44" t="str">
        <f t="shared" si="3"/>
        <v>#DIV/0!</v>
      </c>
      <c r="Q850" s="44"/>
    </row>
    <row r="851">
      <c r="A851" s="38" t="s">
        <v>3060</v>
      </c>
      <c r="B851" s="39" t="s">
        <v>3061</v>
      </c>
      <c r="C851" s="40" t="s">
        <v>3062</v>
      </c>
      <c r="D851" s="42" t="s">
        <v>5321</v>
      </c>
      <c r="E851" s="51"/>
      <c r="F851" s="51"/>
      <c r="G851" s="51"/>
      <c r="H851" s="44"/>
      <c r="I851" s="44"/>
      <c r="J851" s="44"/>
      <c r="K851" s="44"/>
      <c r="L851" s="44"/>
      <c r="M851" s="44" t="str">
        <f t="shared" si="1"/>
        <v>#DIV/0!</v>
      </c>
      <c r="N851" s="44" t="str">
        <f t="shared" si="2"/>
        <v>#DIV/0!</v>
      </c>
      <c r="O851" s="44" t="str">
        <f t="shared" si="4"/>
        <v/>
      </c>
      <c r="P851" s="44" t="str">
        <f t="shared" si="3"/>
        <v>#DIV/0!</v>
      </c>
      <c r="Q851" s="44"/>
    </row>
    <row r="852">
      <c r="A852" s="38" t="s">
        <v>3064</v>
      </c>
      <c r="B852" s="39" t="s">
        <v>3065</v>
      </c>
      <c r="C852" s="40" t="s">
        <v>5322</v>
      </c>
      <c r="D852" s="42" t="s">
        <v>5323</v>
      </c>
      <c r="E852" s="51"/>
      <c r="F852" s="51"/>
      <c r="G852" s="51"/>
      <c r="H852" s="44"/>
      <c r="I852" s="44"/>
      <c r="J852" s="44"/>
      <c r="K852" s="44"/>
      <c r="L852" s="44"/>
      <c r="M852" s="44" t="str">
        <f t="shared" si="1"/>
        <v>#DIV/0!</v>
      </c>
      <c r="N852" s="44" t="str">
        <f t="shared" si="2"/>
        <v>#DIV/0!</v>
      </c>
      <c r="O852" s="44" t="str">
        <f t="shared" si="4"/>
        <v/>
      </c>
      <c r="P852" s="44" t="str">
        <f t="shared" si="3"/>
        <v>#DIV/0!</v>
      </c>
      <c r="Q852" s="44"/>
    </row>
    <row r="853">
      <c r="A853" s="38" t="s">
        <v>3068</v>
      </c>
      <c r="B853" s="39" t="s">
        <v>3069</v>
      </c>
      <c r="C853" s="40" t="s">
        <v>2638</v>
      </c>
      <c r="D853" s="41" t="s">
        <v>2639</v>
      </c>
      <c r="E853" s="51"/>
      <c r="F853" s="51"/>
      <c r="G853" s="51"/>
      <c r="H853" s="44"/>
      <c r="I853" s="44"/>
      <c r="J853" s="44"/>
      <c r="K853" s="44"/>
      <c r="L853" s="44"/>
      <c r="M853" s="44" t="str">
        <f t="shared" si="1"/>
        <v>#DIV/0!</v>
      </c>
      <c r="N853" s="44" t="str">
        <f t="shared" si="2"/>
        <v>#DIV/0!</v>
      </c>
      <c r="O853" s="44" t="str">
        <f t="shared" si="4"/>
        <v/>
      </c>
      <c r="P853" s="44" t="str">
        <f t="shared" si="3"/>
        <v>#DIV/0!</v>
      </c>
      <c r="Q853" s="44"/>
    </row>
    <row r="854">
      <c r="A854" s="38" t="s">
        <v>3071</v>
      </c>
      <c r="B854" s="39" t="s">
        <v>3072</v>
      </c>
      <c r="C854" s="40" t="s">
        <v>3073</v>
      </c>
      <c r="D854" s="42" t="s">
        <v>5324</v>
      </c>
      <c r="E854" s="51"/>
      <c r="F854" s="51"/>
      <c r="G854" s="51"/>
      <c r="H854" s="44"/>
      <c r="I854" s="44"/>
      <c r="J854" s="44"/>
      <c r="K854" s="44"/>
      <c r="L854" s="44"/>
      <c r="M854" s="44" t="str">
        <f t="shared" si="1"/>
        <v>#DIV/0!</v>
      </c>
      <c r="N854" s="44" t="str">
        <f t="shared" si="2"/>
        <v>#DIV/0!</v>
      </c>
      <c r="O854" s="44" t="str">
        <f t="shared" si="4"/>
        <v/>
      </c>
      <c r="P854" s="44" t="str">
        <f t="shared" si="3"/>
        <v>#DIV/0!</v>
      </c>
      <c r="Q854" s="44"/>
    </row>
    <row r="855">
      <c r="A855" s="38" t="s">
        <v>3075</v>
      </c>
      <c r="B855" s="39" t="s">
        <v>3076</v>
      </c>
      <c r="C855" s="40" t="s">
        <v>3077</v>
      </c>
      <c r="D855" s="42" t="s">
        <v>3078</v>
      </c>
      <c r="E855" s="51"/>
      <c r="F855" s="51"/>
      <c r="G855" s="51"/>
      <c r="H855" s="44"/>
      <c r="I855" s="44"/>
      <c r="J855" s="44"/>
      <c r="K855" s="44"/>
      <c r="L855" s="44"/>
      <c r="M855" s="44" t="str">
        <f t="shared" si="1"/>
        <v>#DIV/0!</v>
      </c>
      <c r="N855" s="44" t="str">
        <f t="shared" si="2"/>
        <v>#DIV/0!</v>
      </c>
      <c r="O855" s="44" t="str">
        <f t="shared" si="4"/>
        <v/>
      </c>
      <c r="P855" s="44" t="str">
        <f t="shared" si="3"/>
        <v>#DIV/0!</v>
      </c>
      <c r="Q855" s="44"/>
    </row>
    <row r="856">
      <c r="A856" s="38" t="s">
        <v>3079</v>
      </c>
      <c r="B856" s="39" t="s">
        <v>3080</v>
      </c>
      <c r="C856" s="40" t="s">
        <v>5325</v>
      </c>
      <c r="D856" s="41" t="s">
        <v>3082</v>
      </c>
      <c r="E856" s="51"/>
      <c r="F856" s="51"/>
      <c r="G856" s="51"/>
      <c r="H856" s="44"/>
      <c r="I856" s="44"/>
      <c r="J856" s="44"/>
      <c r="K856" s="44"/>
      <c r="L856" s="44"/>
      <c r="M856" s="44" t="str">
        <f t="shared" si="1"/>
        <v>#DIV/0!</v>
      </c>
      <c r="N856" s="44" t="str">
        <f t="shared" si="2"/>
        <v>#DIV/0!</v>
      </c>
      <c r="O856" s="44" t="str">
        <f t="shared" si="4"/>
        <v/>
      </c>
      <c r="P856" s="44" t="str">
        <f t="shared" si="3"/>
        <v>#DIV/0!</v>
      </c>
      <c r="Q856" s="44"/>
    </row>
    <row r="857">
      <c r="A857" s="38" t="s">
        <v>3083</v>
      </c>
      <c r="B857" s="39" t="s">
        <v>3084</v>
      </c>
      <c r="C857" s="40" t="s">
        <v>268</v>
      </c>
      <c r="D857" s="41" t="s">
        <v>137</v>
      </c>
      <c r="E857" s="51"/>
      <c r="F857" s="51"/>
      <c r="G857" s="51"/>
      <c r="H857" s="44"/>
      <c r="I857" s="44"/>
      <c r="J857" s="44"/>
      <c r="K857" s="44"/>
      <c r="L857" s="44"/>
      <c r="M857" s="44" t="str">
        <f t="shared" si="1"/>
        <v>#DIV/0!</v>
      </c>
      <c r="N857" s="44" t="str">
        <f t="shared" si="2"/>
        <v>#DIV/0!</v>
      </c>
      <c r="O857" s="44" t="str">
        <f t="shared" si="4"/>
        <v/>
      </c>
      <c r="P857" s="44" t="str">
        <f t="shared" si="3"/>
        <v>#DIV/0!</v>
      </c>
      <c r="Q857" s="44"/>
    </row>
    <row r="858">
      <c r="A858" s="38" t="s">
        <v>3085</v>
      </c>
      <c r="B858" s="39" t="s">
        <v>3086</v>
      </c>
      <c r="C858" s="40" t="s">
        <v>1059</v>
      </c>
      <c r="D858" s="42" t="s">
        <v>864</v>
      </c>
      <c r="E858" s="51"/>
      <c r="F858" s="51"/>
      <c r="G858" s="51"/>
      <c r="H858" s="44"/>
      <c r="I858" s="44"/>
      <c r="J858" s="44"/>
      <c r="K858" s="44"/>
      <c r="L858" s="44"/>
      <c r="M858" s="44" t="str">
        <f t="shared" si="1"/>
        <v>#DIV/0!</v>
      </c>
      <c r="N858" s="44" t="str">
        <f t="shared" si="2"/>
        <v>#DIV/0!</v>
      </c>
      <c r="O858" s="44" t="str">
        <f t="shared" si="4"/>
        <v/>
      </c>
      <c r="P858" s="44" t="str">
        <f t="shared" si="3"/>
        <v>#DIV/0!</v>
      </c>
      <c r="Q858" s="44"/>
    </row>
    <row r="859">
      <c r="A859" s="38" t="s">
        <v>3087</v>
      </c>
      <c r="B859" s="39" t="s">
        <v>3088</v>
      </c>
      <c r="C859" s="40" t="s">
        <v>5326</v>
      </c>
      <c r="D859" s="42" t="s">
        <v>3090</v>
      </c>
      <c r="E859" s="51"/>
      <c r="F859" s="51"/>
      <c r="G859" s="51"/>
      <c r="H859" s="44"/>
      <c r="I859" s="44"/>
      <c r="J859" s="44"/>
      <c r="K859" s="44"/>
      <c r="L859" s="44"/>
      <c r="M859" s="44" t="str">
        <f t="shared" si="1"/>
        <v>#DIV/0!</v>
      </c>
      <c r="N859" s="44" t="str">
        <f t="shared" si="2"/>
        <v>#DIV/0!</v>
      </c>
      <c r="O859" s="44" t="str">
        <f t="shared" si="4"/>
        <v/>
      </c>
      <c r="P859" s="44" t="str">
        <f t="shared" si="3"/>
        <v>#DIV/0!</v>
      </c>
      <c r="Q859" s="44"/>
    </row>
    <row r="860">
      <c r="A860" s="38" t="s">
        <v>3091</v>
      </c>
      <c r="B860" s="39" t="s">
        <v>3092</v>
      </c>
      <c r="C860" s="40" t="s">
        <v>5327</v>
      </c>
      <c r="D860" s="42" t="s">
        <v>5328</v>
      </c>
      <c r="E860" s="51"/>
      <c r="F860" s="51"/>
      <c r="G860" s="51"/>
      <c r="H860" s="44"/>
      <c r="I860" s="44"/>
      <c r="J860" s="44"/>
      <c r="K860" s="44"/>
      <c r="L860" s="44"/>
      <c r="M860" s="44" t="str">
        <f t="shared" si="1"/>
        <v>#DIV/0!</v>
      </c>
      <c r="N860" s="44" t="str">
        <f t="shared" si="2"/>
        <v>#DIV/0!</v>
      </c>
      <c r="O860" s="44" t="str">
        <f t="shared" si="4"/>
        <v/>
      </c>
      <c r="P860" s="44" t="str">
        <f t="shared" si="3"/>
        <v>#DIV/0!</v>
      </c>
      <c r="Q860" s="44"/>
    </row>
    <row r="861">
      <c r="A861" s="38" t="s">
        <v>3095</v>
      </c>
      <c r="B861" s="39" t="s">
        <v>3096</v>
      </c>
      <c r="C861" s="40" t="s">
        <v>5329</v>
      </c>
      <c r="D861" s="41" t="s">
        <v>3098</v>
      </c>
      <c r="E861" s="51"/>
      <c r="F861" s="51"/>
      <c r="G861" s="51"/>
      <c r="H861" s="44"/>
      <c r="I861" s="44"/>
      <c r="J861" s="44"/>
      <c r="K861" s="44"/>
      <c r="L861" s="44"/>
      <c r="M861" s="44" t="str">
        <f t="shared" si="1"/>
        <v>#DIV/0!</v>
      </c>
      <c r="N861" s="44" t="str">
        <f t="shared" si="2"/>
        <v>#DIV/0!</v>
      </c>
      <c r="O861" s="44" t="str">
        <f t="shared" si="4"/>
        <v/>
      </c>
      <c r="P861" s="44" t="str">
        <f t="shared" si="3"/>
        <v>#DIV/0!</v>
      </c>
      <c r="Q861" s="44"/>
    </row>
    <row r="862">
      <c r="A862" s="38" t="s">
        <v>3099</v>
      </c>
      <c r="B862" s="39" t="s">
        <v>3100</v>
      </c>
      <c r="C862" s="40" t="s">
        <v>2510</v>
      </c>
      <c r="D862" s="41" t="s">
        <v>2511</v>
      </c>
      <c r="E862" s="51"/>
      <c r="F862" s="51"/>
      <c r="G862" s="51"/>
      <c r="H862" s="44"/>
      <c r="I862" s="44"/>
      <c r="J862" s="44"/>
      <c r="K862" s="44"/>
      <c r="L862" s="44"/>
      <c r="M862" s="44" t="str">
        <f t="shared" si="1"/>
        <v>#DIV/0!</v>
      </c>
      <c r="N862" s="44" t="str">
        <f t="shared" si="2"/>
        <v>#DIV/0!</v>
      </c>
      <c r="O862" s="44" t="str">
        <f t="shared" si="4"/>
        <v/>
      </c>
      <c r="P862" s="44" t="str">
        <f t="shared" si="3"/>
        <v>#DIV/0!</v>
      </c>
      <c r="Q862" s="44"/>
    </row>
    <row r="863">
      <c r="A863" s="38" t="s">
        <v>3101</v>
      </c>
      <c r="B863" s="39" t="s">
        <v>3102</v>
      </c>
      <c r="C863" s="40" t="s">
        <v>5330</v>
      </c>
      <c r="D863" s="41" t="s">
        <v>3104</v>
      </c>
      <c r="E863" s="51"/>
      <c r="F863" s="51"/>
      <c r="G863" s="51"/>
      <c r="H863" s="44"/>
      <c r="I863" s="44"/>
      <c r="J863" s="44"/>
      <c r="K863" s="44"/>
      <c r="L863" s="44"/>
      <c r="M863" s="44" t="str">
        <f t="shared" si="1"/>
        <v>#DIV/0!</v>
      </c>
      <c r="N863" s="44" t="str">
        <f t="shared" si="2"/>
        <v>#DIV/0!</v>
      </c>
      <c r="O863" s="44" t="str">
        <f t="shared" si="4"/>
        <v/>
      </c>
      <c r="P863" s="44" t="str">
        <f t="shared" si="3"/>
        <v>#DIV/0!</v>
      </c>
      <c r="Q863" s="44"/>
    </row>
    <row r="864">
      <c r="A864" s="38" t="s">
        <v>3105</v>
      </c>
      <c r="B864" s="39" t="s">
        <v>3106</v>
      </c>
      <c r="C864" s="40" t="s">
        <v>5331</v>
      </c>
      <c r="D864" s="42" t="s">
        <v>5332</v>
      </c>
      <c r="E864" s="51"/>
      <c r="F864" s="51"/>
      <c r="G864" s="51"/>
      <c r="H864" s="44"/>
      <c r="I864" s="44"/>
      <c r="J864" s="44"/>
      <c r="K864" s="44"/>
      <c r="L864" s="44"/>
      <c r="M864" s="44" t="str">
        <f t="shared" si="1"/>
        <v>#DIV/0!</v>
      </c>
      <c r="N864" s="44" t="str">
        <f t="shared" si="2"/>
        <v>#DIV/0!</v>
      </c>
      <c r="O864" s="44" t="str">
        <f t="shared" si="4"/>
        <v/>
      </c>
      <c r="P864" s="44" t="str">
        <f t="shared" si="3"/>
        <v>#DIV/0!</v>
      </c>
      <c r="Q864" s="44"/>
    </row>
    <row r="865">
      <c r="A865" s="38" t="s">
        <v>3109</v>
      </c>
      <c r="B865" s="39" t="s">
        <v>3110</v>
      </c>
      <c r="C865" s="40" t="s">
        <v>5333</v>
      </c>
      <c r="D865" s="41" t="s">
        <v>3112</v>
      </c>
      <c r="E865" s="51"/>
      <c r="F865" s="51"/>
      <c r="G865" s="51"/>
      <c r="H865" s="44"/>
      <c r="I865" s="44"/>
      <c r="J865" s="44"/>
      <c r="K865" s="44"/>
      <c r="L865" s="44"/>
      <c r="M865" s="44" t="str">
        <f t="shared" si="1"/>
        <v>#DIV/0!</v>
      </c>
      <c r="N865" s="44" t="str">
        <f t="shared" si="2"/>
        <v>#DIV/0!</v>
      </c>
      <c r="O865" s="44" t="str">
        <f t="shared" si="4"/>
        <v/>
      </c>
      <c r="P865" s="44" t="str">
        <f t="shared" si="3"/>
        <v>#DIV/0!</v>
      </c>
      <c r="Q865" s="44"/>
    </row>
    <row r="866">
      <c r="A866" s="38" t="s">
        <v>3113</v>
      </c>
      <c r="B866" s="39" t="s">
        <v>3114</v>
      </c>
      <c r="C866" s="40" t="s">
        <v>5334</v>
      </c>
      <c r="D866" s="42" t="s">
        <v>5335</v>
      </c>
      <c r="E866" s="51"/>
      <c r="F866" s="51"/>
      <c r="G866" s="51"/>
      <c r="H866" s="44"/>
      <c r="I866" s="44"/>
      <c r="J866" s="44"/>
      <c r="K866" s="44"/>
      <c r="L866" s="44"/>
      <c r="M866" s="44" t="str">
        <f t="shared" si="1"/>
        <v>#DIV/0!</v>
      </c>
      <c r="N866" s="44" t="str">
        <f t="shared" si="2"/>
        <v>#DIV/0!</v>
      </c>
      <c r="O866" s="44" t="str">
        <f t="shared" si="4"/>
        <v/>
      </c>
      <c r="P866" s="44" t="str">
        <f t="shared" si="3"/>
        <v>#DIV/0!</v>
      </c>
      <c r="Q866" s="44"/>
    </row>
    <row r="867">
      <c r="A867" s="38" t="s">
        <v>3117</v>
      </c>
      <c r="B867" s="39" t="s">
        <v>3118</v>
      </c>
      <c r="C867" s="40" t="s">
        <v>5336</v>
      </c>
      <c r="D867" s="42" t="s">
        <v>5337</v>
      </c>
      <c r="E867" s="51"/>
      <c r="F867" s="51"/>
      <c r="G867" s="51"/>
      <c r="H867" s="44"/>
      <c r="I867" s="44"/>
      <c r="J867" s="44"/>
      <c r="K867" s="44"/>
      <c r="L867" s="44"/>
      <c r="M867" s="44" t="str">
        <f t="shared" si="1"/>
        <v>#DIV/0!</v>
      </c>
      <c r="N867" s="44" t="str">
        <f t="shared" si="2"/>
        <v>#DIV/0!</v>
      </c>
      <c r="O867" s="44" t="str">
        <f t="shared" si="4"/>
        <v/>
      </c>
      <c r="P867" s="44" t="str">
        <f t="shared" si="3"/>
        <v>#DIV/0!</v>
      </c>
      <c r="Q867" s="44"/>
    </row>
    <row r="868">
      <c r="A868" s="38" t="s">
        <v>3121</v>
      </c>
      <c r="B868" s="39" t="s">
        <v>3122</v>
      </c>
      <c r="C868" s="40" t="s">
        <v>3123</v>
      </c>
      <c r="D868" s="41" t="s">
        <v>3124</v>
      </c>
      <c r="E868" s="51"/>
      <c r="F868" s="51"/>
      <c r="G868" s="51"/>
      <c r="H868" s="44"/>
      <c r="I868" s="44"/>
      <c r="J868" s="44"/>
      <c r="K868" s="44"/>
      <c r="L868" s="44"/>
      <c r="M868" s="44" t="str">
        <f t="shared" si="1"/>
        <v>#DIV/0!</v>
      </c>
      <c r="N868" s="44" t="str">
        <f t="shared" si="2"/>
        <v>#DIV/0!</v>
      </c>
      <c r="O868" s="44" t="str">
        <f t="shared" si="4"/>
        <v/>
      </c>
      <c r="P868" s="44" t="str">
        <f t="shared" si="3"/>
        <v>#DIV/0!</v>
      </c>
      <c r="Q868" s="44"/>
    </row>
    <row r="869">
      <c r="A869" s="38" t="s">
        <v>3125</v>
      </c>
      <c r="B869" s="39" t="s">
        <v>3126</v>
      </c>
      <c r="C869" s="40" t="s">
        <v>5338</v>
      </c>
      <c r="D869" s="41" t="s">
        <v>5339</v>
      </c>
      <c r="E869" s="51"/>
      <c r="F869" s="51"/>
      <c r="G869" s="51"/>
      <c r="H869" s="44"/>
      <c r="I869" s="44"/>
      <c r="J869" s="44"/>
      <c r="K869" s="44"/>
      <c r="L869" s="44"/>
      <c r="M869" s="44" t="str">
        <f t="shared" si="1"/>
        <v>#DIV/0!</v>
      </c>
      <c r="N869" s="44" t="str">
        <f t="shared" si="2"/>
        <v>#DIV/0!</v>
      </c>
      <c r="O869" s="44" t="str">
        <f t="shared" si="4"/>
        <v/>
      </c>
      <c r="P869" s="44" t="str">
        <f t="shared" si="3"/>
        <v>#DIV/0!</v>
      </c>
      <c r="Q869" s="44"/>
    </row>
    <row r="870">
      <c r="A870" s="38" t="s">
        <v>3129</v>
      </c>
      <c r="B870" s="39" t="s">
        <v>3130</v>
      </c>
      <c r="C870" s="40" t="s">
        <v>3131</v>
      </c>
      <c r="D870" s="42" t="s">
        <v>5340</v>
      </c>
      <c r="E870" s="51"/>
      <c r="F870" s="51"/>
      <c r="G870" s="51"/>
      <c r="H870" s="44"/>
      <c r="I870" s="44"/>
      <c r="J870" s="44"/>
      <c r="K870" s="44"/>
      <c r="L870" s="44"/>
      <c r="M870" s="44" t="str">
        <f t="shared" si="1"/>
        <v>#DIV/0!</v>
      </c>
      <c r="N870" s="44" t="str">
        <f t="shared" si="2"/>
        <v>#DIV/0!</v>
      </c>
      <c r="O870" s="44" t="str">
        <f t="shared" si="4"/>
        <v/>
      </c>
      <c r="P870" s="44" t="str">
        <f t="shared" si="3"/>
        <v>#DIV/0!</v>
      </c>
      <c r="Q870" s="44"/>
    </row>
    <row r="871">
      <c r="A871" s="38" t="s">
        <v>3133</v>
      </c>
      <c r="B871" s="39" t="s">
        <v>3134</v>
      </c>
      <c r="C871" s="40" t="s">
        <v>3135</v>
      </c>
      <c r="D871" s="42" t="s">
        <v>3136</v>
      </c>
      <c r="E871" s="51"/>
      <c r="F871" s="51"/>
      <c r="G871" s="51"/>
      <c r="H871" s="44"/>
      <c r="I871" s="44"/>
      <c r="J871" s="44"/>
      <c r="K871" s="44"/>
      <c r="L871" s="44"/>
      <c r="M871" s="44" t="str">
        <f t="shared" si="1"/>
        <v>#DIV/0!</v>
      </c>
      <c r="N871" s="44" t="str">
        <f t="shared" si="2"/>
        <v>#DIV/0!</v>
      </c>
      <c r="O871" s="44" t="str">
        <f t="shared" si="4"/>
        <v/>
      </c>
      <c r="P871" s="44" t="str">
        <f t="shared" si="3"/>
        <v>#DIV/0!</v>
      </c>
      <c r="Q871" s="44"/>
    </row>
    <row r="872">
      <c r="A872" s="38" t="s">
        <v>3137</v>
      </c>
      <c r="B872" s="39" t="s">
        <v>3138</v>
      </c>
      <c r="C872" s="40" t="s">
        <v>681</v>
      </c>
      <c r="D872" s="41" t="s">
        <v>445</v>
      </c>
      <c r="E872" s="51"/>
      <c r="F872" s="51"/>
      <c r="G872" s="51"/>
      <c r="H872" s="44"/>
      <c r="I872" s="44"/>
      <c r="J872" s="44"/>
      <c r="K872" s="44"/>
      <c r="L872" s="44"/>
      <c r="M872" s="44" t="str">
        <f t="shared" si="1"/>
        <v>#DIV/0!</v>
      </c>
      <c r="N872" s="44" t="str">
        <f t="shared" si="2"/>
        <v>#DIV/0!</v>
      </c>
      <c r="O872" s="44" t="str">
        <f t="shared" si="4"/>
        <v/>
      </c>
      <c r="P872" s="44" t="str">
        <f t="shared" si="3"/>
        <v>#DIV/0!</v>
      </c>
      <c r="Q872" s="44"/>
    </row>
    <row r="873">
      <c r="A873" s="38" t="s">
        <v>3139</v>
      </c>
      <c r="B873" s="39" t="s">
        <v>3140</v>
      </c>
      <c r="C873" s="40" t="s">
        <v>176</v>
      </c>
      <c r="D873" s="41" t="s">
        <v>177</v>
      </c>
      <c r="E873" s="51"/>
      <c r="F873" s="51"/>
      <c r="G873" s="51"/>
      <c r="H873" s="44"/>
      <c r="I873" s="44"/>
      <c r="J873" s="44"/>
      <c r="K873" s="44"/>
      <c r="L873" s="44"/>
      <c r="M873" s="44" t="str">
        <f t="shared" si="1"/>
        <v>#DIV/0!</v>
      </c>
      <c r="N873" s="44" t="str">
        <f t="shared" si="2"/>
        <v>#DIV/0!</v>
      </c>
      <c r="O873" s="44" t="str">
        <f t="shared" si="4"/>
        <v/>
      </c>
      <c r="P873" s="44" t="str">
        <f t="shared" si="3"/>
        <v>#DIV/0!</v>
      </c>
      <c r="Q873" s="44"/>
    </row>
    <row r="874">
      <c r="A874" s="38" t="s">
        <v>3141</v>
      </c>
      <c r="B874" s="39" t="s">
        <v>3142</v>
      </c>
      <c r="C874" s="40" t="s">
        <v>5341</v>
      </c>
      <c r="D874" s="42" t="s">
        <v>5342</v>
      </c>
      <c r="E874" s="51"/>
      <c r="F874" s="51"/>
      <c r="G874" s="51"/>
      <c r="H874" s="44"/>
      <c r="I874" s="44"/>
      <c r="J874" s="44"/>
      <c r="K874" s="44"/>
      <c r="L874" s="44"/>
      <c r="M874" s="44" t="str">
        <f t="shared" si="1"/>
        <v>#DIV/0!</v>
      </c>
      <c r="N874" s="44" t="str">
        <f t="shared" si="2"/>
        <v>#DIV/0!</v>
      </c>
      <c r="O874" s="44" t="str">
        <f t="shared" si="4"/>
        <v/>
      </c>
      <c r="P874" s="44" t="str">
        <f t="shared" si="3"/>
        <v>#DIV/0!</v>
      </c>
      <c r="Q874" s="44"/>
    </row>
    <row r="875">
      <c r="A875" s="38" t="s">
        <v>3145</v>
      </c>
      <c r="B875" s="39" t="s">
        <v>3146</v>
      </c>
      <c r="C875" s="40" t="s">
        <v>3147</v>
      </c>
      <c r="D875" s="42" t="s">
        <v>5343</v>
      </c>
      <c r="E875" s="51"/>
      <c r="F875" s="51"/>
      <c r="G875" s="51"/>
      <c r="H875" s="44"/>
      <c r="I875" s="44"/>
      <c r="J875" s="44"/>
      <c r="K875" s="44"/>
      <c r="L875" s="44"/>
      <c r="M875" s="44" t="str">
        <f t="shared" si="1"/>
        <v>#DIV/0!</v>
      </c>
      <c r="N875" s="44" t="str">
        <f t="shared" si="2"/>
        <v>#DIV/0!</v>
      </c>
      <c r="O875" s="44" t="str">
        <f t="shared" si="4"/>
        <v/>
      </c>
      <c r="P875" s="44" t="str">
        <f t="shared" si="3"/>
        <v>#DIV/0!</v>
      </c>
      <c r="Q875" s="44"/>
    </row>
    <row r="876">
      <c r="A876" s="38" t="s">
        <v>3149</v>
      </c>
      <c r="B876" s="39" t="s">
        <v>3150</v>
      </c>
      <c r="C876" s="40" t="s">
        <v>3151</v>
      </c>
      <c r="D876" s="42" t="s">
        <v>5344</v>
      </c>
      <c r="E876" s="51"/>
      <c r="F876" s="51"/>
      <c r="G876" s="51"/>
      <c r="H876" s="44"/>
      <c r="I876" s="44"/>
      <c r="J876" s="44"/>
      <c r="K876" s="44"/>
      <c r="L876" s="44"/>
      <c r="M876" s="44" t="str">
        <f t="shared" si="1"/>
        <v>#DIV/0!</v>
      </c>
      <c r="N876" s="44" t="str">
        <f t="shared" si="2"/>
        <v>#DIV/0!</v>
      </c>
      <c r="O876" s="44" t="str">
        <f t="shared" si="4"/>
        <v/>
      </c>
      <c r="P876" s="44" t="str">
        <f t="shared" si="3"/>
        <v>#DIV/0!</v>
      </c>
      <c r="Q876" s="44"/>
    </row>
    <row r="877">
      <c r="A877" s="38" t="s">
        <v>3153</v>
      </c>
      <c r="B877" s="39" t="s">
        <v>3154</v>
      </c>
      <c r="C877" s="40" t="s">
        <v>5345</v>
      </c>
      <c r="D877" s="42" t="s">
        <v>5346</v>
      </c>
      <c r="E877" s="51"/>
      <c r="F877" s="51"/>
      <c r="G877" s="51"/>
      <c r="H877" s="44"/>
      <c r="I877" s="44"/>
      <c r="J877" s="44"/>
      <c r="K877" s="44"/>
      <c r="L877" s="44"/>
      <c r="M877" s="44" t="str">
        <f t="shared" si="1"/>
        <v>#DIV/0!</v>
      </c>
      <c r="N877" s="44" t="str">
        <f t="shared" si="2"/>
        <v>#DIV/0!</v>
      </c>
      <c r="O877" s="44" t="str">
        <f t="shared" si="4"/>
        <v/>
      </c>
      <c r="P877" s="44" t="str">
        <f t="shared" si="3"/>
        <v>#DIV/0!</v>
      </c>
      <c r="Q877" s="44"/>
    </row>
    <row r="878">
      <c r="A878" s="38" t="s">
        <v>3157</v>
      </c>
      <c r="B878" s="39" t="s">
        <v>3158</v>
      </c>
      <c r="C878" s="40" t="s">
        <v>3159</v>
      </c>
      <c r="D878" s="41" t="s">
        <v>1511</v>
      </c>
      <c r="E878" s="51"/>
      <c r="F878" s="51"/>
      <c r="G878" s="51"/>
      <c r="H878" s="44"/>
      <c r="I878" s="44"/>
      <c r="J878" s="44"/>
      <c r="K878" s="44"/>
      <c r="L878" s="44"/>
      <c r="M878" s="44" t="str">
        <f t="shared" si="1"/>
        <v>#DIV/0!</v>
      </c>
      <c r="N878" s="44" t="str">
        <f t="shared" si="2"/>
        <v>#DIV/0!</v>
      </c>
      <c r="O878" s="44" t="str">
        <f t="shared" si="4"/>
        <v/>
      </c>
      <c r="P878" s="44" t="str">
        <f t="shared" si="3"/>
        <v>#DIV/0!</v>
      </c>
      <c r="Q878" s="44"/>
    </row>
    <row r="879">
      <c r="A879" s="38" t="s">
        <v>3160</v>
      </c>
      <c r="B879" s="39" t="s">
        <v>3161</v>
      </c>
      <c r="C879" s="40" t="s">
        <v>5347</v>
      </c>
      <c r="D879" s="42" t="s">
        <v>5348</v>
      </c>
      <c r="E879" s="51"/>
      <c r="F879" s="51"/>
      <c r="G879" s="51"/>
      <c r="H879" s="44"/>
      <c r="I879" s="44"/>
      <c r="J879" s="44"/>
      <c r="K879" s="44"/>
      <c r="L879" s="44"/>
      <c r="M879" s="44" t="str">
        <f t="shared" si="1"/>
        <v>#DIV/0!</v>
      </c>
      <c r="N879" s="44" t="str">
        <f t="shared" si="2"/>
        <v>#DIV/0!</v>
      </c>
      <c r="O879" s="44" t="str">
        <f t="shared" si="4"/>
        <v/>
      </c>
      <c r="P879" s="44" t="str">
        <f t="shared" si="3"/>
        <v>#DIV/0!</v>
      </c>
      <c r="Q879" s="44"/>
    </row>
    <row r="880">
      <c r="A880" s="38" t="s">
        <v>3164</v>
      </c>
      <c r="B880" s="39" t="s">
        <v>3165</v>
      </c>
      <c r="C880" s="40" t="s">
        <v>172</v>
      </c>
      <c r="D880" s="41" t="s">
        <v>173</v>
      </c>
      <c r="E880" s="51"/>
      <c r="F880" s="51"/>
      <c r="G880" s="51"/>
      <c r="H880" s="44"/>
      <c r="I880" s="44"/>
      <c r="J880" s="44"/>
      <c r="K880" s="44"/>
      <c r="L880" s="44"/>
      <c r="M880" s="44" t="str">
        <f t="shared" si="1"/>
        <v>#DIV/0!</v>
      </c>
      <c r="N880" s="44" t="str">
        <f t="shared" si="2"/>
        <v>#DIV/0!</v>
      </c>
      <c r="O880" s="44" t="str">
        <f t="shared" si="4"/>
        <v/>
      </c>
      <c r="P880" s="44" t="str">
        <f t="shared" si="3"/>
        <v>#DIV/0!</v>
      </c>
      <c r="Q880" s="44"/>
    </row>
    <row r="881">
      <c r="A881" s="38" t="s">
        <v>3166</v>
      </c>
      <c r="B881" s="39" t="s">
        <v>3167</v>
      </c>
      <c r="C881" s="40" t="s">
        <v>4875</v>
      </c>
      <c r="D881" s="41" t="s">
        <v>4876</v>
      </c>
      <c r="E881" s="51"/>
      <c r="F881" s="51"/>
      <c r="G881" s="51"/>
      <c r="H881" s="44"/>
      <c r="I881" s="44"/>
      <c r="J881" s="44"/>
      <c r="K881" s="44"/>
      <c r="L881" s="44"/>
      <c r="M881" s="44" t="str">
        <f t="shared" si="1"/>
        <v>#DIV/0!</v>
      </c>
      <c r="N881" s="44" t="str">
        <f t="shared" si="2"/>
        <v>#DIV/0!</v>
      </c>
      <c r="O881" s="44" t="str">
        <f t="shared" si="4"/>
        <v/>
      </c>
      <c r="P881" s="44" t="str">
        <f t="shared" si="3"/>
        <v>#DIV/0!</v>
      </c>
      <c r="Q881" s="44"/>
    </row>
    <row r="882">
      <c r="A882" s="38" t="s">
        <v>3168</v>
      </c>
      <c r="B882" s="39" t="s">
        <v>3169</v>
      </c>
      <c r="C882" s="40" t="s">
        <v>3170</v>
      </c>
      <c r="D882" s="42" t="s">
        <v>3171</v>
      </c>
      <c r="E882" s="51"/>
      <c r="F882" s="51"/>
      <c r="G882" s="51"/>
      <c r="H882" s="44"/>
      <c r="I882" s="44"/>
      <c r="J882" s="44"/>
      <c r="K882" s="44"/>
      <c r="L882" s="44"/>
      <c r="M882" s="44" t="str">
        <f t="shared" si="1"/>
        <v>#DIV/0!</v>
      </c>
      <c r="N882" s="44" t="str">
        <f t="shared" si="2"/>
        <v>#DIV/0!</v>
      </c>
      <c r="O882" s="44" t="str">
        <f t="shared" si="4"/>
        <v/>
      </c>
      <c r="P882" s="44" t="str">
        <f t="shared" si="3"/>
        <v>#DIV/0!</v>
      </c>
      <c r="Q882" s="44"/>
    </row>
    <row r="883">
      <c r="A883" s="38" t="s">
        <v>3172</v>
      </c>
      <c r="B883" s="39" t="s">
        <v>3173</v>
      </c>
      <c r="C883" s="40" t="s">
        <v>3174</v>
      </c>
      <c r="D883" s="42" t="s">
        <v>3175</v>
      </c>
      <c r="E883" s="51"/>
      <c r="F883" s="51"/>
      <c r="G883" s="51"/>
      <c r="H883" s="44"/>
      <c r="I883" s="44"/>
      <c r="J883" s="44"/>
      <c r="K883" s="44"/>
      <c r="L883" s="44"/>
      <c r="M883" s="44" t="str">
        <f t="shared" si="1"/>
        <v>#DIV/0!</v>
      </c>
      <c r="N883" s="44" t="str">
        <f t="shared" si="2"/>
        <v>#DIV/0!</v>
      </c>
      <c r="O883" s="44" t="str">
        <f t="shared" si="4"/>
        <v/>
      </c>
      <c r="P883" s="44" t="str">
        <f t="shared" si="3"/>
        <v>#DIV/0!</v>
      </c>
      <c r="Q883" s="44"/>
    </row>
    <row r="884">
      <c r="A884" s="38" t="s">
        <v>3176</v>
      </c>
      <c r="B884" s="39" t="s">
        <v>3177</v>
      </c>
      <c r="C884" s="40" t="s">
        <v>3178</v>
      </c>
      <c r="D884" s="42" t="s">
        <v>5349</v>
      </c>
      <c r="E884" s="51"/>
      <c r="F884" s="51"/>
      <c r="G884" s="51"/>
      <c r="H884" s="44"/>
      <c r="I884" s="44"/>
      <c r="J884" s="44"/>
      <c r="K884" s="44"/>
      <c r="L884" s="44"/>
      <c r="M884" s="44" t="str">
        <f t="shared" si="1"/>
        <v>#DIV/0!</v>
      </c>
      <c r="N884" s="44" t="str">
        <f t="shared" si="2"/>
        <v>#DIV/0!</v>
      </c>
      <c r="O884" s="44" t="str">
        <f t="shared" si="4"/>
        <v/>
      </c>
      <c r="P884" s="44" t="str">
        <f t="shared" si="3"/>
        <v>#DIV/0!</v>
      </c>
      <c r="Q884" s="44"/>
    </row>
    <row r="885">
      <c r="A885" s="38" t="s">
        <v>3180</v>
      </c>
      <c r="B885" s="39" t="s">
        <v>3181</v>
      </c>
      <c r="C885" s="40" t="s">
        <v>2630</v>
      </c>
      <c r="D885" s="42" t="s">
        <v>5226</v>
      </c>
      <c r="E885" s="51"/>
      <c r="F885" s="51"/>
      <c r="G885" s="51"/>
      <c r="H885" s="44"/>
      <c r="I885" s="44"/>
      <c r="J885" s="44"/>
      <c r="K885" s="44"/>
      <c r="L885" s="44"/>
      <c r="M885" s="44" t="str">
        <f t="shared" si="1"/>
        <v>#DIV/0!</v>
      </c>
      <c r="N885" s="44" t="str">
        <f t="shared" si="2"/>
        <v>#DIV/0!</v>
      </c>
      <c r="O885" s="44" t="str">
        <f t="shared" si="4"/>
        <v/>
      </c>
      <c r="P885" s="44" t="str">
        <f t="shared" si="3"/>
        <v>#DIV/0!</v>
      </c>
      <c r="Q885" s="44"/>
    </row>
    <row r="886">
      <c r="A886" s="38" t="s">
        <v>3182</v>
      </c>
      <c r="B886" s="39" t="s">
        <v>3183</v>
      </c>
      <c r="C886" s="40" t="s">
        <v>3184</v>
      </c>
      <c r="D886" s="42" t="s">
        <v>5350</v>
      </c>
      <c r="E886" s="51"/>
      <c r="F886" s="51"/>
      <c r="G886" s="51"/>
      <c r="H886" s="44"/>
      <c r="I886" s="44"/>
      <c r="J886" s="44"/>
      <c r="K886" s="44"/>
      <c r="L886" s="44"/>
      <c r="M886" s="44" t="str">
        <f t="shared" si="1"/>
        <v>#DIV/0!</v>
      </c>
      <c r="N886" s="44" t="str">
        <f t="shared" si="2"/>
        <v>#DIV/0!</v>
      </c>
      <c r="O886" s="44" t="str">
        <f t="shared" si="4"/>
        <v/>
      </c>
      <c r="P886" s="44" t="str">
        <f t="shared" si="3"/>
        <v>#DIV/0!</v>
      </c>
      <c r="Q886" s="44"/>
    </row>
    <row r="887">
      <c r="A887" s="38" t="s">
        <v>3186</v>
      </c>
      <c r="B887" s="39" t="s">
        <v>3187</v>
      </c>
      <c r="C887" s="40" t="s">
        <v>4978</v>
      </c>
      <c r="D887" s="41" t="s">
        <v>4979</v>
      </c>
      <c r="E887" s="51"/>
      <c r="F887" s="51"/>
      <c r="G887" s="51"/>
      <c r="H887" s="44"/>
      <c r="I887" s="44"/>
      <c r="J887" s="44"/>
      <c r="K887" s="44"/>
      <c r="L887" s="44"/>
      <c r="M887" s="44" t="str">
        <f t="shared" si="1"/>
        <v>#DIV/0!</v>
      </c>
      <c r="N887" s="44" t="str">
        <f t="shared" si="2"/>
        <v>#DIV/0!</v>
      </c>
      <c r="O887" s="44" t="str">
        <f t="shared" si="4"/>
        <v/>
      </c>
      <c r="P887" s="44" t="str">
        <f t="shared" si="3"/>
        <v>#DIV/0!</v>
      </c>
      <c r="Q887" s="44"/>
    </row>
    <row r="888">
      <c r="A888" s="38" t="s">
        <v>3189</v>
      </c>
      <c r="B888" s="39" t="s">
        <v>3190</v>
      </c>
      <c r="C888" s="40" t="s">
        <v>5351</v>
      </c>
      <c r="D888" s="42" t="s">
        <v>5352</v>
      </c>
      <c r="E888" s="51"/>
      <c r="F888" s="51"/>
      <c r="G888" s="51"/>
      <c r="H888" s="44"/>
      <c r="I888" s="44"/>
      <c r="J888" s="44"/>
      <c r="K888" s="44"/>
      <c r="L888" s="44"/>
      <c r="M888" s="44" t="str">
        <f t="shared" si="1"/>
        <v>#DIV/0!</v>
      </c>
      <c r="N888" s="44" t="str">
        <f t="shared" si="2"/>
        <v>#DIV/0!</v>
      </c>
      <c r="O888" s="44" t="str">
        <f t="shared" si="4"/>
        <v/>
      </c>
      <c r="P888" s="44" t="str">
        <f t="shared" si="3"/>
        <v>#DIV/0!</v>
      </c>
      <c r="Q888" s="44"/>
    </row>
    <row r="889">
      <c r="A889" s="38" t="s">
        <v>3193</v>
      </c>
      <c r="B889" s="39" t="s">
        <v>3194</v>
      </c>
      <c r="C889" s="40" t="s">
        <v>3195</v>
      </c>
      <c r="D889" s="41" t="s">
        <v>3196</v>
      </c>
      <c r="E889" s="51"/>
      <c r="F889" s="51"/>
      <c r="G889" s="51"/>
      <c r="H889" s="44"/>
      <c r="I889" s="44"/>
      <c r="J889" s="44"/>
      <c r="K889" s="44"/>
      <c r="L889" s="44"/>
      <c r="M889" s="44" t="str">
        <f t="shared" si="1"/>
        <v>#DIV/0!</v>
      </c>
      <c r="N889" s="44" t="str">
        <f t="shared" si="2"/>
        <v>#DIV/0!</v>
      </c>
      <c r="O889" s="44" t="str">
        <f t="shared" si="4"/>
        <v/>
      </c>
      <c r="P889" s="44" t="str">
        <f t="shared" si="3"/>
        <v>#DIV/0!</v>
      </c>
      <c r="Q889" s="44"/>
    </row>
    <row r="890">
      <c r="A890" s="38" t="s">
        <v>3197</v>
      </c>
      <c r="B890" s="39" t="s">
        <v>3198</v>
      </c>
      <c r="C890" s="40" t="s">
        <v>5353</v>
      </c>
      <c r="D890" s="42" t="s">
        <v>3200</v>
      </c>
      <c r="E890" s="51"/>
      <c r="F890" s="51"/>
      <c r="G890" s="51"/>
      <c r="H890" s="44"/>
      <c r="I890" s="44"/>
      <c r="J890" s="44"/>
      <c r="K890" s="44"/>
      <c r="L890" s="44"/>
      <c r="M890" s="44" t="str">
        <f t="shared" si="1"/>
        <v>#DIV/0!</v>
      </c>
      <c r="N890" s="44" t="str">
        <f t="shared" si="2"/>
        <v>#DIV/0!</v>
      </c>
      <c r="O890" s="44" t="str">
        <f t="shared" si="4"/>
        <v/>
      </c>
      <c r="P890" s="44" t="str">
        <f t="shared" si="3"/>
        <v>#DIV/0!</v>
      </c>
      <c r="Q890" s="44"/>
    </row>
    <row r="891">
      <c r="A891" s="38" t="s">
        <v>3201</v>
      </c>
      <c r="B891" s="39" t="s">
        <v>3202</v>
      </c>
      <c r="C891" s="40" t="s">
        <v>2146</v>
      </c>
      <c r="D891" s="41" t="s">
        <v>2147</v>
      </c>
      <c r="E891" s="51"/>
      <c r="F891" s="51"/>
      <c r="G891" s="51"/>
      <c r="H891" s="44"/>
      <c r="I891" s="44"/>
      <c r="J891" s="44"/>
      <c r="K891" s="44"/>
      <c r="L891" s="44"/>
      <c r="M891" s="44" t="str">
        <f t="shared" si="1"/>
        <v>#DIV/0!</v>
      </c>
      <c r="N891" s="44" t="str">
        <f t="shared" si="2"/>
        <v>#DIV/0!</v>
      </c>
      <c r="O891" s="44" t="str">
        <f t="shared" si="4"/>
        <v/>
      </c>
      <c r="P891" s="44" t="str">
        <f t="shared" si="3"/>
        <v>#DIV/0!</v>
      </c>
      <c r="Q891" s="44"/>
    </row>
    <row r="892">
      <c r="A892" s="38" t="s">
        <v>3203</v>
      </c>
      <c r="B892" s="39" t="s">
        <v>3204</v>
      </c>
      <c r="C892" s="40" t="s">
        <v>40</v>
      </c>
      <c r="D892" s="41" t="s">
        <v>41</v>
      </c>
      <c r="E892" s="51"/>
      <c r="F892" s="51"/>
      <c r="G892" s="51"/>
      <c r="H892" s="44"/>
      <c r="I892" s="44"/>
      <c r="J892" s="44"/>
      <c r="K892" s="44"/>
      <c r="L892" s="44"/>
      <c r="M892" s="44" t="str">
        <f t="shared" si="1"/>
        <v>#DIV/0!</v>
      </c>
      <c r="N892" s="44" t="str">
        <f t="shared" si="2"/>
        <v>#DIV/0!</v>
      </c>
      <c r="O892" s="44" t="str">
        <f t="shared" si="4"/>
        <v/>
      </c>
      <c r="P892" s="44" t="str">
        <f t="shared" si="3"/>
        <v>#DIV/0!</v>
      </c>
      <c r="Q892" s="44"/>
    </row>
    <row r="893">
      <c r="A893" s="38" t="s">
        <v>3205</v>
      </c>
      <c r="B893" s="39" t="s">
        <v>3206</v>
      </c>
      <c r="C893" s="40" t="s">
        <v>5354</v>
      </c>
      <c r="D893" s="42" t="s">
        <v>5355</v>
      </c>
      <c r="E893" s="51"/>
      <c r="F893" s="51"/>
      <c r="G893" s="51"/>
      <c r="H893" s="44"/>
      <c r="I893" s="44"/>
      <c r="J893" s="44"/>
      <c r="K893" s="44"/>
      <c r="L893" s="44"/>
      <c r="M893" s="44" t="str">
        <f t="shared" si="1"/>
        <v>#DIV/0!</v>
      </c>
      <c r="N893" s="44" t="str">
        <f t="shared" si="2"/>
        <v>#DIV/0!</v>
      </c>
      <c r="O893" s="44" t="str">
        <f t="shared" si="4"/>
        <v/>
      </c>
      <c r="P893" s="44" t="str">
        <f t="shared" si="3"/>
        <v>#DIV/0!</v>
      </c>
      <c r="Q893" s="44"/>
    </row>
    <row r="894">
      <c r="A894" s="38" t="s">
        <v>3209</v>
      </c>
      <c r="B894" s="39" t="s">
        <v>3210</v>
      </c>
      <c r="C894" s="40" t="s">
        <v>5356</v>
      </c>
      <c r="D894" s="42" t="s">
        <v>5357</v>
      </c>
      <c r="E894" s="51"/>
      <c r="F894" s="51"/>
      <c r="G894" s="51"/>
      <c r="H894" s="44"/>
      <c r="I894" s="44"/>
      <c r="J894" s="44"/>
      <c r="K894" s="44"/>
      <c r="L894" s="44"/>
      <c r="M894" s="44" t="str">
        <f t="shared" si="1"/>
        <v>#DIV/0!</v>
      </c>
      <c r="N894" s="44" t="str">
        <f t="shared" si="2"/>
        <v>#DIV/0!</v>
      </c>
      <c r="O894" s="44" t="str">
        <f t="shared" si="4"/>
        <v/>
      </c>
      <c r="P894" s="44" t="str">
        <f t="shared" si="3"/>
        <v>#DIV/0!</v>
      </c>
      <c r="Q894" s="44"/>
    </row>
    <row r="895">
      <c r="A895" s="38" t="s">
        <v>3213</v>
      </c>
      <c r="B895" s="39" t="s">
        <v>3214</v>
      </c>
      <c r="C895" s="40" t="s">
        <v>3215</v>
      </c>
      <c r="D895" s="41" t="s">
        <v>3216</v>
      </c>
      <c r="E895" s="51"/>
      <c r="F895" s="51"/>
      <c r="G895" s="51"/>
      <c r="H895" s="44"/>
      <c r="I895" s="44"/>
      <c r="J895" s="44"/>
      <c r="K895" s="44"/>
      <c r="L895" s="44"/>
      <c r="M895" s="44" t="str">
        <f t="shared" si="1"/>
        <v>#DIV/0!</v>
      </c>
      <c r="N895" s="44" t="str">
        <f t="shared" si="2"/>
        <v>#DIV/0!</v>
      </c>
      <c r="O895" s="44" t="str">
        <f t="shared" si="4"/>
        <v/>
      </c>
      <c r="P895" s="44" t="str">
        <f t="shared" si="3"/>
        <v>#DIV/0!</v>
      </c>
      <c r="Q895" s="44"/>
    </row>
    <row r="896">
      <c r="A896" s="38" t="s">
        <v>3217</v>
      </c>
      <c r="B896" s="39" t="s">
        <v>3218</v>
      </c>
      <c r="C896" s="40" t="s">
        <v>3219</v>
      </c>
      <c r="D896" s="41" t="s">
        <v>3220</v>
      </c>
      <c r="E896" s="51"/>
      <c r="F896" s="51"/>
      <c r="G896" s="51"/>
      <c r="H896" s="44"/>
      <c r="I896" s="44"/>
      <c r="J896" s="44"/>
      <c r="K896" s="44"/>
      <c r="L896" s="44"/>
      <c r="M896" s="44" t="str">
        <f t="shared" si="1"/>
        <v>#DIV/0!</v>
      </c>
      <c r="N896" s="44" t="str">
        <f t="shared" si="2"/>
        <v>#DIV/0!</v>
      </c>
      <c r="O896" s="44" t="str">
        <f t="shared" si="4"/>
        <v/>
      </c>
      <c r="P896" s="44" t="str">
        <f t="shared" si="3"/>
        <v>#DIV/0!</v>
      </c>
      <c r="Q896" s="44"/>
    </row>
    <row r="897">
      <c r="A897" s="38" t="s">
        <v>3221</v>
      </c>
      <c r="B897" s="39" t="s">
        <v>3222</v>
      </c>
      <c r="C897" s="40" t="s">
        <v>5358</v>
      </c>
      <c r="D897" s="42" t="s">
        <v>3224</v>
      </c>
      <c r="E897" s="51"/>
      <c r="F897" s="51"/>
      <c r="G897" s="51"/>
      <c r="H897" s="44"/>
      <c r="I897" s="44"/>
      <c r="J897" s="44"/>
      <c r="K897" s="44"/>
      <c r="L897" s="44"/>
      <c r="M897" s="44" t="str">
        <f t="shared" si="1"/>
        <v>#DIV/0!</v>
      </c>
      <c r="N897" s="44" t="str">
        <f t="shared" si="2"/>
        <v>#DIV/0!</v>
      </c>
      <c r="O897" s="44" t="str">
        <f t="shared" si="4"/>
        <v/>
      </c>
      <c r="P897" s="44" t="str">
        <f t="shared" si="3"/>
        <v>#DIV/0!</v>
      </c>
      <c r="Q897" s="44"/>
    </row>
    <row r="898">
      <c r="A898" s="38" t="s">
        <v>3225</v>
      </c>
      <c r="B898" s="39" t="s">
        <v>3226</v>
      </c>
      <c r="C898" s="40" t="s">
        <v>3227</v>
      </c>
      <c r="D898" s="41" t="s">
        <v>3228</v>
      </c>
      <c r="E898" s="51"/>
      <c r="F898" s="51"/>
      <c r="G898" s="51"/>
      <c r="H898" s="44"/>
      <c r="I898" s="44"/>
      <c r="J898" s="44"/>
      <c r="K898" s="44"/>
      <c r="L898" s="44"/>
      <c r="M898" s="44" t="str">
        <f t="shared" si="1"/>
        <v>#DIV/0!</v>
      </c>
      <c r="N898" s="44" t="str">
        <f t="shared" si="2"/>
        <v>#DIV/0!</v>
      </c>
      <c r="O898" s="44" t="str">
        <f t="shared" si="4"/>
        <v/>
      </c>
      <c r="P898" s="44" t="str">
        <f t="shared" si="3"/>
        <v>#DIV/0!</v>
      </c>
      <c r="Q898" s="44"/>
    </row>
    <row r="899">
      <c r="A899" s="38" t="s">
        <v>3229</v>
      </c>
      <c r="B899" s="39" t="s">
        <v>3230</v>
      </c>
      <c r="C899" s="40" t="s">
        <v>3231</v>
      </c>
      <c r="D899" s="42" t="s">
        <v>4847</v>
      </c>
      <c r="E899" s="51"/>
      <c r="F899" s="51"/>
      <c r="G899" s="51"/>
      <c r="H899" s="44"/>
      <c r="I899" s="44"/>
      <c r="J899" s="44"/>
      <c r="K899" s="44"/>
      <c r="L899" s="44"/>
      <c r="M899" s="44" t="str">
        <f t="shared" si="1"/>
        <v>#DIV/0!</v>
      </c>
      <c r="N899" s="44" t="str">
        <f t="shared" si="2"/>
        <v>#DIV/0!</v>
      </c>
      <c r="O899" s="44" t="str">
        <f t="shared" si="4"/>
        <v/>
      </c>
      <c r="P899" s="44" t="str">
        <f t="shared" si="3"/>
        <v>#DIV/0!</v>
      </c>
      <c r="Q899" s="44"/>
    </row>
    <row r="900">
      <c r="A900" s="38" t="s">
        <v>3232</v>
      </c>
      <c r="B900" s="39" t="s">
        <v>3233</v>
      </c>
      <c r="C900" s="40" t="s">
        <v>3234</v>
      </c>
      <c r="D900" s="41" t="s">
        <v>3235</v>
      </c>
      <c r="E900" s="51"/>
      <c r="F900" s="51"/>
      <c r="G900" s="51"/>
      <c r="H900" s="44"/>
      <c r="I900" s="44"/>
      <c r="J900" s="44"/>
      <c r="K900" s="44"/>
      <c r="L900" s="44"/>
      <c r="M900" s="44" t="str">
        <f t="shared" si="1"/>
        <v>#DIV/0!</v>
      </c>
      <c r="N900" s="44" t="str">
        <f t="shared" si="2"/>
        <v>#DIV/0!</v>
      </c>
      <c r="O900" s="44" t="str">
        <f t="shared" si="4"/>
        <v/>
      </c>
      <c r="P900" s="44" t="str">
        <f t="shared" si="3"/>
        <v>#DIV/0!</v>
      </c>
      <c r="Q900" s="44"/>
    </row>
    <row r="901">
      <c r="A901" s="38" t="s">
        <v>3236</v>
      </c>
      <c r="B901" s="39" t="s">
        <v>3237</v>
      </c>
      <c r="C901" s="40" t="s">
        <v>1234</v>
      </c>
      <c r="D901" s="41" t="s">
        <v>1235</v>
      </c>
      <c r="E901" s="51"/>
      <c r="F901" s="51"/>
      <c r="G901" s="51"/>
      <c r="H901" s="44"/>
      <c r="I901" s="44"/>
      <c r="J901" s="44"/>
      <c r="K901" s="44"/>
      <c r="L901" s="44"/>
      <c r="M901" s="44" t="str">
        <f t="shared" si="1"/>
        <v>#DIV/0!</v>
      </c>
      <c r="N901" s="44" t="str">
        <f t="shared" si="2"/>
        <v>#DIV/0!</v>
      </c>
      <c r="O901" s="44" t="str">
        <f t="shared" si="4"/>
        <v/>
      </c>
      <c r="P901" s="44" t="str">
        <f t="shared" si="3"/>
        <v>#DIV/0!</v>
      </c>
      <c r="Q901" s="44"/>
    </row>
    <row r="902">
      <c r="A902" s="38" t="s">
        <v>3238</v>
      </c>
      <c r="B902" s="39" t="s">
        <v>3239</v>
      </c>
      <c r="C902" s="40" t="s">
        <v>268</v>
      </c>
      <c r="D902" s="41" t="s">
        <v>137</v>
      </c>
      <c r="E902" s="51"/>
      <c r="F902" s="51"/>
      <c r="G902" s="51"/>
      <c r="H902" s="44"/>
      <c r="I902" s="44"/>
      <c r="J902" s="44"/>
      <c r="K902" s="44"/>
      <c r="L902" s="44"/>
      <c r="M902" s="44" t="str">
        <f t="shared" si="1"/>
        <v>#DIV/0!</v>
      </c>
      <c r="N902" s="44" t="str">
        <f t="shared" si="2"/>
        <v>#DIV/0!</v>
      </c>
      <c r="O902" s="44" t="str">
        <f t="shared" si="4"/>
        <v/>
      </c>
      <c r="P902" s="44" t="str">
        <f t="shared" si="3"/>
        <v>#DIV/0!</v>
      </c>
      <c r="Q902" s="44"/>
    </row>
    <row r="903">
      <c r="A903" s="38" t="s">
        <v>3240</v>
      </c>
      <c r="B903" s="39" t="s">
        <v>3241</v>
      </c>
      <c r="C903" s="40" t="s">
        <v>5359</v>
      </c>
      <c r="D903" s="42" t="s">
        <v>5360</v>
      </c>
      <c r="E903" s="51"/>
      <c r="F903" s="51"/>
      <c r="G903" s="51"/>
      <c r="H903" s="44"/>
      <c r="I903" s="44"/>
      <c r="J903" s="44"/>
      <c r="K903" s="44"/>
      <c r="L903" s="44"/>
      <c r="M903" s="44" t="str">
        <f t="shared" si="1"/>
        <v>#DIV/0!</v>
      </c>
      <c r="N903" s="44" t="str">
        <f t="shared" si="2"/>
        <v>#DIV/0!</v>
      </c>
      <c r="O903" s="44" t="str">
        <f t="shared" si="4"/>
        <v/>
      </c>
      <c r="P903" s="44" t="str">
        <f t="shared" si="3"/>
        <v>#DIV/0!</v>
      </c>
      <c r="Q903" s="44"/>
    </row>
    <row r="904">
      <c r="A904" s="38" t="s">
        <v>3244</v>
      </c>
      <c r="B904" s="39" t="s">
        <v>3245</v>
      </c>
      <c r="C904" s="40" t="s">
        <v>3246</v>
      </c>
      <c r="D904" s="42" t="s">
        <v>5226</v>
      </c>
      <c r="E904" s="51"/>
      <c r="F904" s="51"/>
      <c r="G904" s="51"/>
      <c r="H904" s="44"/>
      <c r="I904" s="44"/>
      <c r="J904" s="44"/>
      <c r="K904" s="44"/>
      <c r="L904" s="44"/>
      <c r="M904" s="44" t="str">
        <f t="shared" si="1"/>
        <v>#DIV/0!</v>
      </c>
      <c r="N904" s="44" t="str">
        <f t="shared" si="2"/>
        <v>#DIV/0!</v>
      </c>
      <c r="O904" s="44" t="str">
        <f t="shared" si="4"/>
        <v/>
      </c>
      <c r="P904" s="44" t="str">
        <f t="shared" si="3"/>
        <v>#DIV/0!</v>
      </c>
      <c r="Q904" s="44"/>
    </row>
    <row r="905">
      <c r="A905" s="38" t="s">
        <v>3247</v>
      </c>
      <c r="B905" s="39" t="s">
        <v>3248</v>
      </c>
      <c r="C905" s="40" t="s">
        <v>268</v>
      </c>
      <c r="D905" s="41" t="s">
        <v>137</v>
      </c>
      <c r="E905" s="51"/>
      <c r="F905" s="51"/>
      <c r="G905" s="51"/>
      <c r="H905" s="44"/>
      <c r="I905" s="44"/>
      <c r="J905" s="44"/>
      <c r="K905" s="44"/>
      <c r="L905" s="44"/>
      <c r="M905" s="44" t="str">
        <f t="shared" si="1"/>
        <v>#DIV/0!</v>
      </c>
      <c r="N905" s="44" t="str">
        <f t="shared" si="2"/>
        <v>#DIV/0!</v>
      </c>
      <c r="O905" s="44" t="str">
        <f t="shared" si="4"/>
        <v/>
      </c>
      <c r="P905" s="44" t="str">
        <f t="shared" si="3"/>
        <v>#DIV/0!</v>
      </c>
      <c r="Q905" s="44"/>
    </row>
    <row r="906">
      <c r="A906" s="38" t="s">
        <v>3249</v>
      </c>
      <c r="B906" s="39" t="s">
        <v>3250</v>
      </c>
      <c r="C906" s="40" t="s">
        <v>3251</v>
      </c>
      <c r="D906" s="41" t="s">
        <v>3252</v>
      </c>
      <c r="E906" s="51"/>
      <c r="F906" s="51"/>
      <c r="G906" s="51"/>
      <c r="H906" s="44"/>
      <c r="I906" s="44"/>
      <c r="J906" s="44"/>
      <c r="K906" s="44"/>
      <c r="L906" s="44"/>
      <c r="M906" s="44" t="str">
        <f t="shared" si="1"/>
        <v>#DIV/0!</v>
      </c>
      <c r="N906" s="44" t="str">
        <f t="shared" si="2"/>
        <v>#DIV/0!</v>
      </c>
      <c r="O906" s="44" t="str">
        <f t="shared" si="4"/>
        <v/>
      </c>
      <c r="P906" s="44" t="str">
        <f t="shared" si="3"/>
        <v>#DIV/0!</v>
      </c>
      <c r="Q906" s="44"/>
    </row>
    <row r="907">
      <c r="A907" s="38" t="s">
        <v>3253</v>
      </c>
      <c r="B907" s="39" t="s">
        <v>3254</v>
      </c>
      <c r="C907" s="40" t="s">
        <v>5361</v>
      </c>
      <c r="D907" s="41" t="s">
        <v>5362</v>
      </c>
      <c r="E907" s="51"/>
      <c r="F907" s="51"/>
      <c r="G907" s="51"/>
      <c r="H907" s="44"/>
      <c r="I907" s="44"/>
      <c r="J907" s="44"/>
      <c r="K907" s="44"/>
      <c r="L907" s="44"/>
      <c r="M907" s="44" t="str">
        <f t="shared" si="1"/>
        <v>#DIV/0!</v>
      </c>
      <c r="N907" s="44" t="str">
        <f t="shared" si="2"/>
        <v>#DIV/0!</v>
      </c>
      <c r="O907" s="44" t="str">
        <f t="shared" si="4"/>
        <v/>
      </c>
      <c r="P907" s="44" t="str">
        <f t="shared" si="3"/>
        <v>#DIV/0!</v>
      </c>
      <c r="Q907" s="44"/>
    </row>
    <row r="908">
      <c r="A908" s="38" t="s">
        <v>3257</v>
      </c>
      <c r="B908" s="39" t="s">
        <v>3258</v>
      </c>
      <c r="C908" s="40" t="s">
        <v>172</v>
      </c>
      <c r="D908" s="41" t="s">
        <v>173</v>
      </c>
      <c r="E908" s="51"/>
      <c r="F908" s="51"/>
      <c r="G908" s="51"/>
      <c r="H908" s="44"/>
      <c r="I908" s="44"/>
      <c r="J908" s="44"/>
      <c r="K908" s="44"/>
      <c r="L908" s="44"/>
      <c r="M908" s="44" t="str">
        <f t="shared" si="1"/>
        <v>#DIV/0!</v>
      </c>
      <c r="N908" s="44" t="str">
        <f t="shared" si="2"/>
        <v>#DIV/0!</v>
      </c>
      <c r="O908" s="44" t="str">
        <f t="shared" si="4"/>
        <v/>
      </c>
      <c r="P908" s="44" t="str">
        <f t="shared" si="3"/>
        <v>#DIV/0!</v>
      </c>
      <c r="Q908" s="44"/>
    </row>
    <row r="909">
      <c r="A909" s="38" t="s">
        <v>3259</v>
      </c>
      <c r="B909" s="39" t="s">
        <v>3260</v>
      </c>
      <c r="C909" s="40" t="s">
        <v>5363</v>
      </c>
      <c r="D909" s="42" t="s">
        <v>5364</v>
      </c>
      <c r="E909" s="51"/>
      <c r="F909" s="51"/>
      <c r="G909" s="51"/>
      <c r="H909" s="44"/>
      <c r="I909" s="44"/>
      <c r="J909" s="44"/>
      <c r="K909" s="44"/>
      <c r="L909" s="44"/>
      <c r="M909" s="44" t="str">
        <f t="shared" si="1"/>
        <v>#DIV/0!</v>
      </c>
      <c r="N909" s="44" t="str">
        <f t="shared" si="2"/>
        <v>#DIV/0!</v>
      </c>
      <c r="O909" s="44" t="str">
        <f t="shared" si="4"/>
        <v/>
      </c>
      <c r="P909" s="44" t="str">
        <f t="shared" si="3"/>
        <v>#DIV/0!</v>
      </c>
      <c r="Q909" s="44"/>
    </row>
    <row r="910">
      <c r="A910" s="38" t="s">
        <v>3263</v>
      </c>
      <c r="B910" s="39" t="s">
        <v>3264</v>
      </c>
      <c r="C910" s="40" t="s">
        <v>3265</v>
      </c>
      <c r="D910" s="41" t="s">
        <v>3266</v>
      </c>
      <c r="E910" s="51"/>
      <c r="F910" s="51"/>
      <c r="G910" s="51"/>
      <c r="H910" s="44"/>
      <c r="I910" s="44"/>
      <c r="J910" s="44"/>
      <c r="K910" s="44"/>
      <c r="L910" s="44"/>
      <c r="M910" s="44" t="str">
        <f t="shared" si="1"/>
        <v>#DIV/0!</v>
      </c>
      <c r="N910" s="44" t="str">
        <f t="shared" si="2"/>
        <v>#DIV/0!</v>
      </c>
      <c r="O910" s="44" t="str">
        <f t="shared" si="4"/>
        <v/>
      </c>
      <c r="P910" s="44" t="str">
        <f t="shared" si="3"/>
        <v>#DIV/0!</v>
      </c>
      <c r="Q910" s="44"/>
    </row>
    <row r="911">
      <c r="A911" s="38" t="s">
        <v>3267</v>
      </c>
      <c r="B911" s="39" t="s">
        <v>3268</v>
      </c>
      <c r="C911" s="40" t="s">
        <v>3269</v>
      </c>
      <c r="D911" s="41" t="s">
        <v>3270</v>
      </c>
      <c r="E911" s="51"/>
      <c r="F911" s="51"/>
      <c r="G911" s="51"/>
      <c r="H911" s="44"/>
      <c r="I911" s="44"/>
      <c r="J911" s="44"/>
      <c r="K911" s="44"/>
      <c r="L911" s="44"/>
      <c r="M911" s="44" t="str">
        <f t="shared" si="1"/>
        <v>#DIV/0!</v>
      </c>
      <c r="N911" s="44" t="str">
        <f t="shared" si="2"/>
        <v>#DIV/0!</v>
      </c>
      <c r="O911" s="44" t="str">
        <f t="shared" si="4"/>
        <v/>
      </c>
      <c r="P911" s="44" t="str">
        <f t="shared" si="3"/>
        <v>#DIV/0!</v>
      </c>
      <c r="Q911" s="44"/>
    </row>
    <row r="912">
      <c r="A912" s="38" t="s">
        <v>3271</v>
      </c>
      <c r="B912" s="39" t="s">
        <v>3272</v>
      </c>
      <c r="C912" s="40" t="s">
        <v>565</v>
      </c>
      <c r="D912" s="41" t="s">
        <v>566</v>
      </c>
      <c r="E912" s="51"/>
      <c r="F912" s="51"/>
      <c r="G912" s="51"/>
      <c r="H912" s="44"/>
      <c r="I912" s="44"/>
      <c r="J912" s="44"/>
      <c r="K912" s="44"/>
      <c r="L912" s="44"/>
      <c r="M912" s="44" t="str">
        <f t="shared" si="1"/>
        <v>#DIV/0!</v>
      </c>
      <c r="N912" s="44" t="str">
        <f t="shared" si="2"/>
        <v>#DIV/0!</v>
      </c>
      <c r="O912" s="44" t="str">
        <f t="shared" si="4"/>
        <v/>
      </c>
      <c r="P912" s="44" t="str">
        <f t="shared" si="3"/>
        <v>#DIV/0!</v>
      </c>
      <c r="Q912" s="44"/>
    </row>
    <row r="913">
      <c r="A913" s="38" t="s">
        <v>3274</v>
      </c>
      <c r="B913" s="39" t="s">
        <v>3275</v>
      </c>
      <c r="C913" s="40" t="s">
        <v>3276</v>
      </c>
      <c r="D913" s="42" t="s">
        <v>5365</v>
      </c>
      <c r="E913" s="51"/>
      <c r="F913" s="51"/>
      <c r="G913" s="51"/>
      <c r="H913" s="44"/>
      <c r="I913" s="44"/>
      <c r="J913" s="44"/>
      <c r="K913" s="44"/>
      <c r="L913" s="44"/>
      <c r="M913" s="44" t="str">
        <f t="shared" si="1"/>
        <v>#DIV/0!</v>
      </c>
      <c r="N913" s="44" t="str">
        <f t="shared" si="2"/>
        <v>#DIV/0!</v>
      </c>
      <c r="O913" s="44" t="str">
        <f t="shared" si="4"/>
        <v/>
      </c>
      <c r="P913" s="44" t="str">
        <f t="shared" si="3"/>
        <v>#DIV/0!</v>
      </c>
      <c r="Q913" s="44"/>
    </row>
    <row r="914">
      <c r="A914" s="38" t="s">
        <v>3278</v>
      </c>
      <c r="B914" s="39" t="s">
        <v>3279</v>
      </c>
      <c r="C914" s="40" t="s">
        <v>3280</v>
      </c>
      <c r="D914" s="42" t="s">
        <v>3281</v>
      </c>
      <c r="E914" s="51"/>
      <c r="F914" s="51"/>
      <c r="G914" s="51"/>
      <c r="H914" s="44"/>
      <c r="I914" s="44"/>
      <c r="J914" s="44"/>
      <c r="K914" s="44"/>
      <c r="L914" s="44"/>
      <c r="M914" s="44" t="str">
        <f t="shared" si="1"/>
        <v>#DIV/0!</v>
      </c>
      <c r="N914" s="44" t="str">
        <f t="shared" si="2"/>
        <v>#DIV/0!</v>
      </c>
      <c r="O914" s="44" t="str">
        <f t="shared" si="4"/>
        <v/>
      </c>
      <c r="P914" s="44" t="str">
        <f t="shared" si="3"/>
        <v>#DIV/0!</v>
      </c>
      <c r="Q914" s="44"/>
    </row>
    <row r="915">
      <c r="A915" s="38" t="s">
        <v>3282</v>
      </c>
      <c r="B915" s="39" t="s">
        <v>3283</v>
      </c>
      <c r="C915" s="40" t="s">
        <v>3284</v>
      </c>
      <c r="D915" s="42" t="s">
        <v>5366</v>
      </c>
      <c r="E915" s="51"/>
      <c r="F915" s="51"/>
      <c r="G915" s="51"/>
      <c r="H915" s="44"/>
      <c r="I915" s="44"/>
      <c r="J915" s="44"/>
      <c r="K915" s="44"/>
      <c r="L915" s="44"/>
      <c r="M915" s="44" t="str">
        <f t="shared" si="1"/>
        <v>#DIV/0!</v>
      </c>
      <c r="N915" s="44" t="str">
        <f t="shared" si="2"/>
        <v>#DIV/0!</v>
      </c>
      <c r="O915" s="44" t="str">
        <f t="shared" si="4"/>
        <v/>
      </c>
      <c r="P915" s="44" t="str">
        <f t="shared" si="3"/>
        <v>#DIV/0!</v>
      </c>
      <c r="Q915" s="44"/>
    </row>
    <row r="916">
      <c r="A916" s="38" t="s">
        <v>3286</v>
      </c>
      <c r="B916" s="39" t="s">
        <v>3287</v>
      </c>
      <c r="C916" s="40" t="s">
        <v>3288</v>
      </c>
      <c r="D916" s="42" t="s">
        <v>5367</v>
      </c>
      <c r="E916" s="51"/>
      <c r="F916" s="51"/>
      <c r="G916" s="51"/>
      <c r="H916" s="44"/>
      <c r="I916" s="44"/>
      <c r="J916" s="44"/>
      <c r="K916" s="44"/>
      <c r="L916" s="44"/>
      <c r="M916" s="44" t="str">
        <f t="shared" si="1"/>
        <v>#DIV/0!</v>
      </c>
      <c r="N916" s="44" t="str">
        <f t="shared" si="2"/>
        <v>#DIV/0!</v>
      </c>
      <c r="O916" s="44" t="str">
        <f t="shared" si="4"/>
        <v/>
      </c>
      <c r="P916" s="44" t="str">
        <f t="shared" si="3"/>
        <v>#DIV/0!</v>
      </c>
      <c r="Q916" s="44"/>
    </row>
    <row r="917">
      <c r="A917" s="38" t="s">
        <v>3290</v>
      </c>
      <c r="B917" s="39" t="s">
        <v>3291</v>
      </c>
      <c r="C917" s="40" t="s">
        <v>5368</v>
      </c>
      <c r="D917" s="42" t="s">
        <v>5369</v>
      </c>
      <c r="E917" s="51"/>
      <c r="F917" s="51"/>
      <c r="G917" s="51"/>
      <c r="H917" s="44"/>
      <c r="I917" s="44"/>
      <c r="J917" s="44"/>
      <c r="K917" s="44"/>
      <c r="L917" s="44"/>
      <c r="M917" s="44" t="str">
        <f t="shared" si="1"/>
        <v>#DIV/0!</v>
      </c>
      <c r="N917" s="44" t="str">
        <f t="shared" si="2"/>
        <v>#DIV/0!</v>
      </c>
      <c r="O917" s="44" t="str">
        <f t="shared" si="4"/>
        <v/>
      </c>
      <c r="P917" s="44" t="str">
        <f t="shared" si="3"/>
        <v>#DIV/0!</v>
      </c>
      <c r="Q917" s="44"/>
    </row>
    <row r="918">
      <c r="A918" s="38" t="s">
        <v>3294</v>
      </c>
      <c r="B918" s="39" t="s">
        <v>3295</v>
      </c>
      <c r="C918" s="40" t="s">
        <v>3296</v>
      </c>
      <c r="D918" s="41" t="s">
        <v>3297</v>
      </c>
      <c r="E918" s="51"/>
      <c r="F918" s="51"/>
      <c r="G918" s="51"/>
      <c r="H918" s="44"/>
      <c r="I918" s="44"/>
      <c r="J918" s="44"/>
      <c r="K918" s="44"/>
      <c r="L918" s="44"/>
      <c r="M918" s="44" t="str">
        <f t="shared" si="1"/>
        <v>#DIV/0!</v>
      </c>
      <c r="N918" s="44" t="str">
        <f t="shared" si="2"/>
        <v>#DIV/0!</v>
      </c>
      <c r="O918" s="44" t="str">
        <f t="shared" si="4"/>
        <v/>
      </c>
      <c r="P918" s="44" t="str">
        <f t="shared" si="3"/>
        <v>#DIV/0!</v>
      </c>
      <c r="Q918" s="44"/>
    </row>
    <row r="919">
      <c r="A919" s="38" t="s">
        <v>3298</v>
      </c>
      <c r="B919" s="39" t="s">
        <v>3299</v>
      </c>
      <c r="C919" s="40" t="s">
        <v>5370</v>
      </c>
      <c r="D919" s="42" t="s">
        <v>5371</v>
      </c>
      <c r="E919" s="51"/>
      <c r="F919" s="51"/>
      <c r="G919" s="51"/>
      <c r="H919" s="44"/>
      <c r="I919" s="44"/>
      <c r="J919" s="44"/>
      <c r="K919" s="44"/>
      <c r="L919" s="44"/>
      <c r="M919" s="44" t="str">
        <f t="shared" si="1"/>
        <v>#DIV/0!</v>
      </c>
      <c r="N919" s="44" t="str">
        <f t="shared" si="2"/>
        <v>#DIV/0!</v>
      </c>
      <c r="O919" s="44" t="str">
        <f t="shared" si="4"/>
        <v/>
      </c>
      <c r="P919" s="44" t="str">
        <f t="shared" si="3"/>
        <v>#DIV/0!</v>
      </c>
      <c r="Q919" s="44"/>
    </row>
    <row r="920">
      <c r="A920" s="38" t="s">
        <v>3302</v>
      </c>
      <c r="B920" s="39" t="s">
        <v>3303</v>
      </c>
      <c r="C920" s="40" t="s">
        <v>5372</v>
      </c>
      <c r="D920" s="42" t="s">
        <v>3305</v>
      </c>
      <c r="E920" s="51"/>
      <c r="F920" s="51"/>
      <c r="G920" s="51"/>
      <c r="H920" s="44"/>
      <c r="I920" s="44"/>
      <c r="J920" s="44"/>
      <c r="K920" s="44"/>
      <c r="L920" s="44"/>
      <c r="M920" s="44" t="str">
        <f t="shared" si="1"/>
        <v>#DIV/0!</v>
      </c>
      <c r="N920" s="44" t="str">
        <f t="shared" si="2"/>
        <v>#DIV/0!</v>
      </c>
      <c r="O920" s="44" t="str">
        <f t="shared" si="4"/>
        <v/>
      </c>
      <c r="P920" s="44" t="str">
        <f t="shared" si="3"/>
        <v>#DIV/0!</v>
      </c>
      <c r="Q920" s="44"/>
    </row>
    <row r="921">
      <c r="A921" s="38" t="s">
        <v>3306</v>
      </c>
      <c r="B921" s="39" t="s">
        <v>3307</v>
      </c>
      <c r="C921" s="40" t="s">
        <v>3308</v>
      </c>
      <c r="D921" s="42" t="s">
        <v>3309</v>
      </c>
      <c r="E921" s="51"/>
      <c r="F921" s="51"/>
      <c r="G921" s="51"/>
      <c r="H921" s="44"/>
      <c r="I921" s="44"/>
      <c r="J921" s="44"/>
      <c r="K921" s="44"/>
      <c r="L921" s="44"/>
      <c r="M921" s="44" t="str">
        <f t="shared" si="1"/>
        <v>#DIV/0!</v>
      </c>
      <c r="N921" s="44" t="str">
        <f t="shared" si="2"/>
        <v>#DIV/0!</v>
      </c>
      <c r="O921" s="44" t="str">
        <f t="shared" si="4"/>
        <v/>
      </c>
      <c r="P921" s="44" t="str">
        <f t="shared" si="3"/>
        <v>#DIV/0!</v>
      </c>
      <c r="Q921" s="44"/>
    </row>
    <row r="922">
      <c r="A922" s="38" t="s">
        <v>3310</v>
      </c>
      <c r="B922" s="39" t="s">
        <v>3311</v>
      </c>
      <c r="C922" s="40" t="s">
        <v>1116</v>
      </c>
      <c r="D922" s="41" t="s">
        <v>1117</v>
      </c>
      <c r="E922" s="51"/>
      <c r="F922" s="51"/>
      <c r="G922" s="51"/>
      <c r="H922" s="44"/>
      <c r="I922" s="44"/>
      <c r="J922" s="44"/>
      <c r="K922" s="44"/>
      <c r="L922" s="44"/>
      <c r="M922" s="44" t="str">
        <f t="shared" si="1"/>
        <v>#DIV/0!</v>
      </c>
      <c r="N922" s="44" t="str">
        <f t="shared" si="2"/>
        <v>#DIV/0!</v>
      </c>
      <c r="O922" s="44" t="str">
        <f t="shared" si="4"/>
        <v/>
      </c>
      <c r="P922" s="44" t="str">
        <f t="shared" si="3"/>
        <v>#DIV/0!</v>
      </c>
      <c r="Q922" s="44"/>
    </row>
    <row r="923">
      <c r="A923" s="38" t="s">
        <v>3312</v>
      </c>
      <c r="B923" s="39" t="s">
        <v>3313</v>
      </c>
      <c r="C923" s="40" t="s">
        <v>1021</v>
      </c>
      <c r="D923" s="41" t="s">
        <v>1022</v>
      </c>
      <c r="E923" s="51"/>
      <c r="F923" s="51"/>
      <c r="G923" s="51"/>
      <c r="H923" s="44"/>
      <c r="I923" s="44"/>
      <c r="J923" s="44"/>
      <c r="K923" s="44"/>
      <c r="L923" s="44"/>
      <c r="M923" s="44" t="str">
        <f t="shared" si="1"/>
        <v>#DIV/0!</v>
      </c>
      <c r="N923" s="44" t="str">
        <f t="shared" si="2"/>
        <v>#DIV/0!</v>
      </c>
      <c r="O923" s="44" t="str">
        <f t="shared" si="4"/>
        <v/>
      </c>
      <c r="P923" s="44" t="str">
        <f t="shared" si="3"/>
        <v>#DIV/0!</v>
      </c>
      <c r="Q923" s="44"/>
    </row>
    <row r="924">
      <c r="A924" s="38" t="s">
        <v>3315</v>
      </c>
      <c r="B924" s="39" t="s">
        <v>3316</v>
      </c>
      <c r="C924" s="40" t="s">
        <v>5373</v>
      </c>
      <c r="D924" s="42" t="s">
        <v>5374</v>
      </c>
      <c r="E924" s="51"/>
      <c r="F924" s="51"/>
      <c r="G924" s="51"/>
      <c r="H924" s="44"/>
      <c r="I924" s="44"/>
      <c r="J924" s="44"/>
      <c r="K924" s="44"/>
      <c r="L924" s="44"/>
      <c r="M924" s="44" t="str">
        <f t="shared" si="1"/>
        <v>#DIV/0!</v>
      </c>
      <c r="N924" s="44" t="str">
        <f t="shared" si="2"/>
        <v>#DIV/0!</v>
      </c>
      <c r="O924" s="44" t="str">
        <f t="shared" si="4"/>
        <v/>
      </c>
      <c r="P924" s="44" t="str">
        <f t="shared" si="3"/>
        <v>#DIV/0!</v>
      </c>
      <c r="Q924" s="44"/>
    </row>
    <row r="925">
      <c r="A925" s="38" t="s">
        <v>3319</v>
      </c>
      <c r="B925" s="39" t="s">
        <v>3320</v>
      </c>
      <c r="C925" s="40" t="s">
        <v>5375</v>
      </c>
      <c r="D925" s="42" t="s">
        <v>5376</v>
      </c>
      <c r="E925" s="51"/>
      <c r="F925" s="51"/>
      <c r="G925" s="51"/>
      <c r="H925" s="44"/>
      <c r="I925" s="44"/>
      <c r="J925" s="44"/>
      <c r="K925" s="44"/>
      <c r="L925" s="44"/>
      <c r="M925" s="44" t="str">
        <f t="shared" si="1"/>
        <v>#DIV/0!</v>
      </c>
      <c r="N925" s="44" t="str">
        <f t="shared" si="2"/>
        <v>#DIV/0!</v>
      </c>
      <c r="O925" s="44" t="str">
        <f t="shared" si="4"/>
        <v/>
      </c>
      <c r="P925" s="44" t="str">
        <f t="shared" si="3"/>
        <v>#DIV/0!</v>
      </c>
      <c r="Q925" s="44"/>
    </row>
    <row r="926">
      <c r="A926" s="38" t="s">
        <v>3323</v>
      </c>
      <c r="B926" s="39" t="s">
        <v>3324</v>
      </c>
      <c r="C926" s="40" t="s">
        <v>5377</v>
      </c>
      <c r="D926" s="42" t="s">
        <v>5378</v>
      </c>
      <c r="E926" s="51"/>
      <c r="F926" s="51"/>
      <c r="G926" s="51"/>
      <c r="H926" s="44"/>
      <c r="I926" s="44"/>
      <c r="J926" s="44"/>
      <c r="K926" s="44"/>
      <c r="L926" s="44"/>
      <c r="M926" s="44" t="str">
        <f t="shared" si="1"/>
        <v>#DIV/0!</v>
      </c>
      <c r="N926" s="44" t="str">
        <f t="shared" si="2"/>
        <v>#DIV/0!</v>
      </c>
      <c r="O926" s="44" t="str">
        <f t="shared" si="4"/>
        <v/>
      </c>
      <c r="P926" s="44" t="str">
        <f t="shared" si="3"/>
        <v>#DIV/0!</v>
      </c>
      <c r="Q926" s="44"/>
    </row>
    <row r="927">
      <c r="A927" s="38" t="s">
        <v>3327</v>
      </c>
      <c r="B927" s="39" t="s">
        <v>3328</v>
      </c>
      <c r="C927" s="40" t="s">
        <v>3329</v>
      </c>
      <c r="D927" s="42" t="s">
        <v>3330</v>
      </c>
      <c r="E927" s="51"/>
      <c r="F927" s="51"/>
      <c r="G927" s="51"/>
      <c r="H927" s="44"/>
      <c r="I927" s="44"/>
      <c r="J927" s="44"/>
      <c r="K927" s="44"/>
      <c r="L927" s="44"/>
      <c r="M927" s="44" t="str">
        <f t="shared" si="1"/>
        <v>#DIV/0!</v>
      </c>
      <c r="N927" s="44" t="str">
        <f t="shared" si="2"/>
        <v>#DIV/0!</v>
      </c>
      <c r="O927" s="44" t="str">
        <f t="shared" si="4"/>
        <v/>
      </c>
      <c r="P927" s="44" t="str">
        <f t="shared" si="3"/>
        <v>#DIV/0!</v>
      </c>
      <c r="Q927" s="44"/>
    </row>
    <row r="928">
      <c r="A928" s="38" t="s">
        <v>3331</v>
      </c>
      <c r="B928" s="39" t="s">
        <v>3332</v>
      </c>
      <c r="C928" s="40" t="s">
        <v>268</v>
      </c>
      <c r="D928" s="41" t="s">
        <v>137</v>
      </c>
      <c r="E928" s="51"/>
      <c r="F928" s="51"/>
      <c r="G928" s="51"/>
      <c r="H928" s="44"/>
      <c r="I928" s="44"/>
      <c r="J928" s="44"/>
      <c r="K928" s="44"/>
      <c r="L928" s="44"/>
      <c r="M928" s="44" t="str">
        <f t="shared" si="1"/>
        <v>#DIV/0!</v>
      </c>
      <c r="N928" s="44" t="str">
        <f t="shared" si="2"/>
        <v>#DIV/0!</v>
      </c>
      <c r="O928" s="44" t="str">
        <f t="shared" si="4"/>
        <v/>
      </c>
      <c r="P928" s="44" t="str">
        <f t="shared" si="3"/>
        <v>#DIV/0!</v>
      </c>
      <c r="Q928" s="44"/>
    </row>
    <row r="929">
      <c r="A929" s="38" t="s">
        <v>3333</v>
      </c>
      <c r="B929" s="39" t="s">
        <v>3334</v>
      </c>
      <c r="C929" s="40" t="s">
        <v>3335</v>
      </c>
      <c r="D929" s="41" t="s">
        <v>3336</v>
      </c>
      <c r="E929" s="51"/>
      <c r="F929" s="51"/>
      <c r="G929" s="51"/>
      <c r="H929" s="44"/>
      <c r="I929" s="44"/>
      <c r="J929" s="44"/>
      <c r="K929" s="44"/>
      <c r="L929" s="44"/>
      <c r="M929" s="44" t="str">
        <f t="shared" si="1"/>
        <v>#DIV/0!</v>
      </c>
      <c r="N929" s="44" t="str">
        <f t="shared" si="2"/>
        <v>#DIV/0!</v>
      </c>
      <c r="O929" s="44" t="str">
        <f t="shared" si="4"/>
        <v/>
      </c>
      <c r="P929" s="44" t="str">
        <f t="shared" si="3"/>
        <v>#DIV/0!</v>
      </c>
      <c r="Q929" s="44"/>
    </row>
    <row r="930">
      <c r="A930" s="38" t="s">
        <v>3337</v>
      </c>
      <c r="B930" s="39" t="s">
        <v>3338</v>
      </c>
      <c r="C930" s="40" t="s">
        <v>508</v>
      </c>
      <c r="D930" s="41" t="s">
        <v>509</v>
      </c>
      <c r="E930" s="51"/>
      <c r="F930" s="51"/>
      <c r="G930" s="51"/>
      <c r="H930" s="44"/>
      <c r="I930" s="44"/>
      <c r="J930" s="44"/>
      <c r="K930" s="44"/>
      <c r="L930" s="44"/>
      <c r="M930" s="44" t="str">
        <f t="shared" si="1"/>
        <v>#DIV/0!</v>
      </c>
      <c r="N930" s="44" t="str">
        <f t="shared" si="2"/>
        <v>#DIV/0!</v>
      </c>
      <c r="O930" s="44" t="str">
        <f t="shared" si="4"/>
        <v/>
      </c>
      <c r="P930" s="44" t="str">
        <f t="shared" si="3"/>
        <v>#DIV/0!</v>
      </c>
      <c r="Q930" s="44"/>
    </row>
    <row r="931">
      <c r="A931" s="38" t="s">
        <v>3339</v>
      </c>
      <c r="B931" s="39" t="s">
        <v>3340</v>
      </c>
      <c r="C931" s="40" t="s">
        <v>681</v>
      </c>
      <c r="D931" s="41" t="s">
        <v>445</v>
      </c>
      <c r="E931" s="51"/>
      <c r="F931" s="51"/>
      <c r="G931" s="51"/>
      <c r="H931" s="44"/>
      <c r="I931" s="44"/>
      <c r="J931" s="44"/>
      <c r="K931" s="44"/>
      <c r="L931" s="44"/>
      <c r="M931" s="44" t="str">
        <f t="shared" si="1"/>
        <v>#DIV/0!</v>
      </c>
      <c r="N931" s="44" t="str">
        <f t="shared" si="2"/>
        <v>#DIV/0!</v>
      </c>
      <c r="O931" s="44" t="str">
        <f t="shared" si="4"/>
        <v/>
      </c>
      <c r="P931" s="44" t="str">
        <f t="shared" si="3"/>
        <v>#DIV/0!</v>
      </c>
      <c r="Q931" s="44"/>
    </row>
    <row r="932">
      <c r="A932" s="38" t="s">
        <v>3341</v>
      </c>
      <c r="B932" s="39" t="s">
        <v>3342</v>
      </c>
      <c r="C932" s="40" t="s">
        <v>973</v>
      </c>
      <c r="D932" s="42" t="s">
        <v>4864</v>
      </c>
      <c r="E932" s="51"/>
      <c r="F932" s="51"/>
      <c r="G932" s="51"/>
      <c r="H932" s="44"/>
      <c r="I932" s="44"/>
      <c r="J932" s="44"/>
      <c r="K932" s="44"/>
      <c r="L932" s="44"/>
      <c r="M932" s="44" t="str">
        <f t="shared" si="1"/>
        <v>#DIV/0!</v>
      </c>
      <c r="N932" s="44" t="str">
        <f t="shared" si="2"/>
        <v>#DIV/0!</v>
      </c>
      <c r="O932" s="44" t="str">
        <f t="shared" si="4"/>
        <v/>
      </c>
      <c r="P932" s="44" t="str">
        <f t="shared" si="3"/>
        <v>#DIV/0!</v>
      </c>
      <c r="Q932" s="44"/>
    </row>
    <row r="933">
      <c r="A933" s="38" t="s">
        <v>3343</v>
      </c>
      <c r="B933" s="39" t="s">
        <v>3344</v>
      </c>
      <c r="C933" s="40" t="s">
        <v>5379</v>
      </c>
      <c r="D933" s="42" t="s">
        <v>5380</v>
      </c>
      <c r="E933" s="51"/>
      <c r="F933" s="51"/>
      <c r="G933" s="51"/>
      <c r="H933" s="44"/>
      <c r="I933" s="44"/>
      <c r="J933" s="44"/>
      <c r="K933" s="44"/>
      <c r="L933" s="44"/>
      <c r="M933" s="44" t="str">
        <f t="shared" si="1"/>
        <v>#DIV/0!</v>
      </c>
      <c r="N933" s="44" t="str">
        <f t="shared" si="2"/>
        <v>#DIV/0!</v>
      </c>
      <c r="O933" s="44" t="str">
        <f t="shared" si="4"/>
        <v/>
      </c>
      <c r="P933" s="44" t="str">
        <f t="shared" si="3"/>
        <v>#DIV/0!</v>
      </c>
      <c r="Q933" s="44"/>
    </row>
    <row r="934">
      <c r="A934" s="38" t="s">
        <v>3347</v>
      </c>
      <c r="B934" s="39" t="s">
        <v>3348</v>
      </c>
      <c r="C934" s="40" t="s">
        <v>5381</v>
      </c>
      <c r="D934" s="42" t="s">
        <v>5382</v>
      </c>
      <c r="E934" s="51"/>
      <c r="F934" s="51"/>
      <c r="G934" s="51"/>
      <c r="H934" s="44"/>
      <c r="I934" s="44"/>
      <c r="J934" s="44"/>
      <c r="K934" s="44"/>
      <c r="L934" s="44"/>
      <c r="M934" s="44" t="str">
        <f t="shared" si="1"/>
        <v>#DIV/0!</v>
      </c>
      <c r="N934" s="44" t="str">
        <f t="shared" si="2"/>
        <v>#DIV/0!</v>
      </c>
      <c r="O934" s="44" t="str">
        <f t="shared" si="4"/>
        <v/>
      </c>
      <c r="P934" s="44" t="str">
        <f t="shared" si="3"/>
        <v>#DIV/0!</v>
      </c>
      <c r="Q934" s="44"/>
    </row>
    <row r="935">
      <c r="A935" s="38" t="s">
        <v>3351</v>
      </c>
      <c r="B935" s="39" t="s">
        <v>3352</v>
      </c>
      <c r="C935" s="40" t="s">
        <v>1154</v>
      </c>
      <c r="D935" s="41" t="s">
        <v>1155</v>
      </c>
      <c r="E935" s="51"/>
      <c r="F935" s="51"/>
      <c r="G935" s="51"/>
      <c r="H935" s="44"/>
      <c r="I935" s="44"/>
      <c r="J935" s="44"/>
      <c r="K935" s="44"/>
      <c r="L935" s="44"/>
      <c r="M935" s="44" t="str">
        <f t="shared" si="1"/>
        <v>#DIV/0!</v>
      </c>
      <c r="N935" s="44" t="str">
        <f t="shared" si="2"/>
        <v>#DIV/0!</v>
      </c>
      <c r="O935" s="44" t="str">
        <f t="shared" si="4"/>
        <v/>
      </c>
      <c r="P935" s="44" t="str">
        <f t="shared" si="3"/>
        <v>#DIV/0!</v>
      </c>
      <c r="Q935" s="44"/>
    </row>
    <row r="936">
      <c r="A936" s="38" t="s">
        <v>3353</v>
      </c>
      <c r="B936" s="39" t="s">
        <v>3354</v>
      </c>
      <c r="C936" s="40" t="s">
        <v>5383</v>
      </c>
      <c r="D936" s="42" t="s">
        <v>5384</v>
      </c>
      <c r="E936" s="51"/>
      <c r="F936" s="51"/>
      <c r="G936" s="51"/>
      <c r="H936" s="44"/>
      <c r="I936" s="44"/>
      <c r="J936" s="44"/>
      <c r="K936" s="44"/>
      <c r="L936" s="44"/>
      <c r="M936" s="44" t="str">
        <f t="shared" si="1"/>
        <v>#DIV/0!</v>
      </c>
      <c r="N936" s="44" t="str">
        <f t="shared" si="2"/>
        <v>#DIV/0!</v>
      </c>
      <c r="O936" s="44" t="str">
        <f t="shared" si="4"/>
        <v/>
      </c>
      <c r="P936" s="44" t="str">
        <f t="shared" si="3"/>
        <v>#DIV/0!</v>
      </c>
      <c r="Q936" s="44"/>
    </row>
    <row r="937">
      <c r="A937" s="38" t="s">
        <v>3357</v>
      </c>
      <c r="B937" s="39" t="s">
        <v>3358</v>
      </c>
      <c r="C937" s="40" t="s">
        <v>172</v>
      </c>
      <c r="D937" s="41" t="s">
        <v>173</v>
      </c>
      <c r="E937" s="51"/>
      <c r="F937" s="51"/>
      <c r="G937" s="51"/>
      <c r="H937" s="44"/>
      <c r="I937" s="44"/>
      <c r="J937" s="44"/>
      <c r="K937" s="44"/>
      <c r="L937" s="44"/>
      <c r="M937" s="44" t="str">
        <f t="shared" si="1"/>
        <v>#DIV/0!</v>
      </c>
      <c r="N937" s="44" t="str">
        <f t="shared" si="2"/>
        <v>#DIV/0!</v>
      </c>
      <c r="O937" s="44" t="str">
        <f t="shared" si="4"/>
        <v/>
      </c>
      <c r="P937" s="44" t="str">
        <f t="shared" si="3"/>
        <v>#DIV/0!</v>
      </c>
      <c r="Q937" s="44"/>
    </row>
    <row r="938">
      <c r="A938" s="38" t="s">
        <v>3360</v>
      </c>
      <c r="B938" s="39" t="s">
        <v>3361</v>
      </c>
      <c r="C938" s="40" t="s">
        <v>3362</v>
      </c>
      <c r="D938" s="42" t="s">
        <v>5385</v>
      </c>
      <c r="E938" s="51"/>
      <c r="F938" s="51"/>
      <c r="G938" s="51"/>
      <c r="H938" s="44"/>
      <c r="I938" s="44"/>
      <c r="J938" s="44"/>
      <c r="K938" s="44"/>
      <c r="L938" s="44"/>
      <c r="M938" s="44" t="str">
        <f t="shared" si="1"/>
        <v>#DIV/0!</v>
      </c>
      <c r="N938" s="44" t="str">
        <f t="shared" si="2"/>
        <v>#DIV/0!</v>
      </c>
      <c r="O938" s="44" t="str">
        <f t="shared" si="4"/>
        <v/>
      </c>
      <c r="P938" s="44" t="str">
        <f t="shared" si="3"/>
        <v>#DIV/0!</v>
      </c>
      <c r="Q938" s="44"/>
    </row>
    <row r="939">
      <c r="A939" s="38" t="s">
        <v>3364</v>
      </c>
      <c r="B939" s="39" t="s">
        <v>3365</v>
      </c>
      <c r="C939" s="40" t="s">
        <v>3366</v>
      </c>
      <c r="D939" s="42" t="s">
        <v>5386</v>
      </c>
      <c r="E939" s="51"/>
      <c r="F939" s="51"/>
      <c r="G939" s="51"/>
      <c r="H939" s="44"/>
      <c r="I939" s="44"/>
      <c r="J939" s="44"/>
      <c r="K939" s="44"/>
      <c r="L939" s="44"/>
      <c r="M939" s="44" t="str">
        <f t="shared" si="1"/>
        <v>#DIV/0!</v>
      </c>
      <c r="N939" s="44" t="str">
        <f t="shared" si="2"/>
        <v>#DIV/0!</v>
      </c>
      <c r="O939" s="44" t="str">
        <f t="shared" si="4"/>
        <v/>
      </c>
      <c r="P939" s="44" t="str">
        <f t="shared" si="3"/>
        <v>#DIV/0!</v>
      </c>
      <c r="Q939" s="44"/>
    </row>
    <row r="940">
      <c r="A940" s="38" t="s">
        <v>3368</v>
      </c>
      <c r="B940" s="39" t="s">
        <v>3369</v>
      </c>
      <c r="C940" s="40" t="s">
        <v>5387</v>
      </c>
      <c r="D940" s="41" t="s">
        <v>3371</v>
      </c>
      <c r="E940" s="51"/>
      <c r="F940" s="51"/>
      <c r="G940" s="51"/>
      <c r="H940" s="44"/>
      <c r="I940" s="44"/>
      <c r="J940" s="44"/>
      <c r="K940" s="44"/>
      <c r="L940" s="44"/>
      <c r="M940" s="44" t="str">
        <f t="shared" si="1"/>
        <v>#DIV/0!</v>
      </c>
      <c r="N940" s="44" t="str">
        <f t="shared" si="2"/>
        <v>#DIV/0!</v>
      </c>
      <c r="O940" s="44" t="str">
        <f t="shared" si="4"/>
        <v/>
      </c>
      <c r="P940" s="44" t="str">
        <f t="shared" si="3"/>
        <v>#DIV/0!</v>
      </c>
      <c r="Q940" s="44"/>
    </row>
    <row r="941">
      <c r="A941" s="38" t="s">
        <v>3372</v>
      </c>
      <c r="B941" s="39" t="s">
        <v>3373</v>
      </c>
      <c r="C941" s="40" t="s">
        <v>5388</v>
      </c>
      <c r="D941" s="41" t="s">
        <v>5389</v>
      </c>
      <c r="E941" s="51"/>
      <c r="F941" s="51"/>
      <c r="G941" s="51"/>
      <c r="H941" s="44"/>
      <c r="I941" s="44"/>
      <c r="J941" s="44"/>
      <c r="K941" s="44"/>
      <c r="L941" s="44"/>
      <c r="M941" s="44" t="str">
        <f t="shared" si="1"/>
        <v>#DIV/0!</v>
      </c>
      <c r="N941" s="44" t="str">
        <f t="shared" si="2"/>
        <v>#DIV/0!</v>
      </c>
      <c r="O941" s="44" t="str">
        <f t="shared" si="4"/>
        <v/>
      </c>
      <c r="P941" s="44" t="str">
        <f t="shared" si="3"/>
        <v>#DIV/0!</v>
      </c>
      <c r="Q941" s="44"/>
    </row>
    <row r="942">
      <c r="A942" s="38" t="s">
        <v>3376</v>
      </c>
      <c r="B942" s="39" t="s">
        <v>3377</v>
      </c>
      <c r="C942" s="40" t="s">
        <v>3378</v>
      </c>
      <c r="D942" s="41" t="s">
        <v>3379</v>
      </c>
      <c r="E942" s="51"/>
      <c r="F942" s="51"/>
      <c r="G942" s="51"/>
      <c r="H942" s="44"/>
      <c r="I942" s="44"/>
      <c r="J942" s="44"/>
      <c r="K942" s="44"/>
      <c r="L942" s="44"/>
      <c r="M942" s="44" t="str">
        <f t="shared" si="1"/>
        <v>#DIV/0!</v>
      </c>
      <c r="N942" s="44" t="str">
        <f t="shared" si="2"/>
        <v>#DIV/0!</v>
      </c>
      <c r="O942" s="44" t="str">
        <f t="shared" si="4"/>
        <v/>
      </c>
      <c r="P942" s="44" t="str">
        <f t="shared" si="3"/>
        <v>#DIV/0!</v>
      </c>
      <c r="Q942" s="44"/>
    </row>
    <row r="943">
      <c r="A943" s="38" t="s">
        <v>3380</v>
      </c>
      <c r="B943" s="39" t="s">
        <v>3381</v>
      </c>
      <c r="C943" s="40" t="s">
        <v>3382</v>
      </c>
      <c r="D943" s="41" t="s">
        <v>3383</v>
      </c>
      <c r="E943" s="51"/>
      <c r="F943" s="51"/>
      <c r="G943" s="51"/>
      <c r="H943" s="44"/>
      <c r="I943" s="44"/>
      <c r="J943" s="44"/>
      <c r="K943" s="44"/>
      <c r="L943" s="44"/>
      <c r="M943" s="44" t="str">
        <f t="shared" si="1"/>
        <v>#DIV/0!</v>
      </c>
      <c r="N943" s="44" t="str">
        <f t="shared" si="2"/>
        <v>#DIV/0!</v>
      </c>
      <c r="O943" s="44" t="str">
        <f t="shared" si="4"/>
        <v/>
      </c>
      <c r="P943" s="44" t="str">
        <f t="shared" si="3"/>
        <v>#DIV/0!</v>
      </c>
      <c r="Q943" s="44"/>
    </row>
    <row r="944">
      <c r="A944" s="38" t="s">
        <v>3384</v>
      </c>
      <c r="B944" s="39" t="s">
        <v>3385</v>
      </c>
      <c r="C944" s="40" t="s">
        <v>5390</v>
      </c>
      <c r="D944" s="42" t="s">
        <v>5391</v>
      </c>
      <c r="E944" s="51"/>
      <c r="F944" s="51"/>
      <c r="G944" s="51"/>
      <c r="H944" s="44"/>
      <c r="I944" s="44"/>
      <c r="J944" s="44"/>
      <c r="K944" s="44"/>
      <c r="L944" s="44"/>
      <c r="M944" s="44" t="str">
        <f t="shared" si="1"/>
        <v>#DIV/0!</v>
      </c>
      <c r="N944" s="44" t="str">
        <f t="shared" si="2"/>
        <v>#DIV/0!</v>
      </c>
      <c r="O944" s="44" t="str">
        <f t="shared" si="4"/>
        <v/>
      </c>
      <c r="P944" s="44" t="str">
        <f t="shared" si="3"/>
        <v>#DIV/0!</v>
      </c>
      <c r="Q944" s="44"/>
    </row>
    <row r="945">
      <c r="A945" s="38" t="s">
        <v>3388</v>
      </c>
      <c r="B945" s="39" t="s">
        <v>3389</v>
      </c>
      <c r="C945" s="40" t="s">
        <v>3390</v>
      </c>
      <c r="D945" s="41" t="s">
        <v>3391</v>
      </c>
      <c r="E945" s="51"/>
      <c r="F945" s="51"/>
      <c r="G945" s="51"/>
      <c r="H945" s="44"/>
      <c r="I945" s="44"/>
      <c r="J945" s="44"/>
      <c r="K945" s="44"/>
      <c r="L945" s="44"/>
      <c r="M945" s="44" t="str">
        <f t="shared" si="1"/>
        <v>#DIV/0!</v>
      </c>
      <c r="N945" s="44" t="str">
        <f t="shared" si="2"/>
        <v>#DIV/0!</v>
      </c>
      <c r="O945" s="44" t="str">
        <f t="shared" si="4"/>
        <v/>
      </c>
      <c r="P945" s="44" t="str">
        <f t="shared" si="3"/>
        <v>#DIV/0!</v>
      </c>
      <c r="Q945" s="44"/>
    </row>
    <row r="946">
      <c r="A946" s="38" t="s">
        <v>3392</v>
      </c>
      <c r="B946" s="39" t="s">
        <v>3393</v>
      </c>
      <c r="C946" s="40" t="s">
        <v>3394</v>
      </c>
      <c r="D946" s="42" t="s">
        <v>5392</v>
      </c>
      <c r="E946" s="51"/>
      <c r="F946" s="51"/>
      <c r="G946" s="51"/>
      <c r="H946" s="44"/>
      <c r="I946" s="44"/>
      <c r="J946" s="44"/>
      <c r="K946" s="44"/>
      <c r="L946" s="44"/>
      <c r="M946" s="44" t="str">
        <f t="shared" si="1"/>
        <v>#DIV/0!</v>
      </c>
      <c r="N946" s="44" t="str">
        <f t="shared" si="2"/>
        <v>#DIV/0!</v>
      </c>
      <c r="O946" s="44" t="str">
        <f t="shared" si="4"/>
        <v/>
      </c>
      <c r="P946" s="44" t="str">
        <f t="shared" si="3"/>
        <v>#DIV/0!</v>
      </c>
      <c r="Q946" s="44"/>
    </row>
    <row r="947">
      <c r="A947" s="38" t="s">
        <v>3396</v>
      </c>
      <c r="B947" s="39" t="s">
        <v>3397</v>
      </c>
      <c r="C947" s="40" t="s">
        <v>5393</v>
      </c>
      <c r="D947" s="42" t="s">
        <v>3399</v>
      </c>
      <c r="E947" s="51"/>
      <c r="F947" s="51"/>
      <c r="G947" s="51"/>
      <c r="H947" s="44"/>
      <c r="I947" s="44"/>
      <c r="J947" s="44"/>
      <c r="K947" s="44"/>
      <c r="L947" s="44"/>
      <c r="M947" s="44" t="str">
        <f t="shared" si="1"/>
        <v>#DIV/0!</v>
      </c>
      <c r="N947" s="44" t="str">
        <f t="shared" si="2"/>
        <v>#DIV/0!</v>
      </c>
      <c r="O947" s="44" t="str">
        <f t="shared" si="4"/>
        <v/>
      </c>
      <c r="P947" s="44" t="str">
        <f t="shared" si="3"/>
        <v>#DIV/0!</v>
      </c>
      <c r="Q947" s="44"/>
    </row>
    <row r="948">
      <c r="A948" s="38" t="s">
        <v>3400</v>
      </c>
      <c r="B948" s="39" t="s">
        <v>3401</v>
      </c>
      <c r="C948" s="40" t="s">
        <v>5394</v>
      </c>
      <c r="D948" s="41" t="s">
        <v>5395</v>
      </c>
      <c r="E948" s="51"/>
      <c r="F948" s="51"/>
      <c r="G948" s="51"/>
      <c r="H948" s="44"/>
      <c r="I948" s="44"/>
      <c r="J948" s="44"/>
      <c r="K948" s="44"/>
      <c r="L948" s="44"/>
      <c r="M948" s="44" t="str">
        <f t="shared" si="1"/>
        <v>#DIV/0!</v>
      </c>
      <c r="N948" s="44" t="str">
        <f t="shared" si="2"/>
        <v>#DIV/0!</v>
      </c>
      <c r="O948" s="44" t="str">
        <f t="shared" si="4"/>
        <v/>
      </c>
      <c r="P948" s="44" t="str">
        <f t="shared" si="3"/>
        <v>#DIV/0!</v>
      </c>
      <c r="Q948" s="44"/>
    </row>
    <row r="949">
      <c r="A949" s="38" t="s">
        <v>3404</v>
      </c>
      <c r="B949" s="39" t="s">
        <v>3405</v>
      </c>
      <c r="C949" s="40" t="s">
        <v>5396</v>
      </c>
      <c r="D949" s="41" t="s">
        <v>3407</v>
      </c>
      <c r="E949" s="51"/>
      <c r="F949" s="51"/>
      <c r="G949" s="51"/>
      <c r="H949" s="44"/>
      <c r="I949" s="44"/>
      <c r="J949" s="44"/>
      <c r="K949" s="44"/>
      <c r="L949" s="44"/>
      <c r="M949" s="44" t="str">
        <f t="shared" si="1"/>
        <v>#DIV/0!</v>
      </c>
      <c r="N949" s="44" t="str">
        <f t="shared" si="2"/>
        <v>#DIV/0!</v>
      </c>
      <c r="O949" s="44" t="str">
        <f t="shared" si="4"/>
        <v/>
      </c>
      <c r="P949" s="44" t="str">
        <f t="shared" si="3"/>
        <v>#DIV/0!</v>
      </c>
      <c r="Q949" s="44"/>
    </row>
    <row r="950">
      <c r="A950" s="38" t="s">
        <v>3408</v>
      </c>
      <c r="B950" s="39" t="s">
        <v>3409</v>
      </c>
      <c r="C950" s="40" t="s">
        <v>3410</v>
      </c>
      <c r="D950" s="42" t="s">
        <v>5397</v>
      </c>
      <c r="E950" s="51"/>
      <c r="F950" s="51"/>
      <c r="G950" s="51"/>
      <c r="H950" s="44"/>
      <c r="I950" s="44"/>
      <c r="J950" s="44"/>
      <c r="K950" s="44"/>
      <c r="L950" s="44"/>
      <c r="M950" s="44" t="str">
        <f t="shared" si="1"/>
        <v>#DIV/0!</v>
      </c>
      <c r="N950" s="44" t="str">
        <f t="shared" si="2"/>
        <v>#DIV/0!</v>
      </c>
      <c r="O950" s="44" t="str">
        <f t="shared" si="4"/>
        <v/>
      </c>
      <c r="P950" s="44" t="str">
        <f t="shared" si="3"/>
        <v>#DIV/0!</v>
      </c>
      <c r="Q950" s="44"/>
    </row>
    <row r="951">
      <c r="A951" s="38" t="s">
        <v>3412</v>
      </c>
      <c r="B951" s="39" t="s">
        <v>3413</v>
      </c>
      <c r="C951" s="40" t="s">
        <v>5398</v>
      </c>
      <c r="D951" s="42" t="s">
        <v>5399</v>
      </c>
      <c r="E951" s="51"/>
      <c r="F951" s="51"/>
      <c r="G951" s="51"/>
      <c r="H951" s="44"/>
      <c r="I951" s="44"/>
      <c r="J951" s="44"/>
      <c r="K951" s="44"/>
      <c r="L951" s="44"/>
      <c r="M951" s="44" t="str">
        <f t="shared" si="1"/>
        <v>#DIV/0!</v>
      </c>
      <c r="N951" s="44" t="str">
        <f t="shared" si="2"/>
        <v>#DIV/0!</v>
      </c>
      <c r="O951" s="44" t="str">
        <f t="shared" si="4"/>
        <v/>
      </c>
      <c r="P951" s="44" t="str">
        <f t="shared" si="3"/>
        <v>#DIV/0!</v>
      </c>
      <c r="Q951" s="44"/>
    </row>
    <row r="952">
      <c r="A952" s="38" t="s">
        <v>3416</v>
      </c>
      <c r="B952" s="39" t="s">
        <v>3417</v>
      </c>
      <c r="C952" s="40" t="s">
        <v>3418</v>
      </c>
      <c r="D952" s="41" t="s">
        <v>3419</v>
      </c>
      <c r="E952" s="51"/>
      <c r="F952" s="51"/>
      <c r="G952" s="51"/>
      <c r="H952" s="44"/>
      <c r="I952" s="44"/>
      <c r="J952" s="44"/>
      <c r="K952" s="44"/>
      <c r="L952" s="44"/>
      <c r="M952" s="44" t="str">
        <f t="shared" si="1"/>
        <v>#DIV/0!</v>
      </c>
      <c r="N952" s="44" t="str">
        <f t="shared" si="2"/>
        <v>#DIV/0!</v>
      </c>
      <c r="O952" s="44" t="str">
        <f t="shared" si="4"/>
        <v/>
      </c>
      <c r="P952" s="44" t="str">
        <f t="shared" si="3"/>
        <v>#DIV/0!</v>
      </c>
      <c r="Q952" s="44"/>
    </row>
    <row r="953">
      <c r="A953" s="38" t="s">
        <v>3420</v>
      </c>
      <c r="B953" s="39" t="s">
        <v>3421</v>
      </c>
      <c r="C953" s="40" t="s">
        <v>268</v>
      </c>
      <c r="D953" s="41" t="s">
        <v>137</v>
      </c>
      <c r="E953" s="51"/>
      <c r="F953" s="51"/>
      <c r="G953" s="51"/>
      <c r="H953" s="44"/>
      <c r="I953" s="44"/>
      <c r="J953" s="44"/>
      <c r="K953" s="44"/>
      <c r="L953" s="44"/>
      <c r="M953" s="44" t="str">
        <f t="shared" si="1"/>
        <v>#DIV/0!</v>
      </c>
      <c r="N953" s="44" t="str">
        <f t="shared" si="2"/>
        <v>#DIV/0!</v>
      </c>
      <c r="O953" s="44" t="str">
        <f t="shared" si="4"/>
        <v/>
      </c>
      <c r="P953" s="44" t="str">
        <f t="shared" si="3"/>
        <v>#DIV/0!</v>
      </c>
      <c r="Q953" s="44"/>
    </row>
    <row r="954">
      <c r="A954" s="38" t="s">
        <v>3422</v>
      </c>
      <c r="B954" s="39" t="s">
        <v>3423</v>
      </c>
      <c r="C954" s="40" t="s">
        <v>3424</v>
      </c>
      <c r="D954" s="41" t="s">
        <v>3425</v>
      </c>
      <c r="E954" s="51"/>
      <c r="F954" s="51"/>
      <c r="G954" s="51"/>
      <c r="H954" s="44"/>
      <c r="I954" s="44"/>
      <c r="J954" s="44"/>
      <c r="K954" s="44"/>
      <c r="L954" s="44"/>
      <c r="M954" s="44" t="str">
        <f t="shared" si="1"/>
        <v>#DIV/0!</v>
      </c>
      <c r="N954" s="44" t="str">
        <f t="shared" si="2"/>
        <v>#DIV/0!</v>
      </c>
      <c r="O954" s="44" t="str">
        <f t="shared" si="4"/>
        <v/>
      </c>
      <c r="P954" s="44" t="str">
        <f t="shared" si="3"/>
        <v>#DIV/0!</v>
      </c>
      <c r="Q954" s="44"/>
    </row>
    <row r="955">
      <c r="A955" s="38" t="s">
        <v>3426</v>
      </c>
      <c r="B955" s="39" t="s">
        <v>3427</v>
      </c>
      <c r="C955" s="40" t="s">
        <v>5400</v>
      </c>
      <c r="D955" s="41" t="s">
        <v>5401</v>
      </c>
      <c r="E955" s="51"/>
      <c r="F955" s="51"/>
      <c r="G955" s="51"/>
      <c r="H955" s="44"/>
      <c r="I955" s="44"/>
      <c r="J955" s="44"/>
      <c r="K955" s="44"/>
      <c r="L955" s="44"/>
      <c r="M955" s="44" t="str">
        <f t="shared" si="1"/>
        <v>#DIV/0!</v>
      </c>
      <c r="N955" s="44" t="str">
        <f t="shared" si="2"/>
        <v>#DIV/0!</v>
      </c>
      <c r="O955" s="44" t="str">
        <f t="shared" si="4"/>
        <v/>
      </c>
      <c r="P955" s="44" t="str">
        <f t="shared" si="3"/>
        <v>#DIV/0!</v>
      </c>
      <c r="Q955" s="44"/>
    </row>
    <row r="956">
      <c r="A956" s="38" t="s">
        <v>3430</v>
      </c>
      <c r="B956" s="39" t="s">
        <v>3431</v>
      </c>
      <c r="C956" s="40" t="s">
        <v>268</v>
      </c>
      <c r="D956" s="41" t="s">
        <v>137</v>
      </c>
      <c r="E956" s="51"/>
      <c r="F956" s="51"/>
      <c r="G956" s="51"/>
      <c r="H956" s="44"/>
      <c r="I956" s="44"/>
      <c r="J956" s="44"/>
      <c r="K956" s="44"/>
      <c r="L956" s="44"/>
      <c r="M956" s="44" t="str">
        <f t="shared" si="1"/>
        <v>#DIV/0!</v>
      </c>
      <c r="N956" s="44" t="str">
        <f t="shared" si="2"/>
        <v>#DIV/0!</v>
      </c>
      <c r="O956" s="44" t="str">
        <f t="shared" si="4"/>
        <v/>
      </c>
      <c r="P956" s="44" t="str">
        <f t="shared" si="3"/>
        <v>#DIV/0!</v>
      </c>
      <c r="Q956" s="44"/>
    </row>
    <row r="957">
      <c r="A957" s="38" t="s">
        <v>3432</v>
      </c>
      <c r="B957" s="39" t="s">
        <v>3433</v>
      </c>
      <c r="C957" s="40" t="s">
        <v>176</v>
      </c>
      <c r="D957" s="41" t="s">
        <v>177</v>
      </c>
      <c r="E957" s="51"/>
      <c r="F957" s="51"/>
      <c r="G957" s="51"/>
      <c r="H957" s="44"/>
      <c r="I957" s="44"/>
      <c r="J957" s="44"/>
      <c r="K957" s="44"/>
      <c r="L957" s="44"/>
      <c r="M957" s="44" t="str">
        <f t="shared" si="1"/>
        <v>#DIV/0!</v>
      </c>
      <c r="N957" s="44" t="str">
        <f t="shared" si="2"/>
        <v>#DIV/0!</v>
      </c>
      <c r="O957" s="44" t="str">
        <f t="shared" si="4"/>
        <v/>
      </c>
      <c r="P957" s="44" t="str">
        <f t="shared" si="3"/>
        <v>#DIV/0!</v>
      </c>
      <c r="Q957" s="44"/>
    </row>
    <row r="958">
      <c r="A958" s="38" t="s">
        <v>3434</v>
      </c>
      <c r="B958" s="39" t="s">
        <v>3435</v>
      </c>
      <c r="C958" s="40" t="s">
        <v>172</v>
      </c>
      <c r="D958" s="41" t="s">
        <v>173</v>
      </c>
      <c r="E958" s="51"/>
      <c r="F958" s="51"/>
      <c r="G958" s="51"/>
      <c r="H958" s="44"/>
      <c r="I958" s="44"/>
      <c r="J958" s="44"/>
      <c r="K958" s="44"/>
      <c r="L958" s="44"/>
      <c r="M958" s="44" t="str">
        <f t="shared" si="1"/>
        <v>#DIV/0!</v>
      </c>
      <c r="N958" s="44" t="str">
        <f t="shared" si="2"/>
        <v>#DIV/0!</v>
      </c>
      <c r="O958" s="44" t="str">
        <f t="shared" si="4"/>
        <v/>
      </c>
      <c r="P958" s="44" t="str">
        <f t="shared" si="3"/>
        <v>#DIV/0!</v>
      </c>
      <c r="Q958" s="44"/>
    </row>
    <row r="959">
      <c r="A959" s="38" t="s">
        <v>3436</v>
      </c>
      <c r="B959" s="39" t="s">
        <v>3437</v>
      </c>
      <c r="C959" s="40" t="s">
        <v>5402</v>
      </c>
      <c r="D959" s="42" t="s">
        <v>5403</v>
      </c>
      <c r="E959" s="51"/>
      <c r="F959" s="51"/>
      <c r="G959" s="51"/>
      <c r="H959" s="44"/>
      <c r="I959" s="44"/>
      <c r="J959" s="44"/>
      <c r="K959" s="44"/>
      <c r="L959" s="44"/>
      <c r="M959" s="44" t="str">
        <f t="shared" si="1"/>
        <v>#DIV/0!</v>
      </c>
      <c r="N959" s="44" t="str">
        <f t="shared" si="2"/>
        <v>#DIV/0!</v>
      </c>
      <c r="O959" s="44" t="str">
        <f t="shared" si="4"/>
        <v/>
      </c>
      <c r="P959" s="44" t="str">
        <f t="shared" si="3"/>
        <v>#DIV/0!</v>
      </c>
      <c r="Q959" s="44"/>
    </row>
    <row r="960">
      <c r="A960" s="38" t="s">
        <v>3440</v>
      </c>
      <c r="B960" s="39" t="s">
        <v>3441</v>
      </c>
      <c r="C960" s="40" t="s">
        <v>5404</v>
      </c>
      <c r="D960" s="42" t="s">
        <v>5405</v>
      </c>
      <c r="E960" s="51"/>
      <c r="F960" s="51"/>
      <c r="G960" s="51"/>
      <c r="H960" s="44"/>
      <c r="I960" s="44"/>
      <c r="J960" s="44"/>
      <c r="K960" s="44"/>
      <c r="L960" s="44"/>
      <c r="M960" s="44" t="str">
        <f t="shared" si="1"/>
        <v>#DIV/0!</v>
      </c>
      <c r="N960" s="44" t="str">
        <f t="shared" si="2"/>
        <v>#DIV/0!</v>
      </c>
      <c r="O960" s="44" t="str">
        <f t="shared" si="4"/>
        <v/>
      </c>
      <c r="P960" s="44" t="str">
        <f t="shared" si="3"/>
        <v>#DIV/0!</v>
      </c>
      <c r="Q960" s="44"/>
    </row>
    <row r="961">
      <c r="A961" s="38" t="s">
        <v>3444</v>
      </c>
      <c r="B961" s="39" t="s">
        <v>3445</v>
      </c>
      <c r="C961" s="40" t="s">
        <v>5406</v>
      </c>
      <c r="D961" s="42" t="s">
        <v>3447</v>
      </c>
      <c r="E961" s="51"/>
      <c r="F961" s="51"/>
      <c r="G961" s="51"/>
      <c r="H961" s="44"/>
      <c r="I961" s="44"/>
      <c r="J961" s="44"/>
      <c r="K961" s="44"/>
      <c r="L961" s="44"/>
      <c r="M961" s="44" t="str">
        <f t="shared" si="1"/>
        <v>#DIV/0!</v>
      </c>
      <c r="N961" s="44" t="str">
        <f t="shared" si="2"/>
        <v>#DIV/0!</v>
      </c>
      <c r="O961" s="44" t="str">
        <f t="shared" si="4"/>
        <v/>
      </c>
      <c r="P961" s="44" t="str">
        <f t="shared" si="3"/>
        <v>#DIV/0!</v>
      </c>
      <c r="Q961" s="44"/>
    </row>
    <row r="962">
      <c r="A962" s="38" t="s">
        <v>3448</v>
      </c>
      <c r="B962" s="39" t="s">
        <v>3449</v>
      </c>
      <c r="C962" s="40" t="s">
        <v>1104</v>
      </c>
      <c r="D962" s="41" t="s">
        <v>1105</v>
      </c>
      <c r="E962" s="51"/>
      <c r="F962" s="51"/>
      <c r="G962" s="51"/>
      <c r="H962" s="44"/>
      <c r="I962" s="44"/>
      <c r="J962" s="44"/>
      <c r="K962" s="44"/>
      <c r="L962" s="44"/>
      <c r="M962" s="44" t="str">
        <f t="shared" si="1"/>
        <v>#DIV/0!</v>
      </c>
      <c r="N962" s="44" t="str">
        <f t="shared" si="2"/>
        <v>#DIV/0!</v>
      </c>
      <c r="O962" s="44" t="str">
        <f t="shared" si="4"/>
        <v/>
      </c>
      <c r="P962" s="44" t="str">
        <f t="shared" si="3"/>
        <v>#DIV/0!</v>
      </c>
      <c r="Q962" s="44"/>
    </row>
    <row r="963">
      <c r="A963" s="38" t="s">
        <v>3450</v>
      </c>
      <c r="B963" s="39" t="s">
        <v>3451</v>
      </c>
      <c r="C963" s="40" t="s">
        <v>4693</v>
      </c>
      <c r="D963" s="42" t="s">
        <v>4694</v>
      </c>
      <c r="E963" s="51"/>
      <c r="F963" s="51"/>
      <c r="G963" s="51"/>
      <c r="H963" s="44"/>
      <c r="I963" s="44"/>
      <c r="J963" s="44"/>
      <c r="K963" s="44"/>
      <c r="L963" s="44"/>
      <c r="M963" s="44" t="str">
        <f t="shared" si="1"/>
        <v>#DIV/0!</v>
      </c>
      <c r="N963" s="44" t="str">
        <f t="shared" si="2"/>
        <v>#DIV/0!</v>
      </c>
      <c r="O963" s="44" t="str">
        <f t="shared" si="4"/>
        <v/>
      </c>
      <c r="P963" s="44" t="str">
        <f t="shared" si="3"/>
        <v>#DIV/0!</v>
      </c>
      <c r="Q963" s="44"/>
    </row>
    <row r="964">
      <c r="A964" s="38" t="s">
        <v>3452</v>
      </c>
      <c r="B964" s="39" t="s">
        <v>3453</v>
      </c>
      <c r="C964" s="40" t="s">
        <v>681</v>
      </c>
      <c r="D964" s="41" t="s">
        <v>445</v>
      </c>
      <c r="E964" s="51"/>
      <c r="F964" s="51"/>
      <c r="G964" s="51"/>
      <c r="H964" s="44"/>
      <c r="I964" s="44"/>
      <c r="J964" s="44"/>
      <c r="K964" s="44"/>
      <c r="L964" s="44"/>
      <c r="M964" s="44" t="str">
        <f t="shared" si="1"/>
        <v>#DIV/0!</v>
      </c>
      <c r="N964" s="44" t="str">
        <f t="shared" si="2"/>
        <v>#DIV/0!</v>
      </c>
      <c r="O964" s="44" t="str">
        <f t="shared" si="4"/>
        <v/>
      </c>
      <c r="P964" s="44" t="str">
        <f t="shared" si="3"/>
        <v>#DIV/0!</v>
      </c>
      <c r="Q964" s="44"/>
    </row>
    <row r="965">
      <c r="A965" s="38" t="s">
        <v>3454</v>
      </c>
      <c r="B965" s="39" t="s">
        <v>3455</v>
      </c>
      <c r="C965" s="40" t="s">
        <v>5407</v>
      </c>
      <c r="D965" s="41" t="s">
        <v>3457</v>
      </c>
      <c r="E965" s="51"/>
      <c r="F965" s="51"/>
      <c r="G965" s="51"/>
      <c r="H965" s="44"/>
      <c r="I965" s="44"/>
      <c r="J965" s="44"/>
      <c r="K965" s="44"/>
      <c r="L965" s="44"/>
      <c r="M965" s="44" t="str">
        <f t="shared" si="1"/>
        <v>#DIV/0!</v>
      </c>
      <c r="N965" s="44" t="str">
        <f t="shared" si="2"/>
        <v>#DIV/0!</v>
      </c>
      <c r="O965" s="44" t="str">
        <f t="shared" si="4"/>
        <v/>
      </c>
      <c r="P965" s="44" t="str">
        <f t="shared" si="3"/>
        <v>#DIV/0!</v>
      </c>
      <c r="Q965" s="44"/>
    </row>
    <row r="966">
      <c r="A966" s="38" t="s">
        <v>3458</v>
      </c>
      <c r="B966" s="39" t="s">
        <v>3459</v>
      </c>
      <c r="C966" s="40" t="s">
        <v>3460</v>
      </c>
      <c r="D966" s="42" t="s">
        <v>5408</v>
      </c>
      <c r="E966" s="51"/>
      <c r="F966" s="51"/>
      <c r="G966" s="51"/>
      <c r="H966" s="44"/>
      <c r="I966" s="44"/>
      <c r="J966" s="44"/>
      <c r="K966" s="44"/>
      <c r="L966" s="44"/>
      <c r="M966" s="44" t="str">
        <f t="shared" si="1"/>
        <v>#DIV/0!</v>
      </c>
      <c r="N966" s="44" t="str">
        <f t="shared" si="2"/>
        <v>#DIV/0!</v>
      </c>
      <c r="O966" s="44" t="str">
        <f t="shared" si="4"/>
        <v/>
      </c>
      <c r="P966" s="44" t="str">
        <f t="shared" si="3"/>
        <v>#DIV/0!</v>
      </c>
      <c r="Q966" s="44"/>
    </row>
    <row r="967">
      <c r="A967" s="38" t="s">
        <v>3462</v>
      </c>
      <c r="B967" s="39" t="s">
        <v>3463</v>
      </c>
      <c r="C967" s="40" t="s">
        <v>5409</v>
      </c>
      <c r="D967" s="42" t="s">
        <v>5410</v>
      </c>
      <c r="E967" s="51"/>
      <c r="F967" s="51"/>
      <c r="G967" s="51"/>
      <c r="H967" s="44"/>
      <c r="I967" s="44"/>
      <c r="J967" s="44"/>
      <c r="K967" s="44"/>
      <c r="L967" s="44"/>
      <c r="M967" s="44" t="str">
        <f t="shared" si="1"/>
        <v>#DIV/0!</v>
      </c>
      <c r="N967" s="44" t="str">
        <f t="shared" si="2"/>
        <v>#DIV/0!</v>
      </c>
      <c r="O967" s="44" t="str">
        <f t="shared" si="4"/>
        <v/>
      </c>
      <c r="P967" s="44" t="str">
        <f t="shared" si="3"/>
        <v>#DIV/0!</v>
      </c>
      <c r="Q967" s="44"/>
    </row>
    <row r="968">
      <c r="A968" s="38" t="s">
        <v>3466</v>
      </c>
      <c r="B968" s="39" t="s">
        <v>3467</v>
      </c>
      <c r="C968" s="40" t="s">
        <v>1104</v>
      </c>
      <c r="D968" s="41" t="s">
        <v>1105</v>
      </c>
      <c r="E968" s="51"/>
      <c r="F968" s="51"/>
      <c r="G968" s="51"/>
      <c r="H968" s="44"/>
      <c r="I968" s="44"/>
      <c r="J968" s="44"/>
      <c r="K968" s="44"/>
      <c r="L968" s="44"/>
      <c r="M968" s="44" t="str">
        <f t="shared" si="1"/>
        <v>#DIV/0!</v>
      </c>
      <c r="N968" s="44" t="str">
        <f t="shared" si="2"/>
        <v>#DIV/0!</v>
      </c>
      <c r="O968" s="44" t="str">
        <f t="shared" si="4"/>
        <v/>
      </c>
      <c r="P968" s="44" t="str">
        <f t="shared" si="3"/>
        <v>#DIV/0!</v>
      </c>
      <c r="Q968" s="44"/>
    </row>
    <row r="969">
      <c r="A969" s="38" t="s">
        <v>3468</v>
      </c>
      <c r="B969" s="39" t="s">
        <v>3469</v>
      </c>
      <c r="C969" s="40" t="s">
        <v>1367</v>
      </c>
      <c r="D969" s="41" t="s">
        <v>137</v>
      </c>
      <c r="E969" s="51"/>
      <c r="F969" s="51"/>
      <c r="G969" s="51"/>
      <c r="H969" s="44"/>
      <c r="I969" s="44"/>
      <c r="J969" s="44"/>
      <c r="K969" s="44"/>
      <c r="L969" s="44"/>
      <c r="M969" s="44" t="str">
        <f t="shared" si="1"/>
        <v>#DIV/0!</v>
      </c>
      <c r="N969" s="44" t="str">
        <f t="shared" si="2"/>
        <v>#DIV/0!</v>
      </c>
      <c r="O969" s="44" t="str">
        <f t="shared" si="4"/>
        <v/>
      </c>
      <c r="P969" s="44" t="str">
        <f t="shared" si="3"/>
        <v>#DIV/0!</v>
      </c>
      <c r="Q969" s="44"/>
    </row>
    <row r="970">
      <c r="A970" s="38" t="s">
        <v>3471</v>
      </c>
      <c r="B970" s="39" t="s">
        <v>3472</v>
      </c>
      <c r="C970" s="40" t="s">
        <v>3473</v>
      </c>
      <c r="D970" s="42" t="s">
        <v>5411</v>
      </c>
      <c r="E970" s="51"/>
      <c r="F970" s="51"/>
      <c r="G970" s="51"/>
      <c r="H970" s="44"/>
      <c r="I970" s="44"/>
      <c r="J970" s="44"/>
      <c r="K970" s="44"/>
      <c r="L970" s="44"/>
      <c r="M970" s="44" t="str">
        <f t="shared" si="1"/>
        <v>#DIV/0!</v>
      </c>
      <c r="N970" s="44" t="str">
        <f t="shared" si="2"/>
        <v>#DIV/0!</v>
      </c>
      <c r="O970" s="44" t="str">
        <f t="shared" si="4"/>
        <v/>
      </c>
      <c r="P970" s="44" t="str">
        <f t="shared" si="3"/>
        <v>#DIV/0!</v>
      </c>
      <c r="Q970" s="44"/>
    </row>
    <row r="971">
      <c r="A971" s="38" t="s">
        <v>3475</v>
      </c>
      <c r="B971" s="39" t="s">
        <v>3476</v>
      </c>
      <c r="C971" s="40" t="s">
        <v>44</v>
      </c>
      <c r="D971" s="41" t="s">
        <v>45</v>
      </c>
      <c r="E971" s="51"/>
      <c r="F971" s="51"/>
      <c r="G971" s="51"/>
      <c r="H971" s="44"/>
      <c r="I971" s="44"/>
      <c r="J971" s="44"/>
      <c r="K971" s="44"/>
      <c r="L971" s="44"/>
      <c r="M971" s="44" t="str">
        <f t="shared" si="1"/>
        <v>#DIV/0!</v>
      </c>
      <c r="N971" s="44" t="str">
        <f t="shared" si="2"/>
        <v>#DIV/0!</v>
      </c>
      <c r="O971" s="44" t="str">
        <f t="shared" si="4"/>
        <v/>
      </c>
      <c r="P971" s="44" t="str">
        <f t="shared" si="3"/>
        <v>#DIV/0!</v>
      </c>
      <c r="Q971" s="44"/>
    </row>
    <row r="972">
      <c r="A972" s="38" t="s">
        <v>3477</v>
      </c>
      <c r="B972" s="39" t="s">
        <v>3478</v>
      </c>
      <c r="C972" s="40" t="s">
        <v>172</v>
      </c>
      <c r="D972" s="41" t="s">
        <v>173</v>
      </c>
      <c r="E972" s="51"/>
      <c r="F972" s="51"/>
      <c r="G972" s="51"/>
      <c r="H972" s="44"/>
      <c r="I972" s="44"/>
      <c r="J972" s="44"/>
      <c r="K972" s="44"/>
      <c r="L972" s="44"/>
      <c r="M972" s="44" t="str">
        <f t="shared" si="1"/>
        <v>#DIV/0!</v>
      </c>
      <c r="N972" s="44" t="str">
        <f t="shared" si="2"/>
        <v>#DIV/0!</v>
      </c>
      <c r="O972" s="44" t="str">
        <f t="shared" si="4"/>
        <v/>
      </c>
      <c r="P972" s="44" t="str">
        <f t="shared" si="3"/>
        <v>#DIV/0!</v>
      </c>
      <c r="Q972" s="44"/>
    </row>
    <row r="973">
      <c r="A973" s="38" t="s">
        <v>3480</v>
      </c>
      <c r="B973" s="39" t="s">
        <v>3481</v>
      </c>
      <c r="C973" s="40" t="s">
        <v>3482</v>
      </c>
      <c r="D973" s="42" t="s">
        <v>5412</v>
      </c>
      <c r="E973" s="51"/>
      <c r="F973" s="51"/>
      <c r="G973" s="51"/>
      <c r="H973" s="44"/>
      <c r="I973" s="44"/>
      <c r="J973" s="44"/>
      <c r="K973" s="44"/>
      <c r="L973" s="44"/>
      <c r="M973" s="44" t="str">
        <f t="shared" si="1"/>
        <v>#DIV/0!</v>
      </c>
      <c r="N973" s="44" t="str">
        <f t="shared" si="2"/>
        <v>#DIV/0!</v>
      </c>
      <c r="O973" s="44" t="str">
        <f t="shared" si="4"/>
        <v/>
      </c>
      <c r="P973" s="44" t="str">
        <f t="shared" si="3"/>
        <v>#DIV/0!</v>
      </c>
      <c r="Q973" s="44"/>
    </row>
    <row r="974">
      <c r="A974" s="38" t="s">
        <v>3484</v>
      </c>
      <c r="B974" s="39" t="s">
        <v>3485</v>
      </c>
      <c r="C974" s="40" t="s">
        <v>5413</v>
      </c>
      <c r="D974" s="42" t="s">
        <v>5414</v>
      </c>
      <c r="E974" s="51"/>
      <c r="F974" s="51"/>
      <c r="G974" s="51"/>
      <c r="H974" s="44"/>
      <c r="I974" s="44"/>
      <c r="J974" s="44"/>
      <c r="K974" s="44"/>
      <c r="L974" s="44"/>
      <c r="M974" s="44" t="str">
        <f t="shared" si="1"/>
        <v>#DIV/0!</v>
      </c>
      <c r="N974" s="44" t="str">
        <f t="shared" si="2"/>
        <v>#DIV/0!</v>
      </c>
      <c r="O974" s="44" t="str">
        <f t="shared" si="4"/>
        <v/>
      </c>
      <c r="P974" s="44" t="str">
        <f t="shared" si="3"/>
        <v>#DIV/0!</v>
      </c>
      <c r="Q974" s="44"/>
    </row>
    <row r="975">
      <c r="A975" s="38" t="s">
        <v>3488</v>
      </c>
      <c r="B975" s="39" t="s">
        <v>3489</v>
      </c>
      <c r="C975" s="40" t="s">
        <v>5415</v>
      </c>
      <c r="D975" s="42" t="s">
        <v>5416</v>
      </c>
      <c r="E975" s="51"/>
      <c r="F975" s="51"/>
      <c r="G975" s="51"/>
      <c r="H975" s="44"/>
      <c r="I975" s="44"/>
      <c r="J975" s="44"/>
      <c r="K975" s="44"/>
      <c r="L975" s="44"/>
      <c r="M975" s="44" t="str">
        <f t="shared" si="1"/>
        <v>#DIV/0!</v>
      </c>
      <c r="N975" s="44" t="str">
        <f t="shared" si="2"/>
        <v>#DIV/0!</v>
      </c>
      <c r="O975" s="44" t="str">
        <f t="shared" si="4"/>
        <v/>
      </c>
      <c r="P975" s="44" t="str">
        <f t="shared" si="3"/>
        <v>#DIV/0!</v>
      </c>
      <c r="Q975" s="44"/>
    </row>
    <row r="976">
      <c r="A976" s="38" t="s">
        <v>3492</v>
      </c>
      <c r="B976" s="39" t="s">
        <v>3493</v>
      </c>
      <c r="C976" s="40" t="s">
        <v>5417</v>
      </c>
      <c r="D976" s="42" t="s">
        <v>5418</v>
      </c>
      <c r="E976" s="51"/>
      <c r="F976" s="51"/>
      <c r="G976" s="51"/>
      <c r="H976" s="44"/>
      <c r="I976" s="44"/>
      <c r="J976" s="44"/>
      <c r="K976" s="44"/>
      <c r="L976" s="44"/>
      <c r="M976" s="44" t="str">
        <f t="shared" si="1"/>
        <v>#DIV/0!</v>
      </c>
      <c r="N976" s="44" t="str">
        <f t="shared" si="2"/>
        <v>#DIV/0!</v>
      </c>
      <c r="O976" s="44" t="str">
        <f t="shared" si="4"/>
        <v/>
      </c>
      <c r="P976" s="44" t="str">
        <f t="shared" si="3"/>
        <v>#DIV/0!</v>
      </c>
      <c r="Q976" s="44"/>
    </row>
    <row r="977">
      <c r="A977" s="38" t="s">
        <v>3496</v>
      </c>
      <c r="B977" s="39" t="s">
        <v>3497</v>
      </c>
      <c r="C977" s="45" t="s">
        <v>2695</v>
      </c>
      <c r="D977" s="41" t="s">
        <v>2696</v>
      </c>
      <c r="E977" s="51"/>
      <c r="F977" s="51"/>
      <c r="G977" s="51"/>
      <c r="H977" s="44"/>
      <c r="I977" s="44"/>
      <c r="J977" s="44"/>
      <c r="K977" s="44"/>
      <c r="L977" s="44"/>
      <c r="M977" s="44" t="str">
        <f t="shared" si="1"/>
        <v>#DIV/0!</v>
      </c>
      <c r="N977" s="44" t="str">
        <f t="shared" si="2"/>
        <v>#DIV/0!</v>
      </c>
      <c r="O977" s="44" t="str">
        <f t="shared" si="4"/>
        <v/>
      </c>
      <c r="P977" s="44" t="str">
        <f t="shared" si="3"/>
        <v>#DIV/0!</v>
      </c>
      <c r="Q977" s="44"/>
    </row>
    <row r="978">
      <c r="A978" s="38" t="s">
        <v>3498</v>
      </c>
      <c r="B978" s="39" t="s">
        <v>3499</v>
      </c>
      <c r="C978" s="40" t="s">
        <v>3500</v>
      </c>
      <c r="D978" s="41" t="s">
        <v>3501</v>
      </c>
      <c r="E978" s="51"/>
      <c r="F978" s="51"/>
      <c r="G978" s="51"/>
      <c r="H978" s="44"/>
      <c r="I978" s="44"/>
      <c r="J978" s="44"/>
      <c r="K978" s="44"/>
      <c r="L978" s="44"/>
      <c r="M978" s="44" t="str">
        <f t="shared" si="1"/>
        <v>#DIV/0!</v>
      </c>
      <c r="N978" s="44" t="str">
        <f t="shared" si="2"/>
        <v>#DIV/0!</v>
      </c>
      <c r="O978" s="44" t="str">
        <f t="shared" si="4"/>
        <v/>
      </c>
      <c r="P978" s="44" t="str">
        <f t="shared" si="3"/>
        <v>#DIV/0!</v>
      </c>
      <c r="Q978" s="44"/>
    </row>
    <row r="979">
      <c r="A979" s="38" t="s">
        <v>3502</v>
      </c>
      <c r="B979" s="39" t="s">
        <v>3503</v>
      </c>
      <c r="C979" s="40" t="s">
        <v>1059</v>
      </c>
      <c r="D979" s="42" t="s">
        <v>864</v>
      </c>
      <c r="E979" s="51"/>
      <c r="F979" s="51"/>
      <c r="G979" s="51"/>
      <c r="H979" s="44"/>
      <c r="I979" s="44"/>
      <c r="J979" s="44"/>
      <c r="K979" s="44"/>
      <c r="L979" s="44"/>
      <c r="M979" s="44" t="str">
        <f t="shared" si="1"/>
        <v>#DIV/0!</v>
      </c>
      <c r="N979" s="44" t="str">
        <f t="shared" si="2"/>
        <v>#DIV/0!</v>
      </c>
      <c r="O979" s="44" t="str">
        <f t="shared" si="4"/>
        <v/>
      </c>
      <c r="P979" s="44" t="str">
        <f t="shared" si="3"/>
        <v>#DIV/0!</v>
      </c>
      <c r="Q979" s="44"/>
    </row>
    <row r="980">
      <c r="A980" s="38" t="s">
        <v>3504</v>
      </c>
      <c r="B980" s="39" t="s">
        <v>3505</v>
      </c>
      <c r="C980" s="40" t="s">
        <v>3506</v>
      </c>
      <c r="D980" s="42" t="s">
        <v>5419</v>
      </c>
      <c r="E980" s="51"/>
      <c r="F980" s="51"/>
      <c r="G980" s="51"/>
      <c r="H980" s="44"/>
      <c r="I980" s="44"/>
      <c r="J980" s="44"/>
      <c r="K980" s="44"/>
      <c r="L980" s="44"/>
      <c r="M980" s="44" t="str">
        <f t="shared" si="1"/>
        <v>#DIV/0!</v>
      </c>
      <c r="N980" s="44" t="str">
        <f t="shared" si="2"/>
        <v>#DIV/0!</v>
      </c>
      <c r="O980" s="44" t="str">
        <f t="shared" si="4"/>
        <v/>
      </c>
      <c r="P980" s="44" t="str">
        <f t="shared" si="3"/>
        <v>#DIV/0!</v>
      </c>
      <c r="Q980" s="44"/>
    </row>
    <row r="981">
      <c r="A981" s="38" t="s">
        <v>3508</v>
      </c>
      <c r="B981" s="39" t="s">
        <v>3509</v>
      </c>
      <c r="C981" s="40" t="s">
        <v>5420</v>
      </c>
      <c r="D981" s="41" t="s">
        <v>5421</v>
      </c>
      <c r="E981" s="51"/>
      <c r="F981" s="51"/>
      <c r="G981" s="51"/>
      <c r="H981" s="44"/>
      <c r="I981" s="44"/>
      <c r="J981" s="44"/>
      <c r="K981" s="44"/>
      <c r="L981" s="44"/>
      <c r="M981" s="44" t="str">
        <f t="shared" si="1"/>
        <v>#DIV/0!</v>
      </c>
      <c r="N981" s="44" t="str">
        <f t="shared" si="2"/>
        <v>#DIV/0!</v>
      </c>
      <c r="O981" s="44" t="str">
        <f t="shared" si="4"/>
        <v/>
      </c>
      <c r="P981" s="44" t="str">
        <f t="shared" si="3"/>
        <v>#DIV/0!</v>
      </c>
      <c r="Q981" s="44"/>
    </row>
    <row r="982">
      <c r="A982" s="38" t="s">
        <v>3511</v>
      </c>
      <c r="B982" s="39" t="s">
        <v>3512</v>
      </c>
      <c r="C982" s="40" t="s">
        <v>3513</v>
      </c>
      <c r="D982" s="41" t="s">
        <v>740</v>
      </c>
      <c r="E982" s="51"/>
      <c r="F982" s="51"/>
      <c r="G982" s="51"/>
      <c r="H982" s="44"/>
      <c r="I982" s="44"/>
      <c r="J982" s="44"/>
      <c r="K982" s="44"/>
      <c r="L982" s="44"/>
      <c r="M982" s="44" t="str">
        <f t="shared" si="1"/>
        <v>#DIV/0!</v>
      </c>
      <c r="N982" s="44" t="str">
        <f t="shared" si="2"/>
        <v>#DIV/0!</v>
      </c>
      <c r="O982" s="44" t="str">
        <f t="shared" si="4"/>
        <v/>
      </c>
      <c r="P982" s="44" t="str">
        <f t="shared" si="3"/>
        <v>#DIV/0!</v>
      </c>
      <c r="Q982" s="44"/>
    </row>
    <row r="983">
      <c r="A983" s="38" t="s">
        <v>3514</v>
      </c>
      <c r="B983" s="39" t="s">
        <v>3515</v>
      </c>
      <c r="C983" s="40" t="s">
        <v>3516</v>
      </c>
      <c r="D983" s="41" t="s">
        <v>3517</v>
      </c>
      <c r="E983" s="51"/>
      <c r="F983" s="51"/>
      <c r="G983" s="51"/>
      <c r="H983" s="44"/>
      <c r="I983" s="44"/>
      <c r="J983" s="44"/>
      <c r="K983" s="44"/>
      <c r="L983" s="44"/>
      <c r="M983" s="44" t="str">
        <f t="shared" si="1"/>
        <v>#DIV/0!</v>
      </c>
      <c r="N983" s="44" t="str">
        <f t="shared" si="2"/>
        <v>#DIV/0!</v>
      </c>
      <c r="O983" s="44" t="str">
        <f t="shared" si="4"/>
        <v/>
      </c>
      <c r="P983" s="44" t="str">
        <f t="shared" si="3"/>
        <v>#DIV/0!</v>
      </c>
      <c r="Q983" s="44"/>
    </row>
    <row r="984">
      <c r="A984" s="38" t="s">
        <v>3518</v>
      </c>
      <c r="B984" s="39" t="s">
        <v>3519</v>
      </c>
      <c r="C984" s="40" t="s">
        <v>3520</v>
      </c>
      <c r="D984" s="42" t="s">
        <v>5422</v>
      </c>
      <c r="E984" s="51"/>
      <c r="F984" s="51"/>
      <c r="G984" s="51"/>
      <c r="H984" s="44"/>
      <c r="I984" s="44"/>
      <c r="J984" s="44"/>
      <c r="K984" s="44"/>
      <c r="L984" s="44"/>
      <c r="M984" s="44" t="str">
        <f t="shared" si="1"/>
        <v>#DIV/0!</v>
      </c>
      <c r="N984" s="44" t="str">
        <f t="shared" si="2"/>
        <v>#DIV/0!</v>
      </c>
      <c r="O984" s="44" t="str">
        <f t="shared" si="4"/>
        <v/>
      </c>
      <c r="P984" s="44" t="str">
        <f t="shared" si="3"/>
        <v>#DIV/0!</v>
      </c>
      <c r="Q984" s="44"/>
    </row>
    <row r="985">
      <c r="A985" s="38" t="s">
        <v>3522</v>
      </c>
      <c r="B985" s="39" t="s">
        <v>3523</v>
      </c>
      <c r="C985" s="40" t="s">
        <v>3524</v>
      </c>
      <c r="D985" s="42" t="s">
        <v>864</v>
      </c>
      <c r="E985" s="51"/>
      <c r="F985" s="51"/>
      <c r="G985" s="51"/>
      <c r="H985" s="44"/>
      <c r="I985" s="44"/>
      <c r="J985" s="44"/>
      <c r="K985" s="44"/>
      <c r="L985" s="44"/>
      <c r="M985" s="44" t="str">
        <f t="shared" si="1"/>
        <v>#DIV/0!</v>
      </c>
      <c r="N985" s="44" t="str">
        <f t="shared" si="2"/>
        <v>#DIV/0!</v>
      </c>
      <c r="O985" s="44" t="str">
        <f t="shared" si="4"/>
        <v/>
      </c>
      <c r="P985" s="44" t="str">
        <f t="shared" si="3"/>
        <v>#DIV/0!</v>
      </c>
      <c r="Q985" s="44"/>
    </row>
    <row r="986">
      <c r="A986" s="38" t="s">
        <v>3525</v>
      </c>
      <c r="B986" s="39" t="s">
        <v>3526</v>
      </c>
      <c r="C986" s="40" t="s">
        <v>3527</v>
      </c>
      <c r="D986" s="41" t="s">
        <v>482</v>
      </c>
      <c r="E986" s="51"/>
      <c r="F986" s="51"/>
      <c r="G986" s="51"/>
      <c r="H986" s="44"/>
      <c r="I986" s="44"/>
      <c r="J986" s="44"/>
      <c r="K986" s="44"/>
      <c r="L986" s="44"/>
      <c r="M986" s="44" t="str">
        <f t="shared" si="1"/>
        <v>#DIV/0!</v>
      </c>
      <c r="N986" s="44" t="str">
        <f t="shared" si="2"/>
        <v>#DIV/0!</v>
      </c>
      <c r="O986" s="44" t="str">
        <f t="shared" si="4"/>
        <v/>
      </c>
      <c r="P986" s="44" t="str">
        <f t="shared" si="3"/>
        <v>#DIV/0!</v>
      </c>
      <c r="Q986" s="44"/>
    </row>
    <row r="987">
      <c r="A987" s="38" t="s">
        <v>3528</v>
      </c>
      <c r="B987" s="39" t="s">
        <v>3529</v>
      </c>
      <c r="C987" s="40" t="s">
        <v>3530</v>
      </c>
      <c r="D987" s="41" t="s">
        <v>3531</v>
      </c>
      <c r="E987" s="51"/>
      <c r="F987" s="51"/>
      <c r="G987" s="51"/>
      <c r="H987" s="44"/>
      <c r="I987" s="44"/>
      <c r="J987" s="44"/>
      <c r="K987" s="44"/>
      <c r="L987" s="44"/>
      <c r="M987" s="44" t="str">
        <f t="shared" si="1"/>
        <v>#DIV/0!</v>
      </c>
      <c r="N987" s="44" t="str">
        <f t="shared" si="2"/>
        <v>#DIV/0!</v>
      </c>
      <c r="O987" s="44" t="str">
        <f t="shared" si="4"/>
        <v/>
      </c>
      <c r="P987" s="44" t="str">
        <f t="shared" si="3"/>
        <v>#DIV/0!</v>
      </c>
      <c r="Q987" s="44"/>
    </row>
    <row r="988">
      <c r="A988" s="38" t="s">
        <v>3532</v>
      </c>
      <c r="B988" s="39" t="s">
        <v>3533</v>
      </c>
      <c r="C988" s="40" t="s">
        <v>172</v>
      </c>
      <c r="D988" s="41" t="s">
        <v>173</v>
      </c>
      <c r="E988" s="51"/>
      <c r="F988" s="51"/>
      <c r="G988" s="51"/>
      <c r="H988" s="44"/>
      <c r="I988" s="44"/>
      <c r="J988" s="44"/>
      <c r="K988" s="44"/>
      <c r="L988" s="44"/>
      <c r="M988" s="44" t="str">
        <f t="shared" si="1"/>
        <v>#DIV/0!</v>
      </c>
      <c r="N988" s="44" t="str">
        <f t="shared" si="2"/>
        <v>#DIV/0!</v>
      </c>
      <c r="O988" s="44" t="str">
        <f t="shared" si="4"/>
        <v/>
      </c>
      <c r="P988" s="44" t="str">
        <f t="shared" si="3"/>
        <v>#DIV/0!</v>
      </c>
      <c r="Q988" s="44"/>
    </row>
    <row r="989">
      <c r="A989" s="38" t="s">
        <v>3534</v>
      </c>
      <c r="B989" s="39" t="s">
        <v>3535</v>
      </c>
      <c r="C989" s="40" t="s">
        <v>3536</v>
      </c>
      <c r="D989" s="41" t="s">
        <v>3537</v>
      </c>
      <c r="E989" s="51"/>
      <c r="F989" s="51"/>
      <c r="G989" s="51"/>
      <c r="H989" s="44"/>
      <c r="I989" s="44"/>
      <c r="J989" s="44"/>
      <c r="K989" s="44"/>
      <c r="L989" s="44"/>
      <c r="M989" s="44" t="str">
        <f t="shared" si="1"/>
        <v>#DIV/0!</v>
      </c>
      <c r="N989" s="44" t="str">
        <f t="shared" si="2"/>
        <v>#DIV/0!</v>
      </c>
      <c r="O989" s="44" t="str">
        <f t="shared" si="4"/>
        <v/>
      </c>
      <c r="P989" s="44" t="str">
        <f t="shared" si="3"/>
        <v>#DIV/0!</v>
      </c>
      <c r="Q989" s="44"/>
    </row>
    <row r="990">
      <c r="A990" s="38" t="s">
        <v>3538</v>
      </c>
      <c r="B990" s="39" t="s">
        <v>3539</v>
      </c>
      <c r="C990" s="40" t="s">
        <v>1532</v>
      </c>
      <c r="D990" s="41" t="s">
        <v>1533</v>
      </c>
      <c r="E990" s="51"/>
      <c r="F990" s="51"/>
      <c r="G990" s="51"/>
      <c r="H990" s="44"/>
      <c r="I990" s="44"/>
      <c r="J990" s="44"/>
      <c r="K990" s="44"/>
      <c r="L990" s="44"/>
      <c r="M990" s="44" t="str">
        <f t="shared" si="1"/>
        <v>#DIV/0!</v>
      </c>
      <c r="N990" s="44" t="str">
        <f t="shared" si="2"/>
        <v>#DIV/0!</v>
      </c>
      <c r="O990" s="44" t="str">
        <f t="shared" si="4"/>
        <v/>
      </c>
      <c r="P990" s="44" t="str">
        <f t="shared" si="3"/>
        <v>#DIV/0!</v>
      </c>
      <c r="Q990" s="44"/>
    </row>
    <row r="991">
      <c r="A991" s="38" t="s">
        <v>3540</v>
      </c>
      <c r="B991" s="39" t="s">
        <v>3541</v>
      </c>
      <c r="C991" s="40" t="s">
        <v>4875</v>
      </c>
      <c r="D991" s="41" t="s">
        <v>4876</v>
      </c>
      <c r="E991" s="51"/>
      <c r="F991" s="51"/>
      <c r="G991" s="51"/>
      <c r="H991" s="44"/>
      <c r="I991" s="44"/>
      <c r="J991" s="44"/>
      <c r="K991" s="44"/>
      <c r="L991" s="44"/>
      <c r="M991" s="44" t="str">
        <f t="shared" si="1"/>
        <v>#DIV/0!</v>
      </c>
      <c r="N991" s="44" t="str">
        <f t="shared" si="2"/>
        <v>#DIV/0!</v>
      </c>
      <c r="O991" s="44" t="str">
        <f t="shared" si="4"/>
        <v/>
      </c>
      <c r="P991" s="44" t="str">
        <f t="shared" si="3"/>
        <v>#DIV/0!</v>
      </c>
      <c r="Q991" s="44"/>
    </row>
    <row r="992">
      <c r="A992" s="38" t="s">
        <v>3542</v>
      </c>
      <c r="B992" s="39" t="s">
        <v>3543</v>
      </c>
      <c r="C992" s="40" t="s">
        <v>172</v>
      </c>
      <c r="D992" s="41" t="s">
        <v>173</v>
      </c>
      <c r="E992" s="51"/>
      <c r="F992" s="51"/>
      <c r="G992" s="51"/>
      <c r="H992" s="44"/>
      <c r="I992" s="44"/>
      <c r="J992" s="44"/>
      <c r="K992" s="44"/>
      <c r="L992" s="44"/>
      <c r="M992" s="44" t="str">
        <f t="shared" si="1"/>
        <v>#DIV/0!</v>
      </c>
      <c r="N992" s="44" t="str">
        <f t="shared" si="2"/>
        <v>#DIV/0!</v>
      </c>
      <c r="O992" s="44" t="str">
        <f t="shared" si="4"/>
        <v/>
      </c>
      <c r="P992" s="44" t="str">
        <f t="shared" si="3"/>
        <v>#DIV/0!</v>
      </c>
      <c r="Q992" s="44"/>
    </row>
    <row r="993">
      <c r="A993" s="38" t="s">
        <v>3545</v>
      </c>
      <c r="B993" s="39" t="s">
        <v>3546</v>
      </c>
      <c r="C993" s="40" t="s">
        <v>3547</v>
      </c>
      <c r="D993" s="41" t="s">
        <v>3548</v>
      </c>
      <c r="E993" s="51"/>
      <c r="F993" s="51"/>
      <c r="G993" s="51"/>
      <c r="H993" s="44"/>
      <c r="I993" s="44"/>
      <c r="J993" s="44"/>
      <c r="K993" s="44"/>
      <c r="L993" s="44"/>
      <c r="M993" s="44" t="str">
        <f t="shared" si="1"/>
        <v>#DIV/0!</v>
      </c>
      <c r="N993" s="44" t="str">
        <f t="shared" si="2"/>
        <v>#DIV/0!</v>
      </c>
      <c r="O993" s="44" t="str">
        <f t="shared" si="4"/>
        <v/>
      </c>
      <c r="P993" s="44" t="str">
        <f t="shared" si="3"/>
        <v>#DIV/0!</v>
      </c>
      <c r="Q993" s="44"/>
    </row>
    <row r="994">
      <c r="A994" s="38" t="s">
        <v>3549</v>
      </c>
      <c r="B994" s="39" t="s">
        <v>3550</v>
      </c>
      <c r="C994" s="40" t="s">
        <v>3551</v>
      </c>
      <c r="D994" s="41" t="s">
        <v>3552</v>
      </c>
      <c r="E994" s="51"/>
      <c r="F994" s="51"/>
      <c r="G994" s="51"/>
      <c r="H994" s="44"/>
      <c r="I994" s="44"/>
      <c r="J994" s="44"/>
      <c r="K994" s="44"/>
      <c r="L994" s="44"/>
      <c r="M994" s="44" t="str">
        <f t="shared" si="1"/>
        <v>#DIV/0!</v>
      </c>
      <c r="N994" s="44" t="str">
        <f t="shared" si="2"/>
        <v>#DIV/0!</v>
      </c>
      <c r="O994" s="44" t="str">
        <f t="shared" si="4"/>
        <v/>
      </c>
      <c r="P994" s="44" t="str">
        <f t="shared" si="3"/>
        <v>#DIV/0!</v>
      </c>
      <c r="Q994" s="44"/>
    </row>
    <row r="995">
      <c r="A995" s="38" t="s">
        <v>3553</v>
      </c>
      <c r="B995" s="39" t="s">
        <v>3554</v>
      </c>
      <c r="C995" s="40" t="s">
        <v>577</v>
      </c>
      <c r="D995" s="41" t="s">
        <v>296</v>
      </c>
      <c r="E995" s="51"/>
      <c r="F995" s="51"/>
      <c r="G995" s="51"/>
      <c r="H995" s="44"/>
      <c r="I995" s="44"/>
      <c r="J995" s="44"/>
      <c r="K995" s="44"/>
      <c r="L995" s="44"/>
      <c r="M995" s="44" t="str">
        <f t="shared" si="1"/>
        <v>#DIV/0!</v>
      </c>
      <c r="N995" s="44" t="str">
        <f t="shared" si="2"/>
        <v>#DIV/0!</v>
      </c>
      <c r="O995" s="44" t="str">
        <f t="shared" si="4"/>
        <v/>
      </c>
      <c r="P995" s="44" t="str">
        <f t="shared" si="3"/>
        <v>#DIV/0!</v>
      </c>
      <c r="Q995" s="44"/>
    </row>
    <row r="996">
      <c r="A996" s="38" t="s">
        <v>3555</v>
      </c>
      <c r="B996" s="39" t="s">
        <v>3556</v>
      </c>
      <c r="C996" s="40" t="s">
        <v>3557</v>
      </c>
      <c r="D996" s="42" t="s">
        <v>5423</v>
      </c>
      <c r="E996" s="51"/>
      <c r="F996" s="51"/>
      <c r="G996" s="51"/>
      <c r="H996" s="44"/>
      <c r="I996" s="44"/>
      <c r="J996" s="44"/>
      <c r="K996" s="44"/>
      <c r="L996" s="44"/>
      <c r="M996" s="44" t="str">
        <f t="shared" si="1"/>
        <v>#DIV/0!</v>
      </c>
      <c r="N996" s="44" t="str">
        <f t="shared" si="2"/>
        <v>#DIV/0!</v>
      </c>
      <c r="O996" s="44" t="str">
        <f t="shared" si="4"/>
        <v/>
      </c>
      <c r="P996" s="44" t="str">
        <f t="shared" si="3"/>
        <v>#DIV/0!</v>
      </c>
      <c r="Q996" s="44"/>
    </row>
    <row r="997">
      <c r="A997" s="38" t="s">
        <v>3559</v>
      </c>
      <c r="B997" s="39" t="s">
        <v>3560</v>
      </c>
      <c r="C997" s="40" t="s">
        <v>1013</v>
      </c>
      <c r="D997" s="41" t="s">
        <v>1014</v>
      </c>
      <c r="E997" s="51"/>
      <c r="F997" s="51"/>
      <c r="G997" s="51"/>
      <c r="H997" s="44"/>
      <c r="I997" s="44"/>
      <c r="J997" s="44"/>
      <c r="K997" s="44"/>
      <c r="L997" s="44"/>
      <c r="M997" s="44" t="str">
        <f t="shared" si="1"/>
        <v>#DIV/0!</v>
      </c>
      <c r="N997" s="44" t="str">
        <f t="shared" si="2"/>
        <v>#DIV/0!</v>
      </c>
      <c r="O997" s="44" t="str">
        <f t="shared" si="4"/>
        <v/>
      </c>
      <c r="P997" s="44" t="str">
        <f t="shared" si="3"/>
        <v>#DIV/0!</v>
      </c>
      <c r="Q997" s="44"/>
    </row>
    <row r="998">
      <c r="A998" s="38" t="s">
        <v>3561</v>
      </c>
      <c r="B998" s="39" t="s">
        <v>3562</v>
      </c>
      <c r="C998" s="40" t="s">
        <v>565</v>
      </c>
      <c r="D998" s="41" t="s">
        <v>566</v>
      </c>
      <c r="E998" s="51"/>
      <c r="F998" s="51"/>
      <c r="G998" s="51"/>
      <c r="H998" s="44"/>
      <c r="I998" s="44"/>
      <c r="J998" s="44"/>
      <c r="K998" s="44"/>
      <c r="L998" s="44"/>
      <c r="M998" s="44" t="str">
        <f t="shared" si="1"/>
        <v>#DIV/0!</v>
      </c>
      <c r="N998" s="44" t="str">
        <f t="shared" si="2"/>
        <v>#DIV/0!</v>
      </c>
      <c r="O998" s="44" t="str">
        <f t="shared" si="4"/>
        <v/>
      </c>
      <c r="P998" s="44" t="str">
        <f t="shared" si="3"/>
        <v>#DIV/0!</v>
      </c>
      <c r="Q998" s="44"/>
    </row>
    <row r="999">
      <c r="A999" s="38" t="s">
        <v>3564</v>
      </c>
      <c r="B999" s="39" t="s">
        <v>3565</v>
      </c>
      <c r="C999" s="40" t="s">
        <v>3566</v>
      </c>
      <c r="D999" s="42" t="s">
        <v>5424</v>
      </c>
      <c r="E999" s="51"/>
      <c r="F999" s="51"/>
      <c r="G999" s="51"/>
      <c r="H999" s="44"/>
      <c r="I999" s="44"/>
      <c r="J999" s="44"/>
      <c r="K999" s="44"/>
      <c r="L999" s="44"/>
      <c r="M999" s="44" t="str">
        <f t="shared" si="1"/>
        <v>#DIV/0!</v>
      </c>
      <c r="N999" s="44" t="str">
        <f t="shared" si="2"/>
        <v>#DIV/0!</v>
      </c>
      <c r="O999" s="44" t="str">
        <f t="shared" si="4"/>
        <v/>
      </c>
      <c r="P999" s="44" t="str">
        <f t="shared" si="3"/>
        <v>#DIV/0!</v>
      </c>
      <c r="Q999" s="44"/>
    </row>
    <row r="1000">
      <c r="A1000" s="38" t="s">
        <v>3568</v>
      </c>
      <c r="B1000" s="39" t="s">
        <v>3569</v>
      </c>
      <c r="C1000" s="40" t="s">
        <v>3570</v>
      </c>
      <c r="D1000" s="42" t="s">
        <v>3571</v>
      </c>
      <c r="E1000" s="51"/>
      <c r="F1000" s="51"/>
      <c r="G1000" s="51"/>
      <c r="H1000" s="44"/>
      <c r="I1000" s="44"/>
      <c r="J1000" s="44"/>
      <c r="K1000" s="44"/>
      <c r="L1000" s="44"/>
      <c r="M1000" s="44" t="str">
        <f t="shared" si="1"/>
        <v>#DIV/0!</v>
      </c>
      <c r="N1000" s="44" t="str">
        <f t="shared" si="2"/>
        <v>#DIV/0!</v>
      </c>
      <c r="O1000" s="44" t="str">
        <f t="shared" si="4"/>
        <v/>
      </c>
      <c r="P1000" s="44" t="str">
        <f t="shared" si="3"/>
        <v>#DIV/0!</v>
      </c>
      <c r="Q1000" s="44"/>
    </row>
    <row r="1001">
      <c r="A1001" s="38" t="s">
        <v>3572</v>
      </c>
      <c r="B1001" s="39" t="s">
        <v>3573</v>
      </c>
      <c r="C1001" s="40" t="s">
        <v>5425</v>
      </c>
      <c r="D1001" s="41" t="s">
        <v>3575</v>
      </c>
      <c r="E1001" s="51"/>
      <c r="F1001" s="51"/>
      <c r="G1001" s="51"/>
      <c r="H1001" s="44"/>
      <c r="I1001" s="44"/>
      <c r="J1001" s="44"/>
      <c r="K1001" s="44"/>
      <c r="L1001" s="44"/>
      <c r="M1001" s="44" t="str">
        <f t="shared" si="1"/>
        <v>#DIV/0!</v>
      </c>
      <c r="N1001" s="44" t="str">
        <f t="shared" si="2"/>
        <v>#DIV/0!</v>
      </c>
      <c r="O1001" s="44" t="str">
        <f t="shared" si="4"/>
        <v/>
      </c>
      <c r="P1001" s="44" t="str">
        <f t="shared" si="3"/>
        <v>#DIV/0!</v>
      </c>
      <c r="Q1001" s="44"/>
    </row>
    <row r="1002">
      <c r="A1002" s="54"/>
      <c r="B1002" s="54"/>
      <c r="C1002" s="55"/>
      <c r="D1002" s="51"/>
      <c r="E1002" s="51"/>
      <c r="F1002" s="51"/>
      <c r="G1002" s="51"/>
      <c r="H1002" s="44"/>
      <c r="I1002" s="44"/>
      <c r="J1002" s="44"/>
      <c r="K1002" s="44"/>
      <c r="L1002" s="44"/>
      <c r="M1002" s="44" t="str">
        <f t="shared" si="1"/>
        <v>#DIV/0!</v>
      </c>
      <c r="N1002" s="44" t="str">
        <f t="shared" si="2"/>
        <v>#DIV/0!</v>
      </c>
      <c r="O1002" s="44" t="str">
        <f t="shared" si="4"/>
        <v/>
      </c>
      <c r="P1002" s="44" t="str">
        <f t="shared" si="3"/>
        <v>#DIV/0!</v>
      </c>
      <c r="Q1002" s="44"/>
    </row>
    <row r="1003">
      <c r="A1003" s="54"/>
      <c r="B1003" s="54"/>
      <c r="C1003" s="55"/>
      <c r="D1003" s="51"/>
      <c r="E1003" s="51"/>
      <c r="F1003" s="51"/>
      <c r="G1003" s="51"/>
      <c r="H1003" s="44"/>
      <c r="I1003" s="44"/>
      <c r="J1003" s="44"/>
      <c r="K1003" s="44"/>
      <c r="L1003" s="44"/>
      <c r="M1003" s="44" t="str">
        <f t="shared" si="1"/>
        <v>#DIV/0!</v>
      </c>
      <c r="N1003" s="44" t="str">
        <f t="shared" si="2"/>
        <v>#DIV/0!</v>
      </c>
      <c r="O1003" s="44" t="str">
        <f t="shared" si="4"/>
        <v/>
      </c>
      <c r="P1003" s="44" t="str">
        <f t="shared" si="3"/>
        <v>#DIV/0!</v>
      </c>
      <c r="Q1003" s="44"/>
    </row>
  </sheetData>
  <autoFilter ref="$G$1:$G$1003"/>
  <hyperlinks>
    <hyperlink r:id="rId1" ref="B2"/>
    <hyperlink r:id="rId2" ref="D2"/>
    <hyperlink r:id="rId3" ref="B3"/>
    <hyperlink r:id="rId4" ref="B4"/>
    <hyperlink r:id="rId5" ref="B5"/>
    <hyperlink r:id="rId6" ref="B6"/>
    <hyperlink r:id="rId7" ref="D6"/>
    <hyperlink r:id="rId8" ref="B7"/>
    <hyperlink r:id="rId9" ref="D7"/>
    <hyperlink r:id="rId10" ref="B8"/>
    <hyperlink r:id="rId11" ref="D8"/>
    <hyperlink r:id="rId12" ref="B9"/>
    <hyperlink r:id="rId13" ref="B10"/>
    <hyperlink r:id="rId14" ref="D10"/>
    <hyperlink r:id="rId15" ref="B11"/>
    <hyperlink r:id="rId16" ref="B12"/>
    <hyperlink r:id="rId17" ref="B13"/>
    <hyperlink r:id="rId18" ref="B14"/>
    <hyperlink r:id="rId19" ref="D14"/>
    <hyperlink r:id="rId20" ref="B15"/>
    <hyperlink r:id="rId21" ref="D15"/>
    <hyperlink r:id="rId22" ref="B16"/>
    <hyperlink r:id="rId23" ref="D16"/>
    <hyperlink r:id="rId24" ref="B17"/>
    <hyperlink r:id="rId25" ref="B18"/>
    <hyperlink r:id="rId26" ref="B19"/>
    <hyperlink r:id="rId27" ref="B20"/>
    <hyperlink r:id="rId28" ref="D20"/>
    <hyperlink r:id="rId29" ref="B21"/>
    <hyperlink r:id="rId30" ref="B22"/>
    <hyperlink r:id="rId31" ref="B23"/>
    <hyperlink r:id="rId32" ref="B24"/>
    <hyperlink r:id="rId33" ref="D24"/>
    <hyperlink r:id="rId34" ref="B25"/>
    <hyperlink r:id="rId35" ref="D25"/>
    <hyperlink r:id="rId36" ref="B26"/>
    <hyperlink r:id="rId37" ref="D26"/>
    <hyperlink r:id="rId38" ref="B27"/>
    <hyperlink r:id="rId39" ref="B28"/>
    <hyperlink r:id="rId40" ref="B29"/>
    <hyperlink r:id="rId41" ref="B30"/>
    <hyperlink r:id="rId42" ref="D30"/>
    <hyperlink r:id="rId43" ref="B31"/>
    <hyperlink r:id="rId44" ref="D31"/>
    <hyperlink r:id="rId45" ref="B32"/>
    <hyperlink r:id="rId46" ref="D32"/>
    <hyperlink r:id="rId47" ref="B33"/>
    <hyperlink r:id="rId48" ref="D33"/>
    <hyperlink r:id="rId49" ref="B34"/>
    <hyperlink r:id="rId50" ref="B35"/>
    <hyperlink r:id="rId51" ref="D35"/>
    <hyperlink r:id="rId52" ref="B36"/>
    <hyperlink r:id="rId53" ref="B37"/>
    <hyperlink r:id="rId54" ref="D37"/>
    <hyperlink r:id="rId55" ref="B38"/>
    <hyperlink r:id="rId56" ref="D38"/>
    <hyperlink r:id="rId57" ref="B39"/>
    <hyperlink r:id="rId58" ref="D39"/>
    <hyperlink r:id="rId59" ref="B40"/>
    <hyperlink r:id="rId60" ref="D40"/>
    <hyperlink r:id="rId61" ref="B41"/>
    <hyperlink r:id="rId62" ref="B42"/>
    <hyperlink r:id="rId63" ref="D42"/>
    <hyperlink r:id="rId64" ref="B43"/>
    <hyperlink r:id="rId65" ref="B44"/>
    <hyperlink r:id="rId66" ref="D44"/>
    <hyperlink r:id="rId67" ref="B45"/>
    <hyperlink r:id="rId68" ref="B46"/>
    <hyperlink r:id="rId69" ref="D46"/>
    <hyperlink r:id="rId70" ref="B47"/>
    <hyperlink r:id="rId71" ref="D47"/>
    <hyperlink r:id="rId72" ref="B48"/>
    <hyperlink r:id="rId73" ref="B49"/>
    <hyperlink r:id="rId74" ref="B50"/>
    <hyperlink r:id="rId75" ref="D50"/>
    <hyperlink r:id="rId76" ref="B51"/>
    <hyperlink r:id="rId77" ref="B52"/>
    <hyperlink r:id="rId78" ref="B53"/>
    <hyperlink r:id="rId79" ref="D53"/>
    <hyperlink r:id="rId80" ref="B54"/>
    <hyperlink r:id="rId81" ref="B55"/>
    <hyperlink r:id="rId82" ref="B56"/>
    <hyperlink r:id="rId83" ref="D56"/>
    <hyperlink r:id="rId84" ref="B57"/>
    <hyperlink r:id="rId85" ref="D57"/>
    <hyperlink r:id="rId86" ref="B58"/>
    <hyperlink r:id="rId87" ref="B59"/>
    <hyperlink r:id="rId88" ref="D59"/>
    <hyperlink r:id="rId89" ref="B60"/>
    <hyperlink r:id="rId90" ref="B61"/>
    <hyperlink r:id="rId91" ref="B62"/>
    <hyperlink r:id="rId92" ref="D62"/>
    <hyperlink r:id="rId93" ref="B63"/>
    <hyperlink r:id="rId94" ref="B64"/>
    <hyperlink r:id="rId95" ref="D64"/>
    <hyperlink r:id="rId96" ref="B65"/>
    <hyperlink r:id="rId97" ref="B66"/>
    <hyperlink r:id="rId98" ref="D66"/>
    <hyperlink r:id="rId99" ref="B67"/>
    <hyperlink r:id="rId100" ref="B68"/>
    <hyperlink r:id="rId101" ref="D68"/>
    <hyperlink r:id="rId102" ref="B69"/>
    <hyperlink r:id="rId103" ref="B70"/>
    <hyperlink r:id="rId104" ref="D70"/>
    <hyperlink r:id="rId105" ref="B71"/>
    <hyperlink r:id="rId106" ref="D71"/>
    <hyperlink r:id="rId107" ref="B72"/>
    <hyperlink r:id="rId108" ref="D72"/>
    <hyperlink r:id="rId109" ref="B73"/>
    <hyperlink r:id="rId110" ref="D73"/>
    <hyperlink r:id="rId111" ref="B74"/>
    <hyperlink r:id="rId112" ref="D74"/>
    <hyperlink r:id="rId113" ref="B75"/>
    <hyperlink r:id="rId114" ref="B76"/>
    <hyperlink r:id="rId115" ref="B77"/>
    <hyperlink r:id="rId116" ref="D77"/>
    <hyperlink r:id="rId117" ref="B78"/>
    <hyperlink r:id="rId118" ref="B79"/>
    <hyperlink r:id="rId119" ref="B80"/>
    <hyperlink r:id="rId120" ref="B81"/>
    <hyperlink r:id="rId121" ref="B82"/>
    <hyperlink r:id="rId122" ref="D82"/>
    <hyperlink r:id="rId123" ref="B83"/>
    <hyperlink r:id="rId124" ref="B84"/>
    <hyperlink r:id="rId125" ref="D84"/>
    <hyperlink r:id="rId126" ref="B85"/>
    <hyperlink r:id="rId127" ref="B86"/>
    <hyperlink r:id="rId128" ref="B87"/>
    <hyperlink r:id="rId129" ref="D87"/>
    <hyperlink r:id="rId130" ref="B88"/>
    <hyperlink r:id="rId131" ref="D88"/>
    <hyperlink r:id="rId132" ref="B89"/>
    <hyperlink r:id="rId133" ref="B90"/>
    <hyperlink r:id="rId134" ref="B91"/>
    <hyperlink r:id="rId135" ref="D91"/>
    <hyperlink r:id="rId136" ref="B92"/>
    <hyperlink r:id="rId137" ref="B93"/>
    <hyperlink r:id="rId138" ref="B94"/>
    <hyperlink r:id="rId139" ref="D94"/>
    <hyperlink r:id="rId140" ref="B95"/>
    <hyperlink r:id="rId141" ref="B96"/>
    <hyperlink r:id="rId142" ref="D96"/>
    <hyperlink r:id="rId143" ref="B97"/>
    <hyperlink r:id="rId144" ref="B98"/>
    <hyperlink r:id="rId145" ref="D98"/>
    <hyperlink r:id="rId146" ref="B99"/>
    <hyperlink r:id="rId147" ref="D99"/>
    <hyperlink r:id="rId148" ref="B100"/>
    <hyperlink r:id="rId149" ref="B101"/>
    <hyperlink r:id="rId150" ref="B102"/>
    <hyperlink r:id="rId151" ref="D102"/>
    <hyperlink r:id="rId152" ref="B103"/>
    <hyperlink r:id="rId153" ref="B104"/>
    <hyperlink r:id="rId154" ref="D104"/>
    <hyperlink r:id="rId155" ref="B105"/>
    <hyperlink r:id="rId156" ref="B106"/>
    <hyperlink r:id="rId157" ref="D106"/>
    <hyperlink r:id="rId158" ref="B107"/>
    <hyperlink r:id="rId159" ref="B108"/>
    <hyperlink r:id="rId160" ref="D108"/>
    <hyperlink r:id="rId161" ref="B109"/>
    <hyperlink r:id="rId162" ref="D109"/>
    <hyperlink r:id="rId163" ref="B110"/>
    <hyperlink r:id="rId164" ref="D110"/>
    <hyperlink r:id="rId165" ref="B111"/>
    <hyperlink r:id="rId166" ref="B112"/>
    <hyperlink r:id="rId167" ref="B113"/>
    <hyperlink r:id="rId168" ref="D113"/>
    <hyperlink r:id="rId169" ref="B114"/>
    <hyperlink r:id="rId170" ref="D114"/>
    <hyperlink r:id="rId171" ref="B115"/>
    <hyperlink r:id="rId172" ref="B116"/>
    <hyperlink r:id="rId173" ref="B117"/>
    <hyperlink r:id="rId174" ref="B118"/>
    <hyperlink r:id="rId175" ref="D118"/>
    <hyperlink r:id="rId176" ref="B119"/>
    <hyperlink r:id="rId177" ref="D119"/>
    <hyperlink r:id="rId178" ref="B120"/>
    <hyperlink r:id="rId179" ref="D120"/>
    <hyperlink r:id="rId180" ref="B121"/>
    <hyperlink r:id="rId181" ref="D121"/>
    <hyperlink r:id="rId182" ref="B122"/>
    <hyperlink r:id="rId183" ref="B123"/>
    <hyperlink r:id="rId184" ref="B124"/>
    <hyperlink r:id="rId185" ref="B125"/>
    <hyperlink r:id="rId186" ref="B126"/>
    <hyperlink r:id="rId187" ref="D126"/>
    <hyperlink r:id="rId188" ref="B127"/>
    <hyperlink r:id="rId189" ref="D127"/>
    <hyperlink r:id="rId190" ref="B128"/>
    <hyperlink r:id="rId191" ref="B129"/>
    <hyperlink r:id="rId192" ref="B130"/>
    <hyperlink r:id="rId193" ref="D130"/>
    <hyperlink r:id="rId194" ref="B131"/>
    <hyperlink r:id="rId195" ref="B132"/>
    <hyperlink r:id="rId196" ref="B133"/>
    <hyperlink r:id="rId197" ref="B134"/>
    <hyperlink r:id="rId198" ref="B135"/>
    <hyperlink r:id="rId199" ref="D135"/>
    <hyperlink r:id="rId200" ref="B136"/>
    <hyperlink r:id="rId201" ref="D136"/>
    <hyperlink r:id="rId202" ref="B137"/>
    <hyperlink r:id="rId203" ref="B138"/>
    <hyperlink r:id="rId204" ref="D138"/>
    <hyperlink r:id="rId205" ref="B139"/>
    <hyperlink r:id="rId206" ref="B140"/>
    <hyperlink r:id="rId207" ref="D140"/>
    <hyperlink r:id="rId208" ref="B141"/>
    <hyperlink r:id="rId209" ref="D141"/>
    <hyperlink r:id="rId210" ref="B142"/>
    <hyperlink r:id="rId211" ref="D142"/>
    <hyperlink r:id="rId212" ref="B143"/>
    <hyperlink r:id="rId213" ref="B144"/>
    <hyperlink r:id="rId214" ref="D144"/>
    <hyperlink r:id="rId215" ref="B145"/>
    <hyperlink r:id="rId216" ref="B146"/>
    <hyperlink r:id="rId217" ref="D146"/>
    <hyperlink r:id="rId218" ref="B147"/>
    <hyperlink r:id="rId219" ref="D147"/>
    <hyperlink r:id="rId220" ref="B148"/>
    <hyperlink r:id="rId221" ref="B149"/>
    <hyperlink r:id="rId222" ref="D149"/>
    <hyperlink r:id="rId223" ref="B150"/>
    <hyperlink r:id="rId224" ref="B151"/>
    <hyperlink r:id="rId225" ref="B152"/>
    <hyperlink r:id="rId226" ref="B153"/>
    <hyperlink r:id="rId227" ref="B154"/>
    <hyperlink r:id="rId228" ref="D154"/>
    <hyperlink r:id="rId229" ref="B155"/>
    <hyperlink r:id="rId230" ref="D155"/>
    <hyperlink r:id="rId231" ref="B156"/>
    <hyperlink r:id="rId232" ref="D156"/>
    <hyperlink r:id="rId233" ref="B157"/>
    <hyperlink r:id="rId234" ref="D157"/>
    <hyperlink r:id="rId235" ref="B158"/>
    <hyperlink r:id="rId236" ref="B159"/>
    <hyperlink r:id="rId237" ref="D159"/>
    <hyperlink r:id="rId238" ref="B160"/>
    <hyperlink r:id="rId239" ref="D160"/>
    <hyperlink r:id="rId240" ref="B161"/>
    <hyperlink r:id="rId241" ref="B162"/>
    <hyperlink r:id="rId242" ref="D162"/>
    <hyperlink r:id="rId243" ref="B163"/>
    <hyperlink r:id="rId244" ref="D163"/>
    <hyperlink r:id="rId245" ref="B164"/>
    <hyperlink r:id="rId246" ref="D164"/>
    <hyperlink r:id="rId247" ref="B165"/>
    <hyperlink r:id="rId248" ref="D165"/>
    <hyperlink r:id="rId249" ref="B166"/>
    <hyperlink r:id="rId250" ref="D166"/>
    <hyperlink r:id="rId251" ref="B167"/>
    <hyperlink r:id="rId252" ref="B168"/>
    <hyperlink r:id="rId253" ref="B169"/>
    <hyperlink r:id="rId254" ref="B170"/>
    <hyperlink r:id="rId255" ref="D170"/>
    <hyperlink r:id="rId256" ref="B171"/>
    <hyperlink r:id="rId257" ref="B172"/>
    <hyperlink r:id="rId258" ref="B173"/>
    <hyperlink r:id="rId259" ref="D173"/>
    <hyperlink r:id="rId260" ref="B174"/>
    <hyperlink r:id="rId261" ref="D174"/>
    <hyperlink r:id="rId262" ref="B175"/>
    <hyperlink r:id="rId263" ref="B176"/>
    <hyperlink r:id="rId264" ref="B177"/>
    <hyperlink r:id="rId265" ref="B178"/>
    <hyperlink r:id="rId266" ref="D178"/>
    <hyperlink r:id="rId267" ref="B179"/>
    <hyperlink r:id="rId268" ref="B180"/>
    <hyperlink r:id="rId269" ref="D180"/>
    <hyperlink r:id="rId270" ref="B181"/>
    <hyperlink r:id="rId271" ref="B182"/>
    <hyperlink r:id="rId272" ref="B183"/>
    <hyperlink r:id="rId273" ref="D183"/>
    <hyperlink r:id="rId274" ref="B184"/>
    <hyperlink r:id="rId275" ref="B185"/>
    <hyperlink r:id="rId276" ref="B186"/>
    <hyperlink r:id="rId277" ref="D186"/>
    <hyperlink r:id="rId278" ref="B187"/>
    <hyperlink r:id="rId279" ref="B188"/>
    <hyperlink r:id="rId280" ref="B189"/>
    <hyperlink r:id="rId281" ref="D189"/>
    <hyperlink r:id="rId282" ref="B190"/>
    <hyperlink r:id="rId283" ref="B191"/>
    <hyperlink r:id="rId284" ref="B192"/>
    <hyperlink r:id="rId285" ref="B193"/>
    <hyperlink r:id="rId286" ref="D193"/>
    <hyperlink r:id="rId287" ref="B194"/>
    <hyperlink r:id="rId288" ref="D194"/>
    <hyperlink r:id="rId289" ref="B195"/>
    <hyperlink r:id="rId290" ref="B196"/>
    <hyperlink r:id="rId291" ref="B197"/>
    <hyperlink r:id="rId292" ref="D197"/>
    <hyperlink r:id="rId293" ref="B198"/>
    <hyperlink r:id="rId294" ref="B199"/>
    <hyperlink r:id="rId295" ref="D199"/>
    <hyperlink r:id="rId296" ref="B200"/>
    <hyperlink r:id="rId297" ref="B201"/>
    <hyperlink r:id="rId298" ref="D201"/>
    <hyperlink r:id="rId299" ref="B202"/>
    <hyperlink r:id="rId300" ref="B203"/>
    <hyperlink r:id="rId301" ref="B204"/>
    <hyperlink r:id="rId302" ref="B205"/>
    <hyperlink r:id="rId303" ref="B206"/>
    <hyperlink r:id="rId304" ref="D206"/>
    <hyperlink r:id="rId305" ref="B207"/>
    <hyperlink r:id="rId306" ref="B208"/>
    <hyperlink r:id="rId307" ref="D208"/>
    <hyperlink r:id="rId308" ref="B209"/>
    <hyperlink r:id="rId309" ref="B210"/>
    <hyperlink r:id="rId310" ref="B211"/>
    <hyperlink r:id="rId311" ref="D211"/>
    <hyperlink r:id="rId312" ref="B212"/>
    <hyperlink r:id="rId313" ref="D212"/>
    <hyperlink r:id="rId314" ref="B213"/>
    <hyperlink r:id="rId315" ref="B214"/>
    <hyperlink r:id="rId316" ref="B215"/>
    <hyperlink r:id="rId317" ref="B216"/>
    <hyperlink r:id="rId318" ref="D216"/>
    <hyperlink r:id="rId319" ref="B217"/>
    <hyperlink r:id="rId320" ref="D217"/>
    <hyperlink r:id="rId321" ref="B218"/>
    <hyperlink r:id="rId322" ref="B219"/>
    <hyperlink r:id="rId323" ref="D219"/>
    <hyperlink r:id="rId324" ref="B220"/>
    <hyperlink r:id="rId325" ref="B221"/>
    <hyperlink r:id="rId326" ref="B222"/>
    <hyperlink r:id="rId327" ref="B223"/>
    <hyperlink r:id="rId328" ref="B224"/>
    <hyperlink r:id="rId329" ref="B225"/>
    <hyperlink r:id="rId330" ref="B226"/>
    <hyperlink r:id="rId331" ref="D226"/>
    <hyperlink r:id="rId332" ref="B227"/>
    <hyperlink r:id="rId333" ref="D227"/>
    <hyperlink r:id="rId334" ref="B228"/>
    <hyperlink r:id="rId335" ref="B229"/>
    <hyperlink r:id="rId336" ref="D229"/>
    <hyperlink r:id="rId337" ref="B230"/>
    <hyperlink r:id="rId338" ref="D230"/>
    <hyperlink r:id="rId339" ref="B231"/>
    <hyperlink r:id="rId340" ref="D231"/>
    <hyperlink r:id="rId341" ref="B232"/>
    <hyperlink r:id="rId342" ref="B233"/>
    <hyperlink r:id="rId343" ref="B234"/>
    <hyperlink r:id="rId344" ref="D234"/>
    <hyperlink r:id="rId345" ref="B235"/>
    <hyperlink r:id="rId346" ref="B236"/>
    <hyperlink r:id="rId347" ref="B237"/>
    <hyperlink r:id="rId348" ref="D237"/>
    <hyperlink r:id="rId349" ref="B238"/>
    <hyperlink r:id="rId350" ref="B239"/>
    <hyperlink r:id="rId351" ref="B240"/>
    <hyperlink r:id="rId352" ref="D240"/>
    <hyperlink r:id="rId353" ref="B241"/>
    <hyperlink r:id="rId354" ref="D241"/>
    <hyperlink r:id="rId355" ref="B242"/>
    <hyperlink r:id="rId356" ref="B243"/>
    <hyperlink r:id="rId357" ref="D243"/>
    <hyperlink r:id="rId358" ref="B244"/>
    <hyperlink r:id="rId359" ref="B245"/>
    <hyperlink r:id="rId360" ref="D245"/>
    <hyperlink r:id="rId361" ref="B246"/>
    <hyperlink r:id="rId362" ref="B247"/>
    <hyperlink r:id="rId363" ref="B248"/>
    <hyperlink r:id="rId364" ref="B249"/>
    <hyperlink r:id="rId365" ref="B250"/>
    <hyperlink r:id="rId366" ref="B251"/>
    <hyperlink r:id="rId367" ref="D251"/>
    <hyperlink r:id="rId368" ref="B252"/>
    <hyperlink r:id="rId369" ref="D252"/>
    <hyperlink r:id="rId370" ref="B253"/>
    <hyperlink r:id="rId371" ref="B254"/>
    <hyperlink r:id="rId372" ref="B255"/>
    <hyperlink r:id="rId373" ref="D255"/>
    <hyperlink r:id="rId374" ref="B256"/>
    <hyperlink r:id="rId375" ref="D256"/>
    <hyperlink r:id="rId376" ref="B257"/>
    <hyperlink r:id="rId377" ref="D257"/>
    <hyperlink r:id="rId378" ref="B258"/>
    <hyperlink r:id="rId379" ref="D258"/>
    <hyperlink r:id="rId380" ref="B259"/>
    <hyperlink r:id="rId381" ref="D259"/>
    <hyperlink r:id="rId382" ref="B260"/>
    <hyperlink r:id="rId383" ref="B261"/>
    <hyperlink r:id="rId384" ref="D261"/>
    <hyperlink r:id="rId385" ref="B262"/>
    <hyperlink r:id="rId386" ref="D262"/>
    <hyperlink r:id="rId387" ref="B263"/>
    <hyperlink r:id="rId388" ref="B264"/>
    <hyperlink r:id="rId389" ref="D264"/>
    <hyperlink r:id="rId390" ref="B265"/>
    <hyperlink r:id="rId391" ref="D265"/>
    <hyperlink r:id="rId392" ref="B266"/>
    <hyperlink r:id="rId393" ref="B267"/>
    <hyperlink r:id="rId394" ref="D267"/>
    <hyperlink r:id="rId395" ref="B268"/>
    <hyperlink r:id="rId396" ref="B269"/>
    <hyperlink r:id="rId397" ref="D269"/>
    <hyperlink r:id="rId398" ref="B270"/>
    <hyperlink r:id="rId399" ref="D270"/>
    <hyperlink r:id="rId400" ref="B271"/>
    <hyperlink r:id="rId401" ref="D271"/>
    <hyperlink r:id="rId402" ref="B272"/>
    <hyperlink r:id="rId403" ref="D272"/>
    <hyperlink r:id="rId404" ref="B273"/>
    <hyperlink r:id="rId405" ref="D273"/>
    <hyperlink r:id="rId406" ref="B274"/>
    <hyperlink r:id="rId407" ref="B275"/>
    <hyperlink r:id="rId408" ref="B276"/>
    <hyperlink r:id="rId409" ref="B277"/>
    <hyperlink r:id="rId410" ref="B278"/>
    <hyperlink r:id="rId411" ref="D278"/>
    <hyperlink r:id="rId412" ref="B279"/>
    <hyperlink r:id="rId413" ref="B280"/>
    <hyperlink r:id="rId414" ref="D280"/>
    <hyperlink r:id="rId415" ref="B281"/>
    <hyperlink r:id="rId416" ref="B282"/>
    <hyperlink r:id="rId417" ref="B283"/>
    <hyperlink r:id="rId418" ref="D283"/>
    <hyperlink r:id="rId419" ref="B284"/>
    <hyperlink r:id="rId420" ref="B285"/>
    <hyperlink r:id="rId421" ref="D285"/>
    <hyperlink r:id="rId422" ref="B286"/>
    <hyperlink r:id="rId423" ref="D286"/>
    <hyperlink r:id="rId424" ref="B287"/>
    <hyperlink r:id="rId425" ref="D287"/>
    <hyperlink r:id="rId426" ref="B288"/>
    <hyperlink r:id="rId427" ref="D288"/>
    <hyperlink r:id="rId428" ref="B289"/>
    <hyperlink r:id="rId429" ref="D289"/>
    <hyperlink r:id="rId430" ref="B290"/>
    <hyperlink r:id="rId431" ref="B291"/>
    <hyperlink r:id="rId432" ref="D291"/>
    <hyperlink r:id="rId433" ref="B292"/>
    <hyperlink r:id="rId434" ref="B293"/>
    <hyperlink r:id="rId435" ref="D293"/>
    <hyperlink r:id="rId436" ref="B294"/>
    <hyperlink r:id="rId437" ref="B295"/>
    <hyperlink r:id="rId438" ref="D295"/>
    <hyperlink r:id="rId439" ref="B296"/>
    <hyperlink r:id="rId440" ref="D296"/>
    <hyperlink r:id="rId441" ref="B297"/>
    <hyperlink r:id="rId442" ref="D297"/>
    <hyperlink r:id="rId443" ref="B298"/>
    <hyperlink r:id="rId444" ref="B299"/>
    <hyperlink r:id="rId445" ref="D299"/>
    <hyperlink r:id="rId446" ref="B300"/>
    <hyperlink r:id="rId447" ref="D300"/>
    <hyperlink r:id="rId448" ref="B301"/>
    <hyperlink r:id="rId449" ref="D301"/>
    <hyperlink r:id="rId450" ref="B302"/>
    <hyperlink r:id="rId451" ref="B303"/>
    <hyperlink r:id="rId452" ref="B304"/>
    <hyperlink r:id="rId453" ref="D304"/>
    <hyperlink r:id="rId454" ref="B305"/>
    <hyperlink r:id="rId455" ref="D305"/>
    <hyperlink r:id="rId456" ref="B306"/>
    <hyperlink r:id="rId457" ref="D306"/>
    <hyperlink r:id="rId458" ref="B307"/>
    <hyperlink r:id="rId459" ref="B308"/>
    <hyperlink r:id="rId460" ref="B309"/>
    <hyperlink r:id="rId461" ref="B310"/>
    <hyperlink r:id="rId462" ref="D310"/>
    <hyperlink r:id="rId463" ref="B311"/>
    <hyperlink r:id="rId464" ref="B312"/>
    <hyperlink r:id="rId465" ref="D312"/>
    <hyperlink r:id="rId466" ref="B313"/>
    <hyperlink r:id="rId467" ref="B314"/>
    <hyperlink r:id="rId468" ref="D314"/>
    <hyperlink r:id="rId469" ref="B315"/>
    <hyperlink r:id="rId470" ref="D315"/>
    <hyperlink r:id="rId471" ref="B316"/>
    <hyperlink r:id="rId472" ref="B317"/>
    <hyperlink r:id="rId473" ref="D317"/>
    <hyperlink r:id="rId474" ref="B318"/>
    <hyperlink r:id="rId475" ref="D318"/>
    <hyperlink r:id="rId476" ref="B319"/>
    <hyperlink r:id="rId477" ref="B320"/>
    <hyperlink r:id="rId478" ref="D320"/>
    <hyperlink r:id="rId479" ref="B321"/>
    <hyperlink r:id="rId480" ref="D321"/>
    <hyperlink r:id="rId481" ref="B322"/>
    <hyperlink r:id="rId482" ref="D322"/>
    <hyperlink r:id="rId483" ref="B323"/>
    <hyperlink r:id="rId484" ref="D323"/>
    <hyperlink r:id="rId485" ref="B324"/>
    <hyperlink r:id="rId486" ref="B325"/>
    <hyperlink r:id="rId487" ref="B326"/>
    <hyperlink r:id="rId488" ref="B327"/>
    <hyperlink r:id="rId489" ref="D327"/>
    <hyperlink r:id="rId490" ref="B328"/>
    <hyperlink r:id="rId491" ref="D328"/>
    <hyperlink r:id="rId492" ref="B329"/>
    <hyperlink r:id="rId493" ref="D329"/>
    <hyperlink r:id="rId494" ref="B330"/>
    <hyperlink r:id="rId495" ref="D330"/>
    <hyperlink r:id="rId496" ref="B331"/>
    <hyperlink r:id="rId497" ref="D331"/>
    <hyperlink r:id="rId498" ref="B332"/>
    <hyperlink r:id="rId499" ref="D332"/>
    <hyperlink r:id="rId500" ref="B333"/>
    <hyperlink r:id="rId501" ref="B334"/>
    <hyperlink r:id="rId502" ref="B335"/>
    <hyperlink r:id="rId503" ref="D335"/>
    <hyperlink r:id="rId504" ref="B336"/>
    <hyperlink r:id="rId505" ref="B337"/>
    <hyperlink r:id="rId506" ref="D337"/>
    <hyperlink r:id="rId507" ref="B338"/>
    <hyperlink r:id="rId508" ref="B339"/>
    <hyperlink r:id="rId509" ref="B340"/>
    <hyperlink r:id="rId510" ref="B341"/>
    <hyperlink r:id="rId511" ref="B342"/>
    <hyperlink r:id="rId512" ref="D342"/>
    <hyperlink r:id="rId513" ref="B343"/>
    <hyperlink r:id="rId514" ref="B344"/>
    <hyperlink r:id="rId515" ref="D344"/>
    <hyperlink r:id="rId516" ref="B345"/>
    <hyperlink r:id="rId517" ref="B346"/>
    <hyperlink r:id="rId518" ref="D346"/>
    <hyperlink r:id="rId519" ref="B347"/>
    <hyperlink r:id="rId520" ref="D347"/>
    <hyperlink r:id="rId521" ref="B348"/>
    <hyperlink r:id="rId522" ref="B349"/>
    <hyperlink r:id="rId523" ref="D349"/>
    <hyperlink r:id="rId524" ref="B350"/>
    <hyperlink r:id="rId525" ref="B351"/>
    <hyperlink r:id="rId526" ref="B352"/>
    <hyperlink r:id="rId527" ref="D352"/>
    <hyperlink r:id="rId528" ref="B353"/>
    <hyperlink r:id="rId529" ref="B354"/>
    <hyperlink r:id="rId530" ref="D354"/>
    <hyperlink r:id="rId531" ref="B355"/>
    <hyperlink r:id="rId532" ref="B356"/>
    <hyperlink r:id="rId533" ref="B357"/>
    <hyperlink r:id="rId534" ref="B358"/>
    <hyperlink r:id="rId535" ref="D358"/>
    <hyperlink r:id="rId536" ref="B359"/>
    <hyperlink r:id="rId537" ref="B360"/>
    <hyperlink r:id="rId538" ref="B361"/>
    <hyperlink r:id="rId539" ref="B362"/>
    <hyperlink r:id="rId540" ref="D362"/>
    <hyperlink r:id="rId541" ref="B363"/>
    <hyperlink r:id="rId542" ref="B364"/>
    <hyperlink r:id="rId543" ref="D364"/>
    <hyperlink r:id="rId544" ref="B365"/>
    <hyperlink r:id="rId545" ref="B366"/>
    <hyperlink r:id="rId546" ref="B367"/>
    <hyperlink r:id="rId547" ref="B368"/>
    <hyperlink r:id="rId548" ref="B369"/>
    <hyperlink r:id="rId549" ref="D369"/>
    <hyperlink r:id="rId550" ref="B370"/>
    <hyperlink r:id="rId551" ref="B371"/>
    <hyperlink r:id="rId552" ref="B372"/>
    <hyperlink r:id="rId553" ref="D372"/>
    <hyperlink r:id="rId554" ref="B373"/>
    <hyperlink r:id="rId555" ref="D373"/>
    <hyperlink r:id="rId556" ref="B374"/>
    <hyperlink r:id="rId557" ref="B375"/>
    <hyperlink r:id="rId558" ref="D375"/>
    <hyperlink r:id="rId559" ref="B376"/>
    <hyperlink r:id="rId560" ref="B377"/>
    <hyperlink r:id="rId561" ref="D377"/>
    <hyperlink r:id="rId562" ref="B378"/>
    <hyperlink r:id="rId563" ref="D378"/>
    <hyperlink r:id="rId564" ref="B379"/>
    <hyperlink r:id="rId565" ref="B380"/>
    <hyperlink r:id="rId566" ref="B381"/>
    <hyperlink r:id="rId567" ref="B382"/>
    <hyperlink r:id="rId568" ref="B383"/>
    <hyperlink r:id="rId569" ref="D383"/>
    <hyperlink r:id="rId570" ref="B384"/>
    <hyperlink r:id="rId571" ref="B385"/>
    <hyperlink r:id="rId572" ref="D385"/>
    <hyperlink r:id="rId573" ref="B386"/>
    <hyperlink r:id="rId574" ref="B387"/>
    <hyperlink r:id="rId575" ref="D387"/>
    <hyperlink r:id="rId576" ref="B388"/>
    <hyperlink r:id="rId577" ref="B389"/>
    <hyperlink r:id="rId578" ref="B390"/>
    <hyperlink r:id="rId579" ref="D390"/>
    <hyperlink r:id="rId580" ref="B391"/>
    <hyperlink r:id="rId581" ref="D391"/>
    <hyperlink r:id="rId582" ref="B392"/>
    <hyperlink r:id="rId583" ref="D392"/>
    <hyperlink r:id="rId584" ref="B393"/>
    <hyperlink r:id="rId585" ref="B394"/>
    <hyperlink r:id="rId586" ref="D394"/>
    <hyperlink r:id="rId587" ref="B395"/>
    <hyperlink r:id="rId588" ref="D395"/>
    <hyperlink r:id="rId589" ref="B396"/>
    <hyperlink r:id="rId590" ref="D396"/>
    <hyperlink r:id="rId591" ref="B397"/>
    <hyperlink r:id="rId592" ref="B398"/>
    <hyperlink r:id="rId593" ref="D398"/>
    <hyperlink r:id="rId594" ref="B399"/>
    <hyperlink r:id="rId595" ref="D399"/>
    <hyperlink r:id="rId596" ref="B400"/>
    <hyperlink r:id="rId597" ref="D400"/>
    <hyperlink r:id="rId598" ref="B401"/>
    <hyperlink r:id="rId599" ref="D401"/>
    <hyperlink r:id="rId600" ref="B402"/>
    <hyperlink r:id="rId601" ref="B403"/>
    <hyperlink r:id="rId602" ref="D403"/>
    <hyperlink r:id="rId603" ref="B404"/>
    <hyperlink r:id="rId604" ref="D404"/>
    <hyperlink r:id="rId605" ref="B405"/>
    <hyperlink r:id="rId606" ref="D405"/>
    <hyperlink r:id="rId607" ref="B406"/>
    <hyperlink r:id="rId608" ref="B407"/>
    <hyperlink r:id="rId609" ref="D407"/>
    <hyperlink r:id="rId610" ref="B408"/>
    <hyperlink r:id="rId611" ref="B409"/>
    <hyperlink r:id="rId612" ref="D409"/>
    <hyperlink r:id="rId613" ref="B410"/>
    <hyperlink r:id="rId614" ref="D410"/>
    <hyperlink r:id="rId615" ref="B411"/>
    <hyperlink r:id="rId616" ref="B412"/>
    <hyperlink r:id="rId617" ref="D412"/>
    <hyperlink r:id="rId618" ref="B413"/>
    <hyperlink r:id="rId619" ref="B414"/>
    <hyperlink r:id="rId620" ref="D414"/>
    <hyperlink r:id="rId621" ref="B415"/>
    <hyperlink r:id="rId622" ref="B416"/>
    <hyperlink r:id="rId623" ref="B417"/>
    <hyperlink r:id="rId624" ref="D417"/>
    <hyperlink r:id="rId625" ref="B418"/>
    <hyperlink r:id="rId626" ref="D418"/>
    <hyperlink r:id="rId627" ref="B419"/>
    <hyperlink r:id="rId628" ref="D419"/>
    <hyperlink r:id="rId629" ref="B420"/>
    <hyperlink r:id="rId630" ref="D420"/>
    <hyperlink r:id="rId631" ref="B421"/>
    <hyperlink r:id="rId632" ref="D421"/>
    <hyperlink r:id="rId633" ref="B422"/>
    <hyperlink r:id="rId634" ref="B423"/>
    <hyperlink r:id="rId635" ref="D423"/>
    <hyperlink r:id="rId636" ref="B424"/>
    <hyperlink r:id="rId637" ref="B425"/>
    <hyperlink r:id="rId638" ref="D425"/>
    <hyperlink r:id="rId639" ref="B426"/>
    <hyperlink r:id="rId640" ref="D426"/>
    <hyperlink r:id="rId641" ref="B427"/>
    <hyperlink r:id="rId642" ref="D427"/>
    <hyperlink r:id="rId643" ref="B428"/>
    <hyperlink r:id="rId644" ref="D428"/>
    <hyperlink r:id="rId645" ref="B429"/>
    <hyperlink r:id="rId646" ref="D429"/>
    <hyperlink r:id="rId647" ref="B430"/>
    <hyperlink r:id="rId648" ref="D430"/>
    <hyperlink r:id="rId649" ref="B431"/>
    <hyperlink r:id="rId650" ref="D431"/>
    <hyperlink r:id="rId651" ref="B432"/>
    <hyperlink r:id="rId652" ref="B433"/>
    <hyperlink r:id="rId653" ref="B434"/>
    <hyperlink r:id="rId654" ref="B435"/>
    <hyperlink r:id="rId655" ref="B436"/>
    <hyperlink r:id="rId656" ref="D436"/>
    <hyperlink r:id="rId657" ref="B437"/>
    <hyperlink r:id="rId658" ref="D437"/>
    <hyperlink r:id="rId659" ref="B438"/>
    <hyperlink r:id="rId660" ref="D438"/>
    <hyperlink r:id="rId661" ref="B439"/>
    <hyperlink r:id="rId662" ref="B440"/>
    <hyperlink r:id="rId663" ref="D440"/>
    <hyperlink r:id="rId664" ref="B441"/>
    <hyperlink r:id="rId665" ref="B442"/>
    <hyperlink r:id="rId666" ref="B443"/>
    <hyperlink r:id="rId667" ref="B444"/>
    <hyperlink r:id="rId668" ref="D444"/>
    <hyperlink r:id="rId669" ref="B445"/>
    <hyperlink r:id="rId670" ref="B446"/>
    <hyperlink r:id="rId671" ref="D446"/>
    <hyperlink r:id="rId672" ref="B447"/>
    <hyperlink r:id="rId673" ref="B448"/>
    <hyperlink r:id="rId674" ref="B449"/>
    <hyperlink r:id="rId675" ref="D449"/>
    <hyperlink r:id="rId676" ref="B450"/>
    <hyperlink r:id="rId677" ref="D450"/>
    <hyperlink r:id="rId678" ref="B451"/>
    <hyperlink r:id="rId679" ref="D451"/>
    <hyperlink r:id="rId680" ref="B452"/>
    <hyperlink r:id="rId681" ref="D452"/>
    <hyperlink r:id="rId682" ref="B453"/>
    <hyperlink r:id="rId683" ref="B454"/>
    <hyperlink r:id="rId684" ref="D454"/>
    <hyperlink r:id="rId685" ref="B455"/>
    <hyperlink r:id="rId686" ref="D455"/>
    <hyperlink r:id="rId687" ref="B456"/>
    <hyperlink r:id="rId688" ref="D456"/>
    <hyperlink r:id="rId689" ref="B457"/>
    <hyperlink r:id="rId690" ref="B458"/>
    <hyperlink r:id="rId691" ref="D458"/>
    <hyperlink r:id="rId692" ref="B459"/>
    <hyperlink r:id="rId693" ref="B460"/>
    <hyperlink r:id="rId694" ref="B461"/>
    <hyperlink r:id="rId695" ref="B462"/>
    <hyperlink r:id="rId696" ref="D462"/>
    <hyperlink r:id="rId697" ref="B463"/>
    <hyperlink r:id="rId698" ref="B464"/>
    <hyperlink r:id="rId699" ref="B465"/>
    <hyperlink r:id="rId700" ref="D465"/>
    <hyperlink r:id="rId701" ref="B466"/>
    <hyperlink r:id="rId702" ref="D466"/>
    <hyperlink r:id="rId703" ref="B467"/>
    <hyperlink r:id="rId704" ref="D467"/>
    <hyperlink r:id="rId705" ref="B468"/>
    <hyperlink r:id="rId706" ref="B469"/>
    <hyperlink r:id="rId707" ref="D469"/>
    <hyperlink r:id="rId708" ref="B470"/>
    <hyperlink r:id="rId709" ref="D470"/>
    <hyperlink r:id="rId710" ref="B471"/>
    <hyperlink r:id="rId711" ref="D471"/>
    <hyperlink r:id="rId712" ref="B472"/>
    <hyperlink r:id="rId713" ref="D472"/>
    <hyperlink r:id="rId714" ref="B473"/>
    <hyperlink r:id="rId715" ref="B474"/>
    <hyperlink r:id="rId716" ref="D474"/>
    <hyperlink r:id="rId717" ref="B475"/>
    <hyperlink r:id="rId718" ref="D475"/>
    <hyperlink r:id="rId719" ref="B476"/>
    <hyperlink r:id="rId720" ref="D476"/>
    <hyperlink r:id="rId721" ref="B477"/>
    <hyperlink r:id="rId722" ref="D477"/>
    <hyperlink r:id="rId723" ref="B478"/>
    <hyperlink r:id="rId724" ref="D478"/>
    <hyperlink r:id="rId725" ref="B479"/>
    <hyperlink r:id="rId726" ref="D479"/>
    <hyperlink r:id="rId727" ref="B480"/>
    <hyperlink r:id="rId728" ref="D480"/>
    <hyperlink r:id="rId729" ref="B481"/>
    <hyperlink r:id="rId730" ref="B482"/>
    <hyperlink r:id="rId731" ref="B483"/>
    <hyperlink r:id="rId732" ref="D483"/>
    <hyperlink r:id="rId733" ref="B484"/>
    <hyperlink r:id="rId734" ref="B485"/>
    <hyperlink r:id="rId735" ref="D485"/>
    <hyperlink r:id="rId736" ref="B486"/>
    <hyperlink r:id="rId737" ref="B487"/>
    <hyperlink r:id="rId738" ref="D487"/>
    <hyperlink r:id="rId739" ref="B488"/>
    <hyperlink r:id="rId740" ref="B489"/>
    <hyperlink r:id="rId741" ref="D489"/>
    <hyperlink r:id="rId742" ref="B490"/>
    <hyperlink r:id="rId743" ref="D490"/>
    <hyperlink r:id="rId744" ref="B491"/>
    <hyperlink r:id="rId745" ref="D491"/>
    <hyperlink r:id="rId746" ref="B492"/>
    <hyperlink r:id="rId747" ref="D492"/>
    <hyperlink r:id="rId748" ref="B493"/>
    <hyperlink r:id="rId749" ref="B494"/>
    <hyperlink r:id="rId750" ref="D494"/>
    <hyperlink r:id="rId751" ref="B495"/>
    <hyperlink r:id="rId752" ref="B496"/>
    <hyperlink r:id="rId753" ref="B497"/>
    <hyperlink r:id="rId754" ref="D497"/>
    <hyperlink r:id="rId755" ref="B498"/>
    <hyperlink r:id="rId756" ref="D498"/>
    <hyperlink r:id="rId757" ref="B499"/>
    <hyperlink r:id="rId758" ref="D499"/>
    <hyperlink r:id="rId759" ref="B500"/>
    <hyperlink r:id="rId760" ref="B501"/>
    <hyperlink r:id="rId761" ref="D501"/>
    <hyperlink r:id="rId762" ref="B502"/>
    <hyperlink r:id="rId763" ref="D502"/>
    <hyperlink r:id="rId764" ref="B503"/>
    <hyperlink r:id="rId765" ref="D503"/>
    <hyperlink r:id="rId766" ref="B504"/>
    <hyperlink r:id="rId767" ref="D504"/>
    <hyperlink r:id="rId768" ref="B505"/>
    <hyperlink r:id="rId769" ref="B506"/>
    <hyperlink r:id="rId770" ref="D506"/>
    <hyperlink r:id="rId771" ref="B507"/>
    <hyperlink r:id="rId772" ref="B508"/>
    <hyperlink r:id="rId773" ref="B509"/>
    <hyperlink r:id="rId774" ref="D509"/>
    <hyperlink r:id="rId775" ref="B510"/>
    <hyperlink r:id="rId776" ref="D510"/>
    <hyperlink r:id="rId777" ref="B511"/>
    <hyperlink r:id="rId778" ref="B512"/>
    <hyperlink r:id="rId779" ref="D512"/>
    <hyperlink r:id="rId780" ref="B513"/>
    <hyperlink r:id="rId781" ref="B514"/>
    <hyperlink r:id="rId782" ref="B515"/>
    <hyperlink r:id="rId783" ref="D515"/>
    <hyperlink r:id="rId784" ref="B516"/>
    <hyperlink r:id="rId785" ref="B517"/>
    <hyperlink r:id="rId786" ref="B518"/>
    <hyperlink r:id="rId787" ref="B519"/>
    <hyperlink r:id="rId788" ref="D519"/>
    <hyperlink r:id="rId789" ref="B520"/>
    <hyperlink r:id="rId790" ref="D520"/>
    <hyperlink r:id="rId791" ref="B521"/>
    <hyperlink r:id="rId792" ref="B522"/>
    <hyperlink r:id="rId793" ref="D522"/>
    <hyperlink r:id="rId794" ref="B523"/>
    <hyperlink r:id="rId795" ref="D523"/>
    <hyperlink r:id="rId796" ref="B524"/>
    <hyperlink r:id="rId797" ref="B525"/>
    <hyperlink r:id="rId798" ref="B526"/>
    <hyperlink r:id="rId799" ref="B527"/>
    <hyperlink r:id="rId800" ref="D527"/>
    <hyperlink r:id="rId801" ref="B528"/>
    <hyperlink r:id="rId802" ref="D528"/>
    <hyperlink r:id="rId803" ref="B529"/>
    <hyperlink r:id="rId804" ref="B530"/>
    <hyperlink r:id="rId805" ref="D530"/>
    <hyperlink r:id="rId806" ref="B531"/>
    <hyperlink r:id="rId807" ref="B532"/>
    <hyperlink r:id="rId808" ref="D532"/>
    <hyperlink r:id="rId809" ref="B533"/>
    <hyperlink r:id="rId810" ref="D533"/>
    <hyperlink r:id="rId811" ref="B534"/>
    <hyperlink r:id="rId812" ref="B535"/>
    <hyperlink r:id="rId813" ref="D535"/>
    <hyperlink r:id="rId814" ref="B536"/>
    <hyperlink r:id="rId815" ref="B537"/>
    <hyperlink r:id="rId816" ref="B538"/>
    <hyperlink r:id="rId817" ref="D538"/>
    <hyperlink r:id="rId818" ref="B539"/>
    <hyperlink r:id="rId819" ref="B540"/>
    <hyperlink r:id="rId820" ref="B541"/>
    <hyperlink r:id="rId821" ref="B542"/>
    <hyperlink r:id="rId822" ref="D542"/>
    <hyperlink r:id="rId823" ref="B543"/>
    <hyperlink r:id="rId824" ref="B544"/>
    <hyperlink r:id="rId825" ref="D544"/>
    <hyperlink r:id="rId826" ref="B545"/>
    <hyperlink r:id="rId827" ref="B546"/>
    <hyperlink r:id="rId828" ref="B547"/>
    <hyperlink r:id="rId829" ref="B548"/>
    <hyperlink r:id="rId830" ref="D548"/>
    <hyperlink r:id="rId831" ref="B549"/>
    <hyperlink r:id="rId832" ref="B550"/>
    <hyperlink r:id="rId833" ref="B551"/>
    <hyperlink r:id="rId834" ref="B552"/>
    <hyperlink r:id="rId835" ref="B553"/>
    <hyperlink r:id="rId836" ref="B554"/>
    <hyperlink r:id="rId837" ref="B555"/>
    <hyperlink r:id="rId838" ref="B556"/>
    <hyperlink r:id="rId839" ref="D556"/>
    <hyperlink r:id="rId840" ref="B557"/>
    <hyperlink r:id="rId841" ref="D557"/>
    <hyperlink r:id="rId842" ref="B558"/>
    <hyperlink r:id="rId843" ref="B559"/>
    <hyperlink r:id="rId844" ref="B560"/>
    <hyperlink r:id="rId845" ref="B561"/>
    <hyperlink r:id="rId846" ref="D561"/>
    <hyperlink r:id="rId847" ref="B562"/>
    <hyperlink r:id="rId848" ref="B563"/>
    <hyperlink r:id="rId849" ref="D563"/>
    <hyperlink r:id="rId850" ref="B564"/>
    <hyperlink r:id="rId851" ref="D564"/>
    <hyperlink r:id="rId852" ref="B565"/>
    <hyperlink r:id="rId853" ref="D565"/>
    <hyperlink r:id="rId854" ref="B566"/>
    <hyperlink r:id="rId855" ref="D566"/>
    <hyperlink r:id="rId856" ref="B567"/>
    <hyperlink r:id="rId857" ref="D567"/>
    <hyperlink r:id="rId858" ref="B568"/>
    <hyperlink r:id="rId859" ref="D568"/>
    <hyperlink r:id="rId860" ref="B569"/>
    <hyperlink r:id="rId861" ref="B570"/>
    <hyperlink r:id="rId862" ref="D570"/>
    <hyperlink r:id="rId863" ref="B571"/>
    <hyperlink r:id="rId864" ref="B572"/>
    <hyperlink r:id="rId865" ref="B573"/>
    <hyperlink r:id="rId866" ref="D573"/>
    <hyperlink r:id="rId867" ref="B574"/>
    <hyperlink r:id="rId868" ref="D574"/>
    <hyperlink r:id="rId869" ref="B575"/>
    <hyperlink r:id="rId870" ref="B576"/>
    <hyperlink r:id="rId871" ref="D576"/>
    <hyperlink r:id="rId872" ref="B577"/>
    <hyperlink r:id="rId873" ref="B578"/>
    <hyperlink r:id="rId874" ref="D578"/>
    <hyperlink r:id="rId875" ref="B579"/>
    <hyperlink r:id="rId876" ref="B580"/>
    <hyperlink r:id="rId877" ref="D580"/>
    <hyperlink r:id="rId878" ref="B581"/>
    <hyperlink r:id="rId879" ref="D581"/>
    <hyperlink r:id="rId880" ref="B582"/>
    <hyperlink r:id="rId881" ref="B583"/>
    <hyperlink r:id="rId882" ref="D583"/>
    <hyperlink r:id="rId883" ref="B584"/>
    <hyperlink r:id="rId884" ref="B585"/>
    <hyperlink r:id="rId885" ref="B586"/>
    <hyperlink r:id="rId886" ref="D586"/>
    <hyperlink r:id="rId887" ref="B587"/>
    <hyperlink r:id="rId888" ref="D587"/>
    <hyperlink r:id="rId889" ref="B588"/>
    <hyperlink r:id="rId890" ref="B589"/>
    <hyperlink r:id="rId891" ref="D589"/>
    <hyperlink r:id="rId892" ref="B590"/>
    <hyperlink r:id="rId893" ref="D590"/>
    <hyperlink r:id="rId894" ref="B591"/>
    <hyperlink r:id="rId895" ref="B592"/>
    <hyperlink r:id="rId896" ref="D592"/>
    <hyperlink r:id="rId897" ref="B593"/>
    <hyperlink r:id="rId898" ref="B594"/>
    <hyperlink r:id="rId899" ref="B595"/>
    <hyperlink r:id="rId900" ref="D595"/>
    <hyperlink r:id="rId901" ref="B596"/>
    <hyperlink r:id="rId902" ref="B597"/>
    <hyperlink r:id="rId903" ref="D597"/>
    <hyperlink r:id="rId904" ref="B598"/>
    <hyperlink r:id="rId905" ref="B599"/>
    <hyperlink r:id="rId906" ref="D599"/>
    <hyperlink r:id="rId907" ref="B600"/>
    <hyperlink r:id="rId908" ref="B601"/>
    <hyperlink r:id="rId909" ref="B602"/>
    <hyperlink r:id="rId910" ref="B603"/>
    <hyperlink r:id="rId911" ref="D603"/>
    <hyperlink r:id="rId912" ref="B604"/>
    <hyperlink r:id="rId913" ref="B605"/>
    <hyperlink r:id="rId914" ref="B606"/>
    <hyperlink r:id="rId915" ref="D606"/>
    <hyperlink r:id="rId916" ref="B607"/>
    <hyperlink r:id="rId917" ref="B608"/>
    <hyperlink r:id="rId918" ref="B609"/>
    <hyperlink r:id="rId919" ref="D609"/>
    <hyperlink r:id="rId920" ref="B610"/>
    <hyperlink r:id="rId921" ref="B611"/>
    <hyperlink r:id="rId922" ref="D611"/>
    <hyperlink r:id="rId923" ref="B612"/>
    <hyperlink r:id="rId924" ref="D612"/>
    <hyperlink r:id="rId925" ref="B613"/>
    <hyperlink r:id="rId926" ref="B614"/>
    <hyperlink r:id="rId927" ref="D614"/>
    <hyperlink r:id="rId928" ref="B615"/>
    <hyperlink r:id="rId929" ref="D615"/>
    <hyperlink r:id="rId930" ref="B616"/>
    <hyperlink r:id="rId931" ref="D616"/>
    <hyperlink r:id="rId932" ref="B617"/>
    <hyperlink r:id="rId933" ref="B618"/>
    <hyperlink r:id="rId934" ref="B619"/>
    <hyperlink r:id="rId935" ref="B620"/>
    <hyperlink r:id="rId936" ref="D620"/>
    <hyperlink r:id="rId937" ref="B621"/>
    <hyperlink r:id="rId938" ref="D621"/>
    <hyperlink r:id="rId939" ref="B622"/>
    <hyperlink r:id="rId940" ref="D622"/>
    <hyperlink r:id="rId941" ref="B623"/>
    <hyperlink r:id="rId942" ref="B624"/>
    <hyperlink r:id="rId943" ref="B625"/>
    <hyperlink r:id="rId944" ref="B626"/>
    <hyperlink r:id="rId945" ref="B627"/>
    <hyperlink r:id="rId946" ref="D627"/>
    <hyperlink r:id="rId947" ref="B628"/>
    <hyperlink r:id="rId948" ref="D628"/>
    <hyperlink r:id="rId949" ref="B629"/>
    <hyperlink r:id="rId950" ref="B630"/>
    <hyperlink r:id="rId951" ref="B631"/>
    <hyperlink r:id="rId952" ref="B632"/>
    <hyperlink r:id="rId953" ref="B633"/>
    <hyperlink r:id="rId954" ref="D633"/>
    <hyperlink r:id="rId955" ref="B634"/>
    <hyperlink r:id="rId956" ref="B635"/>
    <hyperlink r:id="rId957" ref="B636"/>
    <hyperlink r:id="rId958" ref="D636"/>
    <hyperlink r:id="rId959" ref="B637"/>
    <hyperlink r:id="rId960" ref="B638"/>
    <hyperlink r:id="rId961" ref="B639"/>
    <hyperlink r:id="rId962" ref="D639"/>
    <hyperlink r:id="rId963" ref="B640"/>
    <hyperlink r:id="rId964" ref="B641"/>
    <hyperlink r:id="rId965" ref="B642"/>
    <hyperlink r:id="rId966" ref="B643"/>
    <hyperlink r:id="rId967" ref="B644"/>
    <hyperlink r:id="rId968" ref="D644"/>
    <hyperlink r:id="rId969" ref="B645"/>
    <hyperlink r:id="rId970" ref="B646"/>
    <hyperlink r:id="rId971" ref="B647"/>
    <hyperlink r:id="rId972" ref="B648"/>
    <hyperlink r:id="rId973" ref="B649"/>
    <hyperlink r:id="rId974" ref="B650"/>
    <hyperlink r:id="rId975" ref="D650"/>
    <hyperlink r:id="rId976" ref="B651"/>
    <hyperlink r:id="rId977" ref="D651"/>
    <hyperlink r:id="rId978" ref="B652"/>
    <hyperlink r:id="rId979" ref="D652"/>
    <hyperlink r:id="rId980" ref="B653"/>
    <hyperlink r:id="rId981" ref="B654"/>
    <hyperlink r:id="rId982" ref="B655"/>
    <hyperlink r:id="rId983" ref="D655"/>
    <hyperlink r:id="rId984" ref="B656"/>
    <hyperlink r:id="rId985" ref="B657"/>
    <hyperlink r:id="rId986" ref="B658"/>
    <hyperlink r:id="rId987" ref="B659"/>
    <hyperlink r:id="rId988" ref="D659"/>
    <hyperlink r:id="rId989" ref="B660"/>
    <hyperlink r:id="rId990" ref="B661"/>
    <hyperlink r:id="rId991" ref="D661"/>
    <hyperlink r:id="rId992" ref="B662"/>
    <hyperlink r:id="rId993" ref="D662"/>
    <hyperlink r:id="rId994" ref="B663"/>
    <hyperlink r:id="rId995" ref="D663"/>
    <hyperlink r:id="rId996" ref="B664"/>
    <hyperlink r:id="rId997" ref="D664"/>
    <hyperlink r:id="rId998" ref="B665"/>
    <hyperlink r:id="rId999" ref="B666"/>
    <hyperlink r:id="rId1000" ref="D666"/>
    <hyperlink r:id="rId1001" ref="B667"/>
    <hyperlink r:id="rId1002" ref="B668"/>
    <hyperlink r:id="rId1003" ref="B669"/>
    <hyperlink r:id="rId1004" ref="B670"/>
    <hyperlink r:id="rId1005" ref="B671"/>
    <hyperlink r:id="rId1006" ref="D671"/>
    <hyperlink r:id="rId1007" ref="B672"/>
    <hyperlink r:id="rId1008" ref="B673"/>
    <hyperlink r:id="rId1009" ref="B674"/>
    <hyperlink r:id="rId1010" ref="B675"/>
    <hyperlink r:id="rId1011" ref="B676"/>
    <hyperlink r:id="rId1012" ref="B677"/>
    <hyperlink r:id="rId1013" ref="B678"/>
    <hyperlink r:id="rId1014" ref="B679"/>
    <hyperlink r:id="rId1015" ref="B680"/>
    <hyperlink r:id="rId1016" ref="D680"/>
    <hyperlink r:id="rId1017" ref="B681"/>
    <hyperlink r:id="rId1018" ref="B682"/>
    <hyperlink r:id="rId1019" ref="D682"/>
    <hyperlink r:id="rId1020" ref="B683"/>
    <hyperlink r:id="rId1021" ref="B684"/>
    <hyperlink r:id="rId1022" ref="B685"/>
    <hyperlink r:id="rId1023" ref="B686"/>
    <hyperlink r:id="rId1024" ref="B687"/>
    <hyperlink r:id="rId1025" ref="D687"/>
    <hyperlink r:id="rId1026" ref="B688"/>
    <hyperlink r:id="rId1027" ref="B689"/>
    <hyperlink r:id="rId1028" ref="B690"/>
    <hyperlink r:id="rId1029" ref="D690"/>
    <hyperlink r:id="rId1030" ref="B691"/>
    <hyperlink r:id="rId1031" ref="B692"/>
    <hyperlink r:id="rId1032" ref="D692"/>
    <hyperlink r:id="rId1033" ref="B693"/>
    <hyperlink r:id="rId1034" ref="B694"/>
    <hyperlink r:id="rId1035" ref="D694"/>
    <hyperlink r:id="rId1036" ref="B695"/>
    <hyperlink r:id="rId1037" ref="B696"/>
    <hyperlink r:id="rId1038" ref="D696"/>
    <hyperlink r:id="rId1039" ref="B697"/>
    <hyperlink r:id="rId1040" ref="B698"/>
    <hyperlink r:id="rId1041" ref="D698"/>
    <hyperlink r:id="rId1042" ref="B699"/>
    <hyperlink r:id="rId1043" ref="B700"/>
    <hyperlink r:id="rId1044" ref="D700"/>
    <hyperlink r:id="rId1045" ref="B701"/>
    <hyperlink r:id="rId1046" ref="D701"/>
    <hyperlink r:id="rId1047" ref="B702"/>
    <hyperlink r:id="rId1048" ref="B703"/>
    <hyperlink r:id="rId1049" ref="D703"/>
    <hyperlink r:id="rId1050" ref="B704"/>
    <hyperlink r:id="rId1051" ref="D704"/>
    <hyperlink r:id="rId1052" ref="B705"/>
    <hyperlink r:id="rId1053" ref="D705"/>
    <hyperlink r:id="rId1054" ref="B706"/>
    <hyperlink r:id="rId1055" ref="D706"/>
    <hyperlink r:id="rId1056" ref="B707"/>
    <hyperlink r:id="rId1057" ref="D707"/>
    <hyperlink r:id="rId1058" ref="B708"/>
    <hyperlink r:id="rId1059" ref="B709"/>
    <hyperlink r:id="rId1060" ref="B710"/>
    <hyperlink r:id="rId1061" ref="B711"/>
    <hyperlink r:id="rId1062" ref="D711"/>
    <hyperlink r:id="rId1063" ref="B712"/>
    <hyperlink r:id="rId1064" ref="B713"/>
    <hyperlink r:id="rId1065" ref="D713"/>
    <hyperlink r:id="rId1066" ref="B714"/>
    <hyperlink r:id="rId1067" ref="D714"/>
    <hyperlink r:id="rId1068" ref="B715"/>
    <hyperlink r:id="rId1069" ref="D715"/>
    <hyperlink r:id="rId1070" ref="B716"/>
    <hyperlink r:id="rId1071" ref="D716"/>
    <hyperlink r:id="rId1072" ref="B717"/>
    <hyperlink r:id="rId1073" ref="D717"/>
    <hyperlink r:id="rId1074" ref="B718"/>
    <hyperlink r:id="rId1075" ref="D718"/>
    <hyperlink r:id="rId1076" ref="B719"/>
    <hyperlink r:id="rId1077" ref="B720"/>
    <hyperlink r:id="rId1078" ref="B721"/>
    <hyperlink r:id="rId1079" ref="D721"/>
    <hyperlink r:id="rId1080" ref="B722"/>
    <hyperlink r:id="rId1081" ref="B723"/>
    <hyperlink r:id="rId1082" ref="B724"/>
    <hyperlink r:id="rId1083" ref="D724"/>
    <hyperlink r:id="rId1084" ref="B725"/>
    <hyperlink r:id="rId1085" ref="B726"/>
    <hyperlink r:id="rId1086" ref="B727"/>
    <hyperlink r:id="rId1087" ref="D727"/>
    <hyperlink r:id="rId1088" ref="B728"/>
    <hyperlink r:id="rId1089" ref="D728"/>
    <hyperlink r:id="rId1090" ref="B729"/>
    <hyperlink r:id="rId1091" ref="B730"/>
    <hyperlink r:id="rId1092" ref="B731"/>
    <hyperlink r:id="rId1093" ref="B732"/>
    <hyperlink r:id="rId1094" ref="B733"/>
    <hyperlink r:id="rId1095" ref="D733"/>
    <hyperlink r:id="rId1096" ref="B734"/>
    <hyperlink r:id="rId1097" ref="B735"/>
    <hyperlink r:id="rId1098" ref="B736"/>
    <hyperlink r:id="rId1099" ref="D736"/>
    <hyperlink r:id="rId1100" ref="B737"/>
    <hyperlink r:id="rId1101" ref="D737"/>
    <hyperlink r:id="rId1102" ref="B738"/>
    <hyperlink r:id="rId1103" ref="B739"/>
    <hyperlink r:id="rId1104" ref="B740"/>
    <hyperlink r:id="rId1105" ref="B741"/>
    <hyperlink r:id="rId1106" ref="B742"/>
    <hyperlink r:id="rId1107" ref="B743"/>
    <hyperlink r:id="rId1108" ref="D743"/>
    <hyperlink r:id="rId1109" ref="B744"/>
    <hyperlink r:id="rId1110" ref="D744"/>
    <hyperlink r:id="rId1111" ref="B745"/>
    <hyperlink r:id="rId1112" ref="B746"/>
    <hyperlink r:id="rId1113" ref="B747"/>
    <hyperlink r:id="rId1114" ref="D747"/>
    <hyperlink r:id="rId1115" ref="B748"/>
    <hyperlink r:id="rId1116" ref="D748"/>
    <hyperlink r:id="rId1117" ref="B749"/>
    <hyperlink r:id="rId1118" ref="D749"/>
    <hyperlink r:id="rId1119" ref="B750"/>
    <hyperlink r:id="rId1120" ref="D750"/>
    <hyperlink r:id="rId1121" ref="B751"/>
    <hyperlink r:id="rId1122" ref="B752"/>
    <hyperlink r:id="rId1123" ref="D752"/>
    <hyperlink r:id="rId1124" ref="B753"/>
    <hyperlink r:id="rId1125" ref="B754"/>
    <hyperlink r:id="rId1126" ref="D754"/>
    <hyperlink r:id="rId1127" ref="B755"/>
    <hyperlink r:id="rId1128" ref="D755"/>
    <hyperlink r:id="rId1129" ref="B756"/>
    <hyperlink r:id="rId1130" ref="D756"/>
    <hyperlink r:id="rId1131" ref="B757"/>
    <hyperlink r:id="rId1132" ref="B758"/>
    <hyperlink r:id="rId1133" ref="D758"/>
    <hyperlink r:id="rId1134" ref="B759"/>
    <hyperlink r:id="rId1135" ref="D759"/>
    <hyperlink r:id="rId1136" ref="B760"/>
    <hyperlink r:id="rId1137" ref="B761"/>
    <hyperlink r:id="rId1138" ref="B762"/>
    <hyperlink r:id="rId1139" ref="B763"/>
    <hyperlink r:id="rId1140" ref="B764"/>
    <hyperlink r:id="rId1141" ref="D764"/>
    <hyperlink r:id="rId1142" ref="B765"/>
    <hyperlink r:id="rId1143" ref="B766"/>
    <hyperlink r:id="rId1144" ref="B767"/>
    <hyperlink r:id="rId1145" ref="B768"/>
    <hyperlink r:id="rId1146" ref="B769"/>
    <hyperlink r:id="rId1147" ref="D769"/>
    <hyperlink r:id="rId1148" ref="B770"/>
    <hyperlink r:id="rId1149" ref="D770"/>
    <hyperlink r:id="rId1150" ref="B771"/>
    <hyperlink r:id="rId1151" ref="B772"/>
    <hyperlink r:id="rId1152" ref="B773"/>
    <hyperlink r:id="rId1153" ref="D773"/>
    <hyperlink r:id="rId1154" ref="B774"/>
    <hyperlink r:id="rId1155" ref="B775"/>
    <hyperlink r:id="rId1156" ref="D775"/>
    <hyperlink r:id="rId1157" ref="B776"/>
    <hyperlink r:id="rId1158" ref="D776"/>
    <hyperlink r:id="rId1159" ref="B777"/>
    <hyperlink r:id="rId1160" ref="D777"/>
    <hyperlink r:id="rId1161" ref="B778"/>
    <hyperlink r:id="rId1162" ref="D778"/>
    <hyperlink r:id="rId1163" ref="B779"/>
    <hyperlink r:id="rId1164" ref="B780"/>
    <hyperlink r:id="rId1165" ref="D780"/>
    <hyperlink r:id="rId1166" ref="B781"/>
    <hyperlink r:id="rId1167" ref="D781"/>
    <hyperlink r:id="rId1168" ref="B782"/>
    <hyperlink r:id="rId1169" ref="B783"/>
    <hyperlink r:id="rId1170" ref="D783"/>
    <hyperlink r:id="rId1171" ref="B784"/>
    <hyperlink r:id="rId1172" ref="B785"/>
    <hyperlink r:id="rId1173" ref="D785"/>
    <hyperlink r:id="rId1174" ref="B786"/>
    <hyperlink r:id="rId1175" ref="D786"/>
    <hyperlink r:id="rId1176" ref="B787"/>
    <hyperlink r:id="rId1177" ref="D787"/>
    <hyperlink r:id="rId1178" ref="B788"/>
    <hyperlink r:id="rId1179" ref="B789"/>
    <hyperlink r:id="rId1180" ref="B790"/>
    <hyperlink r:id="rId1181" ref="B791"/>
    <hyperlink r:id="rId1182" ref="B792"/>
    <hyperlink r:id="rId1183" ref="B793"/>
    <hyperlink r:id="rId1184" ref="B794"/>
    <hyperlink r:id="rId1185" ref="D794"/>
    <hyperlink r:id="rId1186" ref="B795"/>
    <hyperlink r:id="rId1187" ref="D795"/>
    <hyperlink r:id="rId1188" ref="B796"/>
    <hyperlink r:id="rId1189" ref="D796"/>
    <hyperlink r:id="rId1190" ref="B797"/>
    <hyperlink r:id="rId1191" ref="D797"/>
    <hyperlink r:id="rId1192" ref="B798"/>
    <hyperlink r:id="rId1193" ref="B799"/>
    <hyperlink r:id="rId1194" ref="B800"/>
    <hyperlink r:id="rId1195" ref="D800"/>
    <hyperlink r:id="rId1196" ref="B801"/>
    <hyperlink r:id="rId1197" ref="B802"/>
    <hyperlink r:id="rId1198" ref="D802"/>
    <hyperlink r:id="rId1199" ref="B803"/>
    <hyperlink r:id="rId1200" ref="B804"/>
    <hyperlink r:id="rId1201" ref="D804"/>
    <hyperlink r:id="rId1202" ref="B805"/>
    <hyperlink r:id="rId1203" ref="D805"/>
    <hyperlink r:id="rId1204" ref="B806"/>
    <hyperlink r:id="rId1205" ref="B807"/>
    <hyperlink r:id="rId1206" ref="D807"/>
    <hyperlink r:id="rId1207" ref="B808"/>
    <hyperlink r:id="rId1208" ref="D808"/>
    <hyperlink r:id="rId1209" ref="B809"/>
    <hyperlink r:id="rId1210" ref="B810"/>
    <hyperlink r:id="rId1211" ref="D810"/>
    <hyperlink r:id="rId1212" ref="B811"/>
    <hyperlink r:id="rId1213" ref="B812"/>
    <hyperlink r:id="rId1214" ref="D812"/>
    <hyperlink r:id="rId1215" ref="B813"/>
    <hyperlink r:id="rId1216" ref="D813"/>
    <hyperlink r:id="rId1217" ref="B814"/>
    <hyperlink r:id="rId1218" ref="D814"/>
    <hyperlink r:id="rId1219" ref="B815"/>
    <hyperlink r:id="rId1220" ref="B816"/>
    <hyperlink r:id="rId1221" ref="D816"/>
    <hyperlink r:id="rId1222" ref="B817"/>
    <hyperlink r:id="rId1223" ref="B818"/>
    <hyperlink r:id="rId1224" ref="D818"/>
    <hyperlink r:id="rId1225" ref="B819"/>
    <hyperlink r:id="rId1226" ref="B820"/>
    <hyperlink r:id="rId1227" ref="D820"/>
    <hyperlink r:id="rId1228" ref="B821"/>
    <hyperlink r:id="rId1229" ref="D821"/>
    <hyperlink r:id="rId1230" ref="B822"/>
    <hyperlink r:id="rId1231" ref="D822"/>
    <hyperlink r:id="rId1232" ref="B823"/>
    <hyperlink r:id="rId1233" ref="D823"/>
    <hyperlink r:id="rId1234" ref="B824"/>
    <hyperlink r:id="rId1235" ref="D824"/>
    <hyperlink r:id="rId1236" ref="B825"/>
    <hyperlink r:id="rId1237" ref="D825"/>
    <hyperlink r:id="rId1238" ref="B826"/>
    <hyperlink r:id="rId1239" ref="D826"/>
    <hyperlink r:id="rId1240" ref="B827"/>
    <hyperlink r:id="rId1241" ref="B828"/>
    <hyperlink r:id="rId1242" ref="D828"/>
    <hyperlink r:id="rId1243" ref="B829"/>
    <hyperlink r:id="rId1244" ref="D829"/>
    <hyperlink r:id="rId1245" ref="B830"/>
    <hyperlink r:id="rId1246" ref="D830"/>
    <hyperlink r:id="rId1247" ref="B831"/>
    <hyperlink r:id="rId1248" ref="B832"/>
    <hyperlink r:id="rId1249" ref="B833"/>
    <hyperlink r:id="rId1250" ref="B834"/>
    <hyperlink r:id="rId1251" ref="B835"/>
    <hyperlink r:id="rId1252" ref="B836"/>
    <hyperlink r:id="rId1253" ref="D836"/>
    <hyperlink r:id="rId1254" ref="B837"/>
    <hyperlink r:id="rId1255" ref="D837"/>
    <hyperlink r:id="rId1256" ref="B838"/>
    <hyperlink r:id="rId1257" ref="B839"/>
    <hyperlink r:id="rId1258" ref="B840"/>
    <hyperlink r:id="rId1259" ref="B841"/>
    <hyperlink r:id="rId1260" ref="D841"/>
    <hyperlink r:id="rId1261" ref="B842"/>
    <hyperlink r:id="rId1262" ref="D842"/>
    <hyperlink r:id="rId1263" ref="B843"/>
    <hyperlink r:id="rId1264" ref="D843"/>
    <hyperlink r:id="rId1265" ref="B844"/>
    <hyperlink r:id="rId1266" ref="B845"/>
    <hyperlink r:id="rId1267" ref="D845"/>
    <hyperlink r:id="rId1268" ref="B846"/>
    <hyperlink r:id="rId1269" ref="B847"/>
    <hyperlink r:id="rId1270" ref="B848"/>
    <hyperlink r:id="rId1271" ref="D848"/>
    <hyperlink r:id="rId1272" ref="B849"/>
    <hyperlink r:id="rId1273" ref="B850"/>
    <hyperlink r:id="rId1274" ref="D850"/>
    <hyperlink r:id="rId1275" ref="B851"/>
    <hyperlink r:id="rId1276" ref="B852"/>
    <hyperlink r:id="rId1277" ref="B853"/>
    <hyperlink r:id="rId1278" ref="D853"/>
    <hyperlink r:id="rId1279" ref="B854"/>
    <hyperlink r:id="rId1280" ref="B855"/>
    <hyperlink r:id="rId1281" ref="B856"/>
    <hyperlink r:id="rId1282" ref="D856"/>
    <hyperlink r:id="rId1283" ref="B857"/>
    <hyperlink r:id="rId1284" ref="D857"/>
    <hyperlink r:id="rId1285" ref="B858"/>
    <hyperlink r:id="rId1286" ref="B859"/>
    <hyperlink r:id="rId1287" ref="B860"/>
    <hyperlink r:id="rId1288" ref="B861"/>
    <hyperlink r:id="rId1289" ref="D861"/>
    <hyperlink r:id="rId1290" ref="B862"/>
    <hyperlink r:id="rId1291" ref="D862"/>
    <hyperlink r:id="rId1292" ref="B863"/>
    <hyperlink r:id="rId1293" ref="D863"/>
    <hyperlink r:id="rId1294" ref="B864"/>
    <hyperlink r:id="rId1295" ref="B865"/>
    <hyperlink r:id="rId1296" ref="D865"/>
    <hyperlink r:id="rId1297" ref="B866"/>
    <hyperlink r:id="rId1298" ref="B867"/>
    <hyperlink r:id="rId1299" ref="B868"/>
    <hyperlink r:id="rId1300" ref="D868"/>
    <hyperlink r:id="rId1301" ref="B869"/>
    <hyperlink r:id="rId1302" ref="D869"/>
    <hyperlink r:id="rId1303" ref="B870"/>
    <hyperlink r:id="rId1304" ref="B871"/>
    <hyperlink r:id="rId1305" ref="B872"/>
    <hyperlink r:id="rId1306" ref="D872"/>
    <hyperlink r:id="rId1307" ref="B873"/>
    <hyperlink r:id="rId1308" ref="D873"/>
    <hyperlink r:id="rId1309" ref="B874"/>
    <hyperlink r:id="rId1310" ref="B875"/>
    <hyperlink r:id="rId1311" ref="B876"/>
    <hyperlink r:id="rId1312" ref="B877"/>
    <hyperlink r:id="rId1313" ref="B878"/>
    <hyperlink r:id="rId1314" ref="D878"/>
    <hyperlink r:id="rId1315" ref="B879"/>
    <hyperlink r:id="rId1316" ref="B880"/>
    <hyperlink r:id="rId1317" ref="D880"/>
    <hyperlink r:id="rId1318" ref="B881"/>
    <hyperlink r:id="rId1319" ref="D881"/>
    <hyperlink r:id="rId1320" ref="B882"/>
    <hyperlink r:id="rId1321" ref="B883"/>
    <hyperlink r:id="rId1322" ref="B884"/>
    <hyperlink r:id="rId1323" ref="B885"/>
    <hyperlink r:id="rId1324" ref="B886"/>
    <hyperlink r:id="rId1325" ref="B887"/>
    <hyperlink r:id="rId1326" ref="D887"/>
    <hyperlink r:id="rId1327" ref="B888"/>
    <hyperlink r:id="rId1328" ref="B889"/>
    <hyperlink r:id="rId1329" ref="D889"/>
    <hyperlink r:id="rId1330" ref="B890"/>
    <hyperlink r:id="rId1331" ref="B891"/>
    <hyperlink r:id="rId1332" ref="D891"/>
    <hyperlink r:id="rId1333" ref="B892"/>
    <hyperlink r:id="rId1334" ref="D892"/>
    <hyperlink r:id="rId1335" ref="B893"/>
    <hyperlink r:id="rId1336" ref="B894"/>
    <hyperlink r:id="rId1337" ref="B895"/>
    <hyperlink r:id="rId1338" ref="D895"/>
    <hyperlink r:id="rId1339" ref="B896"/>
    <hyperlink r:id="rId1340" ref="D896"/>
    <hyperlink r:id="rId1341" ref="B897"/>
    <hyperlink r:id="rId1342" ref="B898"/>
    <hyperlink r:id="rId1343" ref="D898"/>
    <hyperlink r:id="rId1344" ref="B899"/>
    <hyperlink r:id="rId1345" ref="B900"/>
    <hyperlink r:id="rId1346" ref="D900"/>
    <hyperlink r:id="rId1347" ref="B901"/>
    <hyperlink r:id="rId1348" ref="D901"/>
    <hyperlink r:id="rId1349" ref="B902"/>
    <hyperlink r:id="rId1350" ref="D902"/>
    <hyperlink r:id="rId1351" ref="B903"/>
    <hyperlink r:id="rId1352" ref="B904"/>
    <hyperlink r:id="rId1353" ref="B905"/>
    <hyperlink r:id="rId1354" ref="D905"/>
    <hyperlink r:id="rId1355" ref="B906"/>
    <hyperlink r:id="rId1356" ref="D906"/>
    <hyperlink r:id="rId1357" ref="B907"/>
    <hyperlink r:id="rId1358" ref="D907"/>
    <hyperlink r:id="rId1359" ref="B908"/>
    <hyperlink r:id="rId1360" ref="D908"/>
    <hyperlink r:id="rId1361" ref="B909"/>
    <hyperlink r:id="rId1362" ref="B910"/>
    <hyperlink r:id="rId1363" ref="D910"/>
    <hyperlink r:id="rId1364" ref="B911"/>
    <hyperlink r:id="rId1365" ref="D911"/>
    <hyperlink r:id="rId1366" ref="B912"/>
    <hyperlink r:id="rId1367" ref="D912"/>
    <hyperlink r:id="rId1368" ref="B913"/>
    <hyperlink r:id="rId1369" ref="B914"/>
    <hyperlink r:id="rId1370" ref="B915"/>
    <hyperlink r:id="rId1371" ref="B916"/>
    <hyperlink r:id="rId1372" ref="B917"/>
    <hyperlink r:id="rId1373" ref="B918"/>
    <hyperlink r:id="rId1374" ref="D918"/>
    <hyperlink r:id="rId1375" ref="B919"/>
    <hyperlink r:id="rId1376" ref="B920"/>
    <hyperlink r:id="rId1377" ref="B921"/>
    <hyperlink r:id="rId1378" ref="B922"/>
    <hyperlink r:id="rId1379" ref="D922"/>
    <hyperlink r:id="rId1380" ref="B923"/>
    <hyperlink r:id="rId1381" ref="D923"/>
    <hyperlink r:id="rId1382" ref="B924"/>
    <hyperlink r:id="rId1383" ref="B925"/>
    <hyperlink r:id="rId1384" ref="B926"/>
    <hyperlink r:id="rId1385" ref="B927"/>
    <hyperlink r:id="rId1386" ref="B928"/>
    <hyperlink r:id="rId1387" ref="D928"/>
    <hyperlink r:id="rId1388" ref="B929"/>
    <hyperlink r:id="rId1389" ref="D929"/>
    <hyperlink r:id="rId1390" ref="B930"/>
    <hyperlink r:id="rId1391" ref="D930"/>
    <hyperlink r:id="rId1392" ref="B931"/>
    <hyperlink r:id="rId1393" ref="D931"/>
    <hyperlink r:id="rId1394" ref="B932"/>
    <hyperlink r:id="rId1395" ref="B933"/>
    <hyperlink r:id="rId1396" ref="B934"/>
    <hyperlink r:id="rId1397" ref="B935"/>
    <hyperlink r:id="rId1398" ref="D935"/>
    <hyperlink r:id="rId1399" ref="B936"/>
    <hyperlink r:id="rId1400" ref="B937"/>
    <hyperlink r:id="rId1401" ref="D937"/>
    <hyperlink r:id="rId1402" ref="B938"/>
    <hyperlink r:id="rId1403" ref="B939"/>
    <hyperlink r:id="rId1404" ref="B940"/>
    <hyperlink r:id="rId1405" ref="D940"/>
    <hyperlink r:id="rId1406" ref="B941"/>
    <hyperlink r:id="rId1407" ref="D941"/>
    <hyperlink r:id="rId1408" ref="B942"/>
    <hyperlink r:id="rId1409" ref="D942"/>
    <hyperlink r:id="rId1410" ref="B943"/>
    <hyperlink r:id="rId1411" ref="D943"/>
    <hyperlink r:id="rId1412" ref="B944"/>
    <hyperlink r:id="rId1413" ref="B945"/>
    <hyperlink r:id="rId1414" ref="D945"/>
    <hyperlink r:id="rId1415" ref="B946"/>
    <hyperlink r:id="rId1416" ref="B947"/>
    <hyperlink r:id="rId1417" ref="B948"/>
    <hyperlink r:id="rId1418" ref="D948"/>
    <hyperlink r:id="rId1419" ref="B949"/>
    <hyperlink r:id="rId1420" ref="D949"/>
    <hyperlink r:id="rId1421" ref="B950"/>
    <hyperlink r:id="rId1422" ref="B951"/>
    <hyperlink r:id="rId1423" ref="B952"/>
    <hyperlink r:id="rId1424" ref="D952"/>
    <hyperlink r:id="rId1425" ref="B953"/>
    <hyperlink r:id="rId1426" ref="D953"/>
    <hyperlink r:id="rId1427" ref="B954"/>
    <hyperlink r:id="rId1428" ref="D954"/>
    <hyperlink r:id="rId1429" ref="B955"/>
    <hyperlink r:id="rId1430" ref="D955"/>
    <hyperlink r:id="rId1431" ref="B956"/>
    <hyperlink r:id="rId1432" ref="D956"/>
    <hyperlink r:id="rId1433" ref="B957"/>
    <hyperlink r:id="rId1434" ref="D957"/>
    <hyperlink r:id="rId1435" ref="B958"/>
    <hyperlink r:id="rId1436" ref="D958"/>
    <hyperlink r:id="rId1437" ref="B959"/>
    <hyperlink r:id="rId1438" ref="B960"/>
    <hyperlink r:id="rId1439" ref="B961"/>
    <hyperlink r:id="rId1440" ref="B962"/>
    <hyperlink r:id="rId1441" ref="D962"/>
    <hyperlink r:id="rId1442" ref="B963"/>
    <hyperlink r:id="rId1443" ref="B964"/>
    <hyperlink r:id="rId1444" ref="D964"/>
    <hyperlink r:id="rId1445" ref="B965"/>
    <hyperlink r:id="rId1446" ref="D965"/>
    <hyperlink r:id="rId1447" ref="B966"/>
    <hyperlink r:id="rId1448" ref="B967"/>
    <hyperlink r:id="rId1449" ref="B968"/>
    <hyperlink r:id="rId1450" ref="D968"/>
    <hyperlink r:id="rId1451" ref="B969"/>
    <hyperlink r:id="rId1452" ref="D969"/>
    <hyperlink r:id="rId1453" ref="B970"/>
    <hyperlink r:id="rId1454" ref="B971"/>
    <hyperlink r:id="rId1455" ref="D971"/>
    <hyperlink r:id="rId1456" ref="B972"/>
    <hyperlink r:id="rId1457" ref="D972"/>
    <hyperlink r:id="rId1458" ref="B973"/>
    <hyperlink r:id="rId1459" ref="B974"/>
    <hyperlink r:id="rId1460" ref="B975"/>
    <hyperlink r:id="rId1461" ref="B976"/>
    <hyperlink r:id="rId1462" ref="B977"/>
    <hyperlink r:id="rId1463" ref="D977"/>
    <hyperlink r:id="rId1464" ref="B978"/>
    <hyperlink r:id="rId1465" ref="D978"/>
    <hyperlink r:id="rId1466" ref="B979"/>
    <hyperlink r:id="rId1467" ref="B980"/>
    <hyperlink r:id="rId1468" ref="B981"/>
    <hyperlink r:id="rId1469" ref="D981"/>
    <hyperlink r:id="rId1470" ref="B982"/>
    <hyperlink r:id="rId1471" ref="D982"/>
    <hyperlink r:id="rId1472" ref="B983"/>
    <hyperlink r:id="rId1473" ref="D983"/>
    <hyperlink r:id="rId1474" ref="B984"/>
    <hyperlink r:id="rId1475" ref="B985"/>
    <hyperlink r:id="rId1476" ref="B986"/>
    <hyperlink r:id="rId1477" ref="D986"/>
    <hyperlink r:id="rId1478" ref="B987"/>
    <hyperlink r:id="rId1479" ref="D987"/>
    <hyperlink r:id="rId1480" ref="B988"/>
    <hyperlink r:id="rId1481" ref="D988"/>
    <hyperlink r:id="rId1482" ref="B989"/>
    <hyperlink r:id="rId1483" ref="D989"/>
    <hyperlink r:id="rId1484" ref="B990"/>
    <hyperlink r:id="rId1485" ref="D990"/>
    <hyperlink r:id="rId1486" ref="B991"/>
    <hyperlink r:id="rId1487" ref="D991"/>
    <hyperlink r:id="rId1488" ref="B992"/>
    <hyperlink r:id="rId1489" ref="D992"/>
    <hyperlink r:id="rId1490" ref="B993"/>
    <hyperlink r:id="rId1491" ref="D993"/>
    <hyperlink r:id="rId1492" ref="B994"/>
    <hyperlink r:id="rId1493" ref="D994"/>
    <hyperlink r:id="rId1494" ref="B995"/>
    <hyperlink r:id="rId1495" ref="D995"/>
    <hyperlink r:id="rId1496" ref="B996"/>
    <hyperlink r:id="rId1497" ref="B997"/>
    <hyperlink r:id="rId1498" ref="D997"/>
    <hyperlink r:id="rId1499" ref="B998"/>
    <hyperlink r:id="rId1500" ref="D998"/>
    <hyperlink r:id="rId1501" ref="B999"/>
    <hyperlink r:id="rId1502" ref="B1000"/>
    <hyperlink r:id="rId1503" ref="B1001"/>
    <hyperlink r:id="rId1504" ref="D1001"/>
  </hyperlinks>
  <drawing r:id="rId1505"/>
</worksheet>
</file>